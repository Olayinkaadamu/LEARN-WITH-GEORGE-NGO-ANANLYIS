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d.docs.live.net/0214e947ac267ad5/Belgeler/"/>
    </mc:Choice>
  </mc:AlternateContent>
  <xr:revisionPtr revIDLastSave="2067" documentId="8_{E75EC1C4-D277-4993-B460-7057C17CBF02}" xr6:coauthVersionLast="47" xr6:coauthVersionMax="47" xr10:uidLastSave="{0AF193E4-11E4-44D1-AF2B-A9E2D7B7CE30}"/>
  <bookViews>
    <workbookView xWindow="-108" yWindow="-108" windowWidth="23256" windowHeight="12456" activeTab="2" xr2:uid="{00000000-000D-0000-FFFF-FFFF00000000}"/>
  </bookViews>
  <sheets>
    <sheet name="Cleaned Data" sheetId="2" r:id="rId1"/>
    <sheet name="Pivot Analysis" sheetId="3" r:id="rId2"/>
    <sheet name="Analysis" sheetId="5" r:id="rId3"/>
    <sheet name="Dashboard" sheetId="4" r:id="rId4"/>
    <sheet name="Raw Data" sheetId="1" r:id="rId5"/>
  </sheets>
  <definedNames>
    <definedName name="_xlnm._FilterDatabase" localSheetId="0" hidden="1">'Cleaned Data'!$A$1:$X$1</definedName>
    <definedName name="_xlnm._FilterDatabase" localSheetId="4" hidden="1">'Raw Data'!$A$1:$U$1</definedName>
    <definedName name="Slicer_Enrollment_month">#N/A</definedName>
    <definedName name="Slicer_Enrollment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2" l="1"/>
  <c r="S2" i="2"/>
  <c r="H22" i="3"/>
  <c r="I32" i="3"/>
  <c r="F38" i="3"/>
  <c r="C3" i="3"/>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2" i="2"/>
  <c r="F30" i="3"/>
  <c r="F29" i="3"/>
  <c r="C32" i="3"/>
  <c r="C31" i="3"/>
  <c r="C30" i="3"/>
  <c r="C29" i="3"/>
  <c r="C44" i="3"/>
  <c r="C45" i="3"/>
  <c r="H21" i="3"/>
  <c r="H20" i="3"/>
  <c r="H19" i="3"/>
  <c r="H18" i="3"/>
  <c r="H17" i="3"/>
  <c r="H16" i="3"/>
  <c r="I31" i="3"/>
  <c r="I30" i="3"/>
  <c r="I29" i="3"/>
  <c r="F37" i="3"/>
  <c r="F36" i="3"/>
  <c r="F35" i="3"/>
  <c r="C46" i="3" l="1"/>
</calcChain>
</file>

<file path=xl/sharedStrings.xml><?xml version="1.0" encoding="utf-8"?>
<sst xmlns="http://schemas.openxmlformats.org/spreadsheetml/2006/main" count="24214" uniqueCount="156">
  <si>
    <t>enrollment_id</t>
  </si>
  <si>
    <t>student_id</t>
  </si>
  <si>
    <t>program_id</t>
  </si>
  <si>
    <t>enrollment_status</t>
  </si>
  <si>
    <t>gender</t>
  </si>
  <si>
    <t>age</t>
  </si>
  <si>
    <t>location</t>
  </si>
  <si>
    <t>education_level</t>
  </si>
  <si>
    <t>enrollment_date</t>
  </si>
  <si>
    <t>cohort</t>
  </si>
  <si>
    <t>program_name</t>
  </si>
  <si>
    <t>level</t>
  </si>
  <si>
    <t>duration_weeks</t>
  </si>
  <si>
    <t>attendance_rate</t>
  </si>
  <si>
    <t>avg_score</t>
  </si>
  <si>
    <t>completed</t>
  </si>
  <si>
    <t>portfolio_created</t>
  </si>
  <si>
    <t>internship_placed</t>
  </si>
  <si>
    <t>outcome_date</t>
  </si>
  <si>
    <t>Completed</t>
  </si>
  <si>
    <t>Dropped</t>
  </si>
  <si>
    <t>Active</t>
  </si>
  <si>
    <t>Male</t>
  </si>
  <si>
    <t>Female</t>
  </si>
  <si>
    <t>Abeokuta</t>
  </si>
  <si>
    <t>Lagos</t>
  </si>
  <si>
    <t>Ilorin</t>
  </si>
  <si>
    <t>Benin</t>
  </si>
  <si>
    <t>Abuja</t>
  </si>
  <si>
    <t>Ibadan</t>
  </si>
  <si>
    <t>HND</t>
  </si>
  <si>
    <t>Secondary</t>
  </si>
  <si>
    <t>OND</t>
  </si>
  <si>
    <t>BSc</t>
  </si>
  <si>
    <t>Jan–Jun 2025</t>
  </si>
  <si>
    <t>Excel</t>
  </si>
  <si>
    <t>SQL</t>
  </si>
  <si>
    <t>Power BI</t>
  </si>
  <si>
    <t>Beginner</t>
  </si>
  <si>
    <t>Yes</t>
  </si>
  <si>
    <t>No</t>
  </si>
  <si>
    <t>HN</t>
  </si>
  <si>
    <t>Secondaryyy</t>
  </si>
  <si>
    <t>ond</t>
  </si>
  <si>
    <t>BSC</t>
  </si>
  <si>
    <t>abeokuta</t>
  </si>
  <si>
    <t>IloriN</t>
  </si>
  <si>
    <t>active</t>
  </si>
  <si>
    <t>male</t>
  </si>
  <si>
    <t>female</t>
  </si>
  <si>
    <t>Enrollment_id</t>
  </si>
  <si>
    <t>Student_id</t>
  </si>
  <si>
    <t>Program_id</t>
  </si>
  <si>
    <t>Enrollment_status</t>
  </si>
  <si>
    <t>Gender</t>
  </si>
  <si>
    <t>Age</t>
  </si>
  <si>
    <t>Location</t>
  </si>
  <si>
    <t>Education_level</t>
  </si>
  <si>
    <t>Enrollment_date</t>
  </si>
  <si>
    <t>Cohort</t>
  </si>
  <si>
    <t>Program_name</t>
  </si>
  <si>
    <t>Level</t>
  </si>
  <si>
    <t>Duration_weeks</t>
  </si>
  <si>
    <t>Attendance_rate</t>
  </si>
  <si>
    <t>Avg_score</t>
  </si>
  <si>
    <t>Portfolio_created</t>
  </si>
  <si>
    <t>Internship_placed</t>
  </si>
  <si>
    <t>Outcome_date</t>
  </si>
  <si>
    <t>SECONDARY</t>
  </si>
  <si>
    <t>Enrollment_month</t>
  </si>
  <si>
    <t>Enrollment_day</t>
  </si>
  <si>
    <t>Completed_flag</t>
  </si>
  <si>
    <t>Age_group</t>
  </si>
  <si>
    <t>Count of Enrollment_id</t>
  </si>
  <si>
    <t>COUNT OF ENROLLMENT_ID</t>
  </si>
  <si>
    <t>AVERAGE ATTENDANCE RATE %</t>
  </si>
  <si>
    <t>Average of Attendance_rate</t>
  </si>
  <si>
    <t>AVERAGE ASSESSMENT SCORE</t>
  </si>
  <si>
    <t>Average of Avg_score</t>
  </si>
  <si>
    <t>UNIQUE STUDENT_ID</t>
  </si>
  <si>
    <t>ATTENDANCE RATE BY PROGRAM</t>
  </si>
  <si>
    <t>Row Labels</t>
  </si>
  <si>
    <t>Grand Total</t>
  </si>
  <si>
    <t>AVERAGE COMPLETION RATE%</t>
  </si>
  <si>
    <t>Average of Completed_flag</t>
  </si>
  <si>
    <t>AVERAGE SCORE BY PROGRAM</t>
  </si>
  <si>
    <t>COMPLETION RATE BY LOCATION</t>
  </si>
  <si>
    <t>Count of Completed_flag</t>
  </si>
  <si>
    <t>Assessment grade</t>
  </si>
  <si>
    <t>ATTENDANCE RATE VS AVG. SCORE</t>
  </si>
  <si>
    <t>STUDENT DISTRIBUTION BY EDUCATION LEVEL</t>
  </si>
  <si>
    <t>Count of Student_id</t>
  </si>
  <si>
    <t>STUDENT GENDER DISTRIBUTION</t>
  </si>
  <si>
    <t>Entry Level</t>
  </si>
  <si>
    <t>Experienced</t>
  </si>
  <si>
    <t>Mid Level</t>
  </si>
  <si>
    <t>STUDENT DISTRIBUTION BY GRADE</t>
  </si>
  <si>
    <t>Distinction</t>
  </si>
  <si>
    <t>Fail</t>
  </si>
  <si>
    <t>Pass</t>
  </si>
  <si>
    <t xml:space="preserve"> </t>
  </si>
  <si>
    <t>Count of Completed</t>
  </si>
  <si>
    <t>%</t>
  </si>
  <si>
    <t>PROJECT OVERVIEW</t>
  </si>
  <si>
    <t xml:space="preserve"> Learn with George is an NGO that provides free technology training programs in Excel, SQL and Power BI. Between January and June 2025, the organization collected data on student attendance, learning performance and program completion outcomes.</t>
  </si>
  <si>
    <t xml:space="preserve">                      INTRODUCTION</t>
  </si>
  <si>
    <r>
      <rPr>
        <b/>
        <sz val="12"/>
        <color theme="1"/>
        <rFont val="Calibri"/>
        <family val="2"/>
        <scheme val="minor"/>
      </rPr>
      <t>Objective</t>
    </r>
    <r>
      <rPr>
        <sz val="11"/>
        <color theme="1"/>
        <rFont val="Calibri"/>
        <family val="2"/>
        <scheme val="minor"/>
      </rPr>
      <t>:</t>
    </r>
  </si>
  <si>
    <t>Goal:</t>
  </si>
  <si>
    <t>•</t>
  </si>
  <si>
    <t>Total Students Enrolled</t>
  </si>
  <si>
    <t>Average Attendance Rate (%)</t>
  </si>
  <si>
    <t>Average Assessment Score</t>
  </si>
  <si>
    <t>Completion Rate (%)</t>
  </si>
  <si>
    <t>The main goal of this analysis is to track and report how Learn with George’s training programs are performing. Moreso, it focuses on:</t>
  </si>
  <si>
    <t>Looking at attendance rates to see how engaged students are.</t>
  </si>
  <si>
    <t>Checking student performance through their assessment scores.</t>
  </si>
  <si>
    <t>Reviewing program completion rates by location.</t>
  </si>
  <si>
    <t>Spotting patterns and trends to help improve the programs and support students better.</t>
  </si>
  <si>
    <t>The goal of this project is to build an Excel dashboard that showcases key performance indicators (KPIs) and provides visual insights for management. The dashboard will highlight</t>
  </si>
  <si>
    <t>Business Insight</t>
  </si>
  <si>
    <t>Overall Attendance Performance</t>
  </si>
  <si>
    <r>
      <t xml:space="preserve">Dataset: </t>
    </r>
    <r>
      <rPr>
        <sz val="12"/>
        <color theme="1"/>
        <rFont val="Calibri"/>
        <family val="2"/>
        <scheme val="minor"/>
      </rPr>
      <t>The dataset has 1,200 enrollment records, which cover about 400 unique students. Since some students are enrolled in more than one course, we used a distinct count on Student ID to make sure we’re not double-counting anyone. This way, all the KPIs give an accurate picture of student participation.</t>
    </r>
  </si>
  <si>
    <t>The overall attendance rate was calculated using Excel, Power BI, and SQL, resulting in 83.2% in Excel and Power BI and 82.8% in SQL.</t>
  </si>
  <si>
    <t>This consistency confirms the reliability of the attendance data across different platforms</t>
  </si>
  <si>
    <t>TOOL :EXCEL</t>
  </si>
  <si>
    <t xml:space="preserve">KPI Summary </t>
  </si>
  <si>
    <t>1.Total Students Enrolled: 400</t>
  </si>
  <si>
    <t>2. ⁠Total Enrollment ID: 1200</t>
  </si>
  <si>
    <t>3.⁠Average Attendance Rate: 83%</t>
  </si>
  <si>
    <t>4.Average Assessment Score: 71.6</t>
  </si>
  <si>
    <t>5.Completion Rate: 74%</t>
  </si>
  <si>
    <t>The student population is fairly balanced: HND holders lead with 327 (27.3%)students, followed by OND and BSc holders at 294 (24.5%) each, and secondary school graduates at 285 (23.8%).</t>
  </si>
  <si>
    <t>This shows that Learn with George’s programs attract learners from diverse educational backgrounds, highlighting their accessibility and inclusiveness.</t>
  </si>
  <si>
    <t>• The differences between programs are very small less than 1 point overall, which suggests performance is relatively consistent across all three programs.</t>
  </si>
  <si>
    <t>• SQL’s slight lead may indicate stronger mastery of technical or logic-based concepts compared to the more tool-driven skills assessed in Excel and Power BI.</t>
  </si>
  <si>
    <t>• Excel’s lower average could signal a need for reinforcement in formulas, data modelling, or advanced features, especially if it is a foundational skill for participants.</t>
  </si>
  <si>
    <t>Recommendation</t>
  </si>
  <si>
    <t>• If prioritizing improvement efforts, Excel would yield the highest marginal gain with targeted training.</t>
  </si>
  <si>
    <t>• Since SQL and Power BI are nearly tied, resources could focus on advanced or applied use cases rather than basic skill remediation.</t>
  </si>
  <si>
    <t>• Given the narrow score range, curriculum alignment and assessment difficulty appear balanced, which is a positive indicator for program design.</t>
  </si>
  <si>
    <t xml:space="preserve">Completion rates vary noticeably by location. Benin (228) and Lagos (225) record the highest completions, indicating stronger learner engagement or support structures in these centers. </t>
  </si>
  <si>
    <t xml:space="preserve"> Abeokuta (192) and Ilorin (189) show moderate performance, while Ibadan and Abuja (183 each) have the lowest completion counts.</t>
  </si>
  <si>
    <t>This suggests location-specific factors such as instructional quality, learner support, or infrastructure may be influencing outcomes.</t>
  </si>
  <si>
    <t>High performing locations can serve as benchmarks, while targeted interventions are needed to improve completion rates in lower-performing centers. .</t>
  </si>
  <si>
    <t>The chart shows a non-linear relationship between attendance and average scores. Scores improve slightly as attendance increases up to a mid-range level (around 83.2–83.3%), indicating that consistent participation supports better performance.</t>
  </si>
  <si>
    <t>However, beyond this point, higher average scores are associated with a decline in attendance, suggesting diminishing returns from attendance alone.</t>
  </si>
  <si>
    <t>This implies that while regular attendance is important, attendance by itself does not guarantee higher performance.</t>
  </si>
  <si>
    <t>Other factors, such as study effectiveness, learner capability, or assessment difficulty, likely play a significant role at higher performance levels.</t>
  </si>
  <si>
    <t>Students who are At-Risk</t>
  </si>
  <si>
    <t>Column Labels</t>
  </si>
  <si>
    <t>Count of Enrollement Status by Gender</t>
  </si>
  <si>
    <t>At-risk students include those with low attendance, based in lower performing locations (Ibadan and Abuja), from secondary school backgrounds without foundational support, and those enrolled in Excel focused courses.</t>
  </si>
  <si>
    <t>RECOMMENDATION</t>
  </si>
  <si>
    <t>Students come from diverse educational backgrounds, showing the programs are accessible and inclusive.</t>
  </si>
  <si>
    <t>Performance across programs is closely aligned, with SQL slightly leading and Excel offering the greatest opportunity for improvement. Completion rates vary by location, with Benin and Lagos performing best, while Ibadan and Abuja trail.</t>
  </si>
  <si>
    <t xml:space="preserve"> EDUCATION LEVEL BY STUDENT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</si>
</sst>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0.0"/>
    <numFmt numFmtId="166" formatCode="0.000"/>
    <numFmt numFmtId="167" formatCode="0.0%"/>
  </numFmts>
  <fonts count="11"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sz val="14"/>
      <color theme="1"/>
      <name val="Calibri"/>
      <family val="2"/>
      <scheme val="minor"/>
    </font>
    <font>
      <sz val="14"/>
      <color theme="1"/>
      <name val="Segoe UI Semibold"/>
      <family val="2"/>
    </font>
    <font>
      <b/>
      <sz val="12"/>
      <color theme="1"/>
      <name val="Calibri"/>
      <family val="2"/>
      <scheme val="minor"/>
    </font>
    <font>
      <sz val="12"/>
      <color theme="1"/>
      <name val="Calibri"/>
      <family val="2"/>
      <scheme val="minor"/>
    </font>
    <font>
      <b/>
      <sz val="16"/>
      <color theme="1"/>
      <name val="Segoe UI Semibold"/>
      <family val="2"/>
    </font>
    <font>
      <b/>
      <sz val="14"/>
      <color theme="1"/>
      <name val="Calibri"/>
      <family val="2"/>
      <scheme val="minor"/>
    </font>
    <font>
      <strike/>
      <sz val="11"/>
      <color theme="1"/>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0" tint="-0.49998474074526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1" tint="0.499984740745262"/>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33">
    <xf numFmtId="0" fontId="0" fillId="0" borderId="0" xfId="0"/>
    <xf numFmtId="16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14" fontId="0" fillId="0" borderId="0" xfId="0" applyNumberFormat="1"/>
    <xf numFmtId="2" fontId="1" fillId="0" borderId="0" xfId="0" applyNumberFormat="1" applyFont="1" applyAlignment="1">
      <alignment horizontal="center" vertical="top"/>
    </xf>
    <xf numFmtId="2" fontId="0" fillId="0" borderId="0" xfId="0" applyNumberFormat="1"/>
    <xf numFmtId="1" fontId="1" fillId="0" borderId="0" xfId="0" applyNumberFormat="1" applyFont="1" applyAlignment="1">
      <alignment horizontal="center" vertical="top"/>
    </xf>
    <xf numFmtId="1" fontId="0" fillId="0" borderId="0" xfId="0" applyNumberFormat="1"/>
    <xf numFmtId="0" fontId="1" fillId="2" borderId="1" xfId="0" applyFont="1" applyFill="1" applyBorder="1"/>
    <xf numFmtId="0" fontId="0" fillId="3" borderId="0" xfId="0" applyFill="1"/>
    <xf numFmtId="0" fontId="0" fillId="0" borderId="0" xfId="0" pivotButton="1"/>
    <xf numFmtId="9" fontId="0" fillId="0" borderId="0" xfId="0" applyNumberFormat="1"/>
    <xf numFmtId="0" fontId="0" fillId="0" borderId="0" xfId="0" applyAlignment="1">
      <alignment horizontal="left"/>
    </xf>
    <xf numFmtId="166" fontId="0" fillId="0" borderId="0" xfId="0" applyNumberFormat="1"/>
    <xf numFmtId="2" fontId="0" fillId="0" borderId="0" xfId="0" pivotButton="1" applyNumberFormat="1"/>
    <xf numFmtId="9" fontId="0" fillId="0" borderId="0" xfId="1" applyFont="1"/>
    <xf numFmtId="9" fontId="0" fillId="4" borderId="0" xfId="0" applyNumberFormat="1" applyFill="1"/>
    <xf numFmtId="9" fontId="0" fillId="4" borderId="0" xfId="1" applyFont="1" applyFill="1"/>
    <xf numFmtId="0" fontId="4" fillId="0" borderId="0" xfId="0" applyFont="1"/>
    <xf numFmtId="0" fontId="5" fillId="0" borderId="0" xfId="0" applyFont="1"/>
    <xf numFmtId="9" fontId="5" fillId="0" borderId="0" xfId="0" applyNumberFormat="1" applyFont="1"/>
    <xf numFmtId="165" fontId="5" fillId="0" borderId="0" xfId="0" applyNumberFormat="1" applyFont="1"/>
    <xf numFmtId="0" fontId="0" fillId="4" borderId="0" xfId="0" applyFill="1"/>
    <xf numFmtId="0" fontId="8" fillId="0" borderId="0" xfId="0" applyFont="1"/>
    <xf numFmtId="0" fontId="6" fillId="0" borderId="0" xfId="0" applyFont="1"/>
    <xf numFmtId="167" fontId="0" fillId="0" borderId="0" xfId="1" applyNumberFormat="1" applyFont="1"/>
    <xf numFmtId="0" fontId="7" fillId="0" borderId="0" xfId="0" applyFont="1"/>
    <xf numFmtId="0" fontId="9" fillId="0" borderId="0" xfId="0" applyFont="1"/>
    <xf numFmtId="0" fontId="10" fillId="4" borderId="0" xfId="0" applyFont="1" applyFill="1"/>
    <xf numFmtId="0" fontId="0" fillId="5" borderId="0" xfId="0" applyFill="1"/>
    <xf numFmtId="0" fontId="0" fillId="6" borderId="0" xfId="0" applyFill="1" applyAlignment="1">
      <alignment horizontal="left"/>
    </xf>
    <xf numFmtId="0" fontId="10" fillId="0" borderId="0" xfId="0" applyFont="1"/>
  </cellXfs>
  <cellStyles count="2">
    <cellStyle name="Normal" xfId="0" builtinId="0"/>
    <cellStyle name="Per cent" xfId="1" builtinId="5"/>
  </cellStyles>
  <dxfs count="50">
    <dxf>
      <numFmt numFmtId="1" formatCode="0"/>
    </dxf>
    <dxf>
      <numFmt numFmtId="1" formatCode="0"/>
    </dxf>
    <dxf>
      <numFmt numFmtId="165" formatCode="0.0"/>
    </dxf>
    <dxf>
      <numFmt numFmtId="165" formatCode="0.0"/>
    </dxf>
    <dxf>
      <numFmt numFmtId="1" formatCode="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167" formatCode="0.0%"/>
    </dxf>
    <dxf>
      <numFmt numFmtId="167" formatCode="0.0%"/>
    </dxf>
    <dxf>
      <numFmt numFmtId="167" formatCode="0.0%"/>
    </dxf>
    <dxf>
      <numFmt numFmtId="13" formatCode="0%"/>
    </dxf>
    <dxf>
      <numFmt numFmtId="13" formatCode="0%"/>
    </dxf>
    <dxf>
      <numFmt numFmtId="13" formatCode="0%"/>
    </dxf>
    <dxf>
      <numFmt numFmtId="13" formatCode="0%"/>
    </dxf>
    <dxf>
      <numFmt numFmtId="13" formatCode="0%"/>
    </dxf>
    <dxf>
      <numFmt numFmtId="166" formatCode="0.000"/>
    </dxf>
    <dxf>
      <numFmt numFmtId="1" formatCode="0"/>
    </dxf>
    <dxf>
      <numFmt numFmtId="13" formatCode="0%"/>
    </dxf>
    <dxf>
      <numFmt numFmtId="2" formatCode="0.00"/>
    </dxf>
    <dxf>
      <font>
        <sz val="14"/>
      </font>
    </dxf>
    <dxf>
      <font>
        <name val="Segoe UI Semibold"/>
        <scheme val="none"/>
      </font>
    </dxf>
    <dxf>
      <numFmt numFmtId="165" formatCode="0.0"/>
    </dxf>
    <dxf>
      <numFmt numFmtId="13" formatCode="0%"/>
    </dxf>
    <dxf>
      <numFmt numFmtId="13" formatCode="0%"/>
    </dxf>
    <dxf>
      <numFmt numFmtId="2" formatCode="0.00"/>
    </dxf>
    <dxf>
      <font>
        <name val="Segoe UI Semibold"/>
        <scheme val="none"/>
      </font>
    </dxf>
    <dxf>
      <font>
        <sz val="14"/>
      </font>
    </dxf>
    <dxf>
      <numFmt numFmtId="13" formatCode="0%"/>
    </dxf>
    <dxf>
      <numFmt numFmtId="13" formatCode="0%"/>
    </dxf>
    <dxf>
      <numFmt numFmtId="13" formatCode="0%"/>
    </dxf>
    <dxf>
      <numFmt numFmtId="2" formatCode="0.00"/>
    </dxf>
    <dxf>
      <numFmt numFmtId="19" formatCode="dd/mm/yyyy"/>
    </dxf>
    <dxf>
      <numFmt numFmtId="2" formatCode="0.00"/>
    </dxf>
    <dxf>
      <numFmt numFmtId="2" formatCode="0.00"/>
    </dxf>
    <dxf>
      <numFmt numFmtId="2" formatCode="0.00"/>
    </dxf>
    <dxf>
      <numFmt numFmtId="1" formatCode="0"/>
    </dxf>
    <dxf>
      <numFmt numFmtId="19" formatCode="dd/mm/yyyy"/>
    </dxf>
    <dxf>
      <numFmt numFmtId="19" formatCode="dd/mm/yyyy"/>
    </dxf>
    <dxf>
      <numFmt numFmtId="19" formatCode="dd/mm/yyyy"/>
    </dxf>
    <dxf>
      <numFmt numFmtId="19" formatCode="dd/mm/yyyy"/>
    </dxf>
    <dxf>
      <numFmt numFmtId="1" formatCode="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s>
  <tableStyles count="0" defaultTableStyle="TableStyleMedium9" defaultPivotStyle="PivotStyleLight16"/>
  <colors>
    <mruColors>
      <color rgb="FF345C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 finder dashboard.xlsx]Pivot Analysis!PivotTable4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Attendance</a:t>
            </a:r>
            <a:r>
              <a:rPr lang="en-US" baseline="0"/>
              <a:t> Rate by Program</a:t>
            </a:r>
            <a:endParaRPr lang="en-US"/>
          </a:p>
        </c:rich>
      </c:tx>
      <c:layout>
        <c:manualLayout>
          <c:xMode val="edge"/>
          <c:yMode val="edge"/>
          <c:x val="2.9812335958005243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w="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w="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w="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w="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w="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w="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737967914438502E-2"/>
          <c:y val="0.2092546182295765"/>
          <c:w val="0.92443561327369317"/>
          <c:h val="0.64859134905661819"/>
        </c:manualLayout>
      </c:layout>
      <c:barChart>
        <c:barDir val="col"/>
        <c:grouping val="clustered"/>
        <c:varyColors val="0"/>
        <c:ser>
          <c:idx val="0"/>
          <c:order val="0"/>
          <c:tx>
            <c:strRef>
              <c:f>'Pivot Analysis'!$F$7</c:f>
              <c:strCache>
                <c:ptCount val="1"/>
                <c:pt idx="0">
                  <c:v>Total</c:v>
                </c:pt>
              </c:strCache>
            </c:strRef>
          </c:tx>
          <c:spPr>
            <a:solidFill>
              <a:schemeClr val="accent5">
                <a:lumMod val="75000"/>
              </a:schemeClr>
            </a:solidFill>
            <a:ln w="0">
              <a:solidFill>
                <a:schemeClr val="lt1">
                  <a:shade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Analysis'!$E$8:$E$11</c:f>
              <c:strCache>
                <c:ptCount val="3"/>
                <c:pt idx="0">
                  <c:v>Power BI</c:v>
                </c:pt>
                <c:pt idx="1">
                  <c:v>Excel</c:v>
                </c:pt>
                <c:pt idx="2">
                  <c:v>SQL</c:v>
                </c:pt>
              </c:strCache>
            </c:strRef>
          </c:cat>
          <c:val>
            <c:numRef>
              <c:f>'Pivot Analysis'!$F$8:$F$11</c:f>
              <c:numCache>
                <c:formatCode>0.000</c:formatCode>
                <c:ptCount val="3"/>
                <c:pt idx="0">
                  <c:v>0.83213541666666657</c:v>
                </c:pt>
                <c:pt idx="1">
                  <c:v>0.83177083333333302</c:v>
                </c:pt>
                <c:pt idx="2">
                  <c:v>0.82822916666666646</c:v>
                </c:pt>
              </c:numCache>
            </c:numRef>
          </c:val>
          <c:extLst>
            <c:ext xmlns:c16="http://schemas.microsoft.com/office/drawing/2014/chart" uri="{C3380CC4-5D6E-409C-BE32-E72D297353CC}">
              <c16:uniqueId val="{00000000-51E9-49A6-8E90-E296701DD342}"/>
            </c:ext>
          </c:extLst>
        </c:ser>
        <c:dLbls>
          <c:showLegendKey val="0"/>
          <c:showVal val="0"/>
          <c:showCatName val="0"/>
          <c:showSerName val="0"/>
          <c:showPercent val="0"/>
          <c:showBubbleSize val="0"/>
        </c:dLbls>
        <c:gapWidth val="85"/>
        <c:overlap val="-27"/>
        <c:axId val="1430166720"/>
        <c:axId val="1430175360"/>
      </c:barChart>
      <c:catAx>
        <c:axId val="1430166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175360"/>
        <c:crosses val="autoZero"/>
        <c:auto val="1"/>
        <c:lblAlgn val="ctr"/>
        <c:lblOffset val="100"/>
        <c:noMultiLvlLbl val="0"/>
      </c:catAx>
      <c:valAx>
        <c:axId val="1430175360"/>
        <c:scaling>
          <c:orientation val="minMax"/>
        </c:scaling>
        <c:delete val="1"/>
        <c:axPos val="l"/>
        <c:numFmt formatCode="0.000" sourceLinked="1"/>
        <c:majorTickMark val="out"/>
        <c:minorTickMark val="none"/>
        <c:tickLblPos val="nextTo"/>
        <c:crossAx val="1430166720"/>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 finder dashboard.xlsx]Pivot Analysis!PivotTable10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a:t>
            </a:r>
            <a:r>
              <a:rPr lang="en-US" baseline="0"/>
              <a:t> Distribution by Education Level</a:t>
            </a:r>
            <a:endParaRPr lang="en-US"/>
          </a:p>
        </c:rich>
      </c:tx>
      <c:layout>
        <c:manualLayout>
          <c:xMode val="edge"/>
          <c:yMode val="edge"/>
          <c:x val="3.1099842131651182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
        <c:idx val="4"/>
        <c:spPr>
          <a:solidFill>
            <a:schemeClr val="accent5">
              <a:lumMod val="50000"/>
            </a:schemeClr>
          </a:solidFill>
          <a:ln>
            <a:noFill/>
          </a:ln>
          <a:effectLst/>
        </c:spPr>
      </c:pivotFmt>
      <c:pivotFmt>
        <c:idx val="5"/>
        <c:spPr>
          <a:solidFill>
            <a:schemeClr val="accent5">
              <a:lumMod val="60000"/>
              <a:lumOff val="40000"/>
            </a:schemeClr>
          </a:solidFill>
          <a:ln>
            <a:solidFill>
              <a:schemeClr val="accent5">
                <a:lumMod val="50000"/>
              </a:schemeClr>
            </a:solidFill>
          </a:ln>
          <a:effectLst/>
        </c:spPr>
      </c:pivotFmt>
      <c:pivotFmt>
        <c:idx val="6"/>
        <c:spPr>
          <a:solidFill>
            <a:schemeClr val="accent5">
              <a:lumMod val="40000"/>
              <a:lumOff val="60000"/>
            </a:schemeClr>
          </a:solidFill>
          <a:ln>
            <a:solidFill>
              <a:schemeClr val="accent5">
                <a:lumMod val="50000"/>
              </a:schemeClr>
            </a:solidFill>
          </a:ln>
          <a:effectLst/>
        </c:spPr>
      </c:pivotFmt>
      <c:pivotFmt>
        <c:idx val="7"/>
        <c:spPr>
          <a:solidFill>
            <a:schemeClr val="accent5">
              <a:lumMod val="60000"/>
              <a:lumOff val="4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60000"/>
              <a:lumOff val="40000"/>
            </a:schemeClr>
          </a:solidFill>
          <a:ln>
            <a:solidFill>
              <a:schemeClr val="accent5">
                <a:lumMod val="50000"/>
              </a:schemeClr>
            </a:solidFill>
          </a:ln>
          <a:effectLst/>
        </c:spPr>
      </c:pivotFmt>
      <c:pivotFmt>
        <c:idx val="11"/>
        <c:spPr>
          <a:solidFill>
            <a:schemeClr val="accent5">
              <a:lumMod val="40000"/>
              <a:lumOff val="60000"/>
            </a:schemeClr>
          </a:solidFill>
          <a:ln>
            <a:solidFill>
              <a:schemeClr val="accent5">
                <a:lumMod val="50000"/>
              </a:schemeClr>
            </a:solidFill>
          </a:ln>
          <a:effectLst/>
        </c:spPr>
      </c:pivotFmt>
      <c:pivotFmt>
        <c:idx val="12"/>
        <c:spPr>
          <a:solidFill>
            <a:schemeClr val="accent5">
              <a:lumMod val="60000"/>
              <a:lumOff val="4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60000"/>
              <a:lumOff val="40000"/>
            </a:schemeClr>
          </a:solidFill>
          <a:ln>
            <a:solidFill>
              <a:schemeClr val="accent5">
                <a:lumMod val="50000"/>
              </a:schemeClr>
            </a:solidFill>
          </a:ln>
          <a:effectLst/>
        </c:spPr>
      </c:pivotFmt>
      <c:pivotFmt>
        <c:idx val="16"/>
        <c:spPr>
          <a:solidFill>
            <a:schemeClr val="accent5">
              <a:lumMod val="40000"/>
              <a:lumOff val="60000"/>
            </a:schemeClr>
          </a:solidFill>
          <a:ln>
            <a:solidFill>
              <a:schemeClr val="accent5">
                <a:lumMod val="50000"/>
              </a:schemeClr>
            </a:solidFill>
          </a:ln>
          <a:effectLst/>
        </c:spPr>
      </c:pivotFmt>
    </c:pivotFmts>
    <c:plotArea>
      <c:layout>
        <c:manualLayout>
          <c:layoutTarget val="inner"/>
          <c:xMode val="edge"/>
          <c:yMode val="edge"/>
          <c:x val="0.14945443637105643"/>
          <c:y val="0.17956370525363347"/>
          <c:w val="0.58721809680968096"/>
          <c:h val="0.74861590227902508"/>
        </c:manualLayout>
      </c:layout>
      <c:pieChart>
        <c:varyColors val="1"/>
        <c:ser>
          <c:idx val="0"/>
          <c:order val="0"/>
          <c:tx>
            <c:strRef>
              <c:f>'Pivot Analysis'!$B$28</c:f>
              <c:strCache>
                <c:ptCount val="1"/>
                <c:pt idx="0">
                  <c:v>Total</c:v>
                </c:pt>
              </c:strCache>
            </c:strRef>
          </c:tx>
          <c:spPr>
            <a:solidFill>
              <a:schemeClr val="accent5">
                <a:lumMod val="60000"/>
                <a:lumOff val="40000"/>
              </a:schemeClr>
            </a:solidFill>
            <a:ln>
              <a:solidFill>
                <a:schemeClr val="accent5">
                  <a:lumMod val="50000"/>
                </a:schemeClr>
              </a:solidFill>
            </a:ln>
          </c:spPr>
          <c:dPt>
            <c:idx val="0"/>
            <c:bubble3D val="0"/>
            <c:spPr>
              <a:solidFill>
                <a:schemeClr val="accent5">
                  <a:lumMod val="50000"/>
                </a:schemeClr>
              </a:solidFill>
              <a:ln>
                <a:noFill/>
              </a:ln>
              <a:effectLst/>
            </c:spPr>
            <c:extLst>
              <c:ext xmlns:c16="http://schemas.microsoft.com/office/drawing/2014/chart" uri="{C3380CC4-5D6E-409C-BE32-E72D297353CC}">
                <c16:uniqueId val="{00000001-97A1-4C06-9D65-913E84035F23}"/>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97A1-4C06-9D65-913E84035F23}"/>
              </c:ext>
            </c:extLst>
          </c:dPt>
          <c:dPt>
            <c:idx val="2"/>
            <c:bubble3D val="0"/>
            <c:spPr>
              <a:solidFill>
                <a:schemeClr val="accent5">
                  <a:lumMod val="60000"/>
                  <a:lumOff val="40000"/>
                </a:schemeClr>
              </a:solidFill>
              <a:ln>
                <a:solidFill>
                  <a:schemeClr val="accent5">
                    <a:lumMod val="50000"/>
                  </a:schemeClr>
                </a:solidFill>
              </a:ln>
              <a:effectLst/>
            </c:spPr>
            <c:extLst>
              <c:ext xmlns:c16="http://schemas.microsoft.com/office/drawing/2014/chart" uri="{C3380CC4-5D6E-409C-BE32-E72D297353CC}">
                <c16:uniqueId val="{00000005-97A1-4C06-9D65-913E84035F23}"/>
              </c:ext>
            </c:extLst>
          </c:dPt>
          <c:dPt>
            <c:idx val="3"/>
            <c:bubble3D val="0"/>
            <c:spPr>
              <a:solidFill>
                <a:schemeClr val="accent5">
                  <a:lumMod val="40000"/>
                  <a:lumOff val="60000"/>
                </a:schemeClr>
              </a:solidFill>
              <a:ln>
                <a:solidFill>
                  <a:schemeClr val="accent5">
                    <a:lumMod val="50000"/>
                  </a:schemeClr>
                </a:solidFill>
              </a:ln>
              <a:effectLst/>
            </c:spPr>
            <c:extLst>
              <c:ext xmlns:c16="http://schemas.microsoft.com/office/drawing/2014/chart" uri="{C3380CC4-5D6E-409C-BE32-E72D297353CC}">
                <c16:uniqueId val="{00000007-97A1-4C06-9D65-913E84035F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Analysis'!$A$29:$A$33</c:f>
              <c:strCache>
                <c:ptCount val="4"/>
                <c:pt idx="0">
                  <c:v>HND</c:v>
                </c:pt>
                <c:pt idx="1">
                  <c:v>OND</c:v>
                </c:pt>
                <c:pt idx="2">
                  <c:v>BSC</c:v>
                </c:pt>
                <c:pt idx="3">
                  <c:v>SECONDARY</c:v>
                </c:pt>
              </c:strCache>
            </c:strRef>
          </c:cat>
          <c:val>
            <c:numRef>
              <c:f>'Pivot Analysis'!$B$29:$B$33</c:f>
              <c:numCache>
                <c:formatCode>General</c:formatCode>
                <c:ptCount val="4"/>
                <c:pt idx="0">
                  <c:v>327</c:v>
                </c:pt>
                <c:pt idx="1">
                  <c:v>294</c:v>
                </c:pt>
                <c:pt idx="2">
                  <c:v>294</c:v>
                </c:pt>
                <c:pt idx="3">
                  <c:v>285</c:v>
                </c:pt>
              </c:numCache>
            </c:numRef>
          </c:val>
          <c:extLst>
            <c:ext xmlns:c16="http://schemas.microsoft.com/office/drawing/2014/chart" uri="{C3380CC4-5D6E-409C-BE32-E72D297353CC}">
              <c16:uniqueId val="{00000000-0DC3-457D-8E97-9BFFF9D3412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527456127122708"/>
          <c:y val="0.33345713880510286"/>
          <c:w val="0.21126714485964726"/>
          <c:h val="0.35685969575298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 finder dashboard.xlsx]Pivot Analysis!PivotTable6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Score by Program</a:t>
            </a:r>
          </a:p>
        </c:rich>
      </c:tx>
      <c:layout>
        <c:manualLayout>
          <c:xMode val="edge"/>
          <c:yMode val="edge"/>
          <c:x val="2.988888888888890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w="19050">
            <a:noFill/>
          </a:ln>
          <a:effectLst/>
        </c:spPr>
      </c:pivotFmt>
      <c:pivotFmt>
        <c:idx val="4"/>
        <c:spPr>
          <a:solidFill>
            <a:schemeClr val="accent5">
              <a:lumMod val="50000"/>
            </a:schemeClr>
          </a:solidFill>
          <a:ln w="19050">
            <a:noFill/>
          </a:ln>
          <a:effectLst/>
        </c:spPr>
      </c:pivotFmt>
      <c:pivotFmt>
        <c:idx val="5"/>
        <c:spPr>
          <a:solidFill>
            <a:schemeClr val="accent5">
              <a:lumMod val="40000"/>
              <a:lumOff val="60000"/>
            </a:schemeClr>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w="19050">
            <a:noFill/>
          </a:ln>
          <a:effectLst/>
        </c:spPr>
      </c:pivotFmt>
      <c:pivotFmt>
        <c:idx val="8"/>
        <c:spPr>
          <a:solidFill>
            <a:schemeClr val="accent5">
              <a:lumMod val="40000"/>
              <a:lumOff val="60000"/>
            </a:schemeClr>
          </a:solidFill>
          <a:ln w="19050">
            <a:noFill/>
          </a:ln>
          <a:effectLst/>
        </c:spPr>
      </c:pivotFmt>
      <c:pivotFmt>
        <c:idx val="9"/>
        <c:spPr>
          <a:solidFill>
            <a:schemeClr val="accent5">
              <a:lumMod val="75000"/>
            </a:schemeClr>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w="19050">
            <a:noFill/>
          </a:ln>
          <a:effectLst/>
        </c:spPr>
      </c:pivotFmt>
      <c:pivotFmt>
        <c:idx val="12"/>
        <c:spPr>
          <a:solidFill>
            <a:schemeClr val="accent5">
              <a:lumMod val="40000"/>
              <a:lumOff val="60000"/>
            </a:schemeClr>
          </a:solidFill>
          <a:ln w="19050">
            <a:noFill/>
          </a:ln>
          <a:effectLst/>
        </c:spPr>
      </c:pivotFmt>
      <c:pivotFmt>
        <c:idx val="13"/>
        <c:spPr>
          <a:solidFill>
            <a:schemeClr val="accent5">
              <a:lumMod val="75000"/>
            </a:schemeClr>
          </a:solidFill>
          <a:ln w="19050">
            <a:noFill/>
          </a:ln>
          <a:effectLst/>
        </c:spPr>
      </c:pivotFmt>
    </c:pivotFmts>
    <c:plotArea>
      <c:layout>
        <c:manualLayout>
          <c:layoutTarget val="inner"/>
          <c:xMode val="edge"/>
          <c:yMode val="edge"/>
          <c:x val="0.14908299126885408"/>
          <c:y val="0.16870611408812017"/>
          <c:w val="0.82017779849648953"/>
          <c:h val="0.72905251361851131"/>
        </c:manualLayout>
      </c:layout>
      <c:barChart>
        <c:barDir val="bar"/>
        <c:grouping val="clustered"/>
        <c:varyColors val="0"/>
        <c:ser>
          <c:idx val="0"/>
          <c:order val="0"/>
          <c:tx>
            <c:strRef>
              <c:f>'Pivot Analysis'!$D$12</c:f>
              <c:strCache>
                <c:ptCount val="1"/>
                <c:pt idx="0">
                  <c:v>Total</c:v>
                </c:pt>
              </c:strCache>
            </c:strRef>
          </c:tx>
          <c:spPr>
            <a:solidFill>
              <a:schemeClr val="accent1"/>
            </a:solidFill>
            <a:ln w="19050">
              <a:noFill/>
            </a:ln>
            <a:effectLst/>
          </c:spPr>
          <c:invertIfNegative val="0"/>
          <c:dPt>
            <c:idx val="0"/>
            <c:invertIfNegative val="0"/>
            <c:bubble3D val="0"/>
            <c:spPr>
              <a:solidFill>
                <a:schemeClr val="accent5">
                  <a:lumMod val="50000"/>
                </a:schemeClr>
              </a:solidFill>
              <a:ln w="19050">
                <a:noFill/>
              </a:ln>
              <a:effectLst/>
            </c:spPr>
            <c:extLst>
              <c:ext xmlns:c16="http://schemas.microsoft.com/office/drawing/2014/chart" uri="{C3380CC4-5D6E-409C-BE32-E72D297353CC}">
                <c16:uniqueId val="{00000001-032C-47CA-A3B8-BD8527E5CE04}"/>
              </c:ext>
            </c:extLst>
          </c:dPt>
          <c:dPt>
            <c:idx val="1"/>
            <c:invertIfNegative val="0"/>
            <c:bubble3D val="0"/>
            <c:spPr>
              <a:solidFill>
                <a:schemeClr val="accent5">
                  <a:lumMod val="40000"/>
                  <a:lumOff val="60000"/>
                </a:schemeClr>
              </a:solidFill>
              <a:ln w="19050">
                <a:noFill/>
              </a:ln>
              <a:effectLst/>
            </c:spPr>
            <c:extLst>
              <c:ext xmlns:c16="http://schemas.microsoft.com/office/drawing/2014/chart" uri="{C3380CC4-5D6E-409C-BE32-E72D297353CC}">
                <c16:uniqueId val="{00000003-032C-47CA-A3B8-BD8527E5CE04}"/>
              </c:ext>
            </c:extLst>
          </c:dPt>
          <c:dPt>
            <c:idx val="2"/>
            <c:invertIfNegative val="0"/>
            <c:bubble3D val="0"/>
            <c:spPr>
              <a:solidFill>
                <a:schemeClr val="accent5">
                  <a:lumMod val="75000"/>
                </a:schemeClr>
              </a:solidFill>
              <a:ln w="19050">
                <a:noFill/>
              </a:ln>
              <a:effectLst/>
            </c:spPr>
            <c:extLst>
              <c:ext xmlns:c16="http://schemas.microsoft.com/office/drawing/2014/chart" uri="{C3380CC4-5D6E-409C-BE32-E72D297353CC}">
                <c16:uniqueId val="{00000005-032C-47CA-A3B8-BD8527E5CE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Analysis'!$C$13:$C$16</c:f>
              <c:strCache>
                <c:ptCount val="3"/>
                <c:pt idx="0">
                  <c:v>SQL</c:v>
                </c:pt>
                <c:pt idx="1">
                  <c:v>Power BI</c:v>
                </c:pt>
                <c:pt idx="2">
                  <c:v>Excel</c:v>
                </c:pt>
              </c:strCache>
            </c:strRef>
          </c:cat>
          <c:val>
            <c:numRef>
              <c:f>'Pivot Analysis'!$D$13:$D$16</c:f>
              <c:numCache>
                <c:formatCode>0.00</c:formatCode>
                <c:ptCount val="3"/>
                <c:pt idx="0">
                  <c:v>71.846249999999998</c:v>
                </c:pt>
                <c:pt idx="1">
                  <c:v>71.594999999999999</c:v>
                </c:pt>
                <c:pt idx="2">
                  <c:v>71.25</c:v>
                </c:pt>
              </c:numCache>
            </c:numRef>
          </c:val>
          <c:extLst>
            <c:ext xmlns:c16="http://schemas.microsoft.com/office/drawing/2014/chart" uri="{C3380CC4-5D6E-409C-BE32-E72D297353CC}">
              <c16:uniqueId val="{00000006-032C-47CA-A3B8-BD8527E5CE04}"/>
            </c:ext>
          </c:extLst>
        </c:ser>
        <c:dLbls>
          <c:showLegendKey val="0"/>
          <c:showVal val="0"/>
          <c:showCatName val="0"/>
          <c:showSerName val="0"/>
          <c:showPercent val="0"/>
          <c:showBubbleSize val="0"/>
        </c:dLbls>
        <c:gapWidth val="62"/>
        <c:axId val="1433374320"/>
        <c:axId val="1433364240"/>
      </c:barChart>
      <c:valAx>
        <c:axId val="1433364240"/>
        <c:scaling>
          <c:orientation val="minMax"/>
        </c:scaling>
        <c:delete val="1"/>
        <c:axPos val="b"/>
        <c:numFmt formatCode="0.00" sourceLinked="1"/>
        <c:majorTickMark val="none"/>
        <c:minorTickMark val="none"/>
        <c:tickLblPos val="nextTo"/>
        <c:crossAx val="1433374320"/>
        <c:crosses val="autoZero"/>
        <c:crossBetween val="between"/>
      </c:valAx>
      <c:catAx>
        <c:axId val="1433374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3642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 finder dashboard.xlsx]Pivot Analysis!PivotTable7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Completion</a:t>
            </a:r>
            <a:r>
              <a:rPr lang="en-US" baseline="0"/>
              <a:t> Rate by Location</a:t>
            </a:r>
            <a:endParaRPr lang="en-US"/>
          </a:p>
        </c:rich>
      </c:tx>
      <c:layout>
        <c:manualLayout>
          <c:xMode val="edge"/>
          <c:yMode val="edge"/>
          <c:x val="3.9893617021276598E-2"/>
          <c:y val="3.44005323504953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86883155563"/>
          <c:y val="0.17698803023996404"/>
          <c:w val="0.65747868617486649"/>
          <c:h val="0.76567774917587705"/>
        </c:manualLayout>
      </c:layout>
      <c:barChart>
        <c:barDir val="bar"/>
        <c:grouping val="clustered"/>
        <c:varyColors val="0"/>
        <c:ser>
          <c:idx val="0"/>
          <c:order val="0"/>
          <c:tx>
            <c:strRef>
              <c:f>'Pivot Analysis'!$G$15</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Analysis'!$F$16:$F$22</c:f>
              <c:strCache>
                <c:ptCount val="6"/>
                <c:pt idx="0">
                  <c:v>Benin</c:v>
                </c:pt>
                <c:pt idx="1">
                  <c:v>Lagos</c:v>
                </c:pt>
                <c:pt idx="2">
                  <c:v>Abeokuta</c:v>
                </c:pt>
                <c:pt idx="3">
                  <c:v>Ilorin</c:v>
                </c:pt>
                <c:pt idx="4">
                  <c:v>Abuja</c:v>
                </c:pt>
                <c:pt idx="5">
                  <c:v>Ibadan</c:v>
                </c:pt>
              </c:strCache>
            </c:strRef>
          </c:cat>
          <c:val>
            <c:numRef>
              <c:f>'Pivot Analysis'!$G$16:$G$22</c:f>
              <c:numCache>
                <c:formatCode>General</c:formatCode>
                <c:ptCount val="6"/>
                <c:pt idx="0">
                  <c:v>228</c:v>
                </c:pt>
                <c:pt idx="1">
                  <c:v>225</c:v>
                </c:pt>
                <c:pt idx="2">
                  <c:v>192</c:v>
                </c:pt>
                <c:pt idx="3">
                  <c:v>189</c:v>
                </c:pt>
                <c:pt idx="4">
                  <c:v>183</c:v>
                </c:pt>
                <c:pt idx="5">
                  <c:v>183</c:v>
                </c:pt>
              </c:numCache>
            </c:numRef>
          </c:val>
          <c:extLst>
            <c:ext xmlns:c16="http://schemas.microsoft.com/office/drawing/2014/chart" uri="{C3380CC4-5D6E-409C-BE32-E72D297353CC}">
              <c16:uniqueId val="{00000000-90B2-450B-BAA0-851A8095C9B9}"/>
            </c:ext>
          </c:extLst>
        </c:ser>
        <c:dLbls>
          <c:dLblPos val="outEnd"/>
          <c:showLegendKey val="0"/>
          <c:showVal val="1"/>
          <c:showCatName val="0"/>
          <c:showSerName val="0"/>
          <c:showPercent val="0"/>
          <c:showBubbleSize val="0"/>
        </c:dLbls>
        <c:gapWidth val="30"/>
        <c:axId val="555437919"/>
        <c:axId val="555428319"/>
      </c:barChart>
      <c:catAx>
        <c:axId val="5554379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28319"/>
        <c:crosses val="autoZero"/>
        <c:auto val="1"/>
        <c:lblAlgn val="ctr"/>
        <c:lblOffset val="100"/>
        <c:noMultiLvlLbl val="0"/>
      </c:catAx>
      <c:valAx>
        <c:axId val="555428319"/>
        <c:scaling>
          <c:orientation val="minMax"/>
        </c:scaling>
        <c:delete val="1"/>
        <c:axPos val="b"/>
        <c:numFmt formatCode="General" sourceLinked="1"/>
        <c:majorTickMark val="none"/>
        <c:minorTickMark val="none"/>
        <c:tickLblPos val="nextTo"/>
        <c:crossAx val="55543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 Attendance Rate Vs Avg Score</a:t>
            </a:r>
          </a:p>
        </c:rich>
      </c:tx>
      <c:layout>
        <c:manualLayout>
          <c:xMode val="edge"/>
          <c:yMode val="edge"/>
          <c:x val="2.1159667541557306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'Pivot Analysis'!$E$50</c:f>
              <c:strCache>
                <c:ptCount val="1"/>
                <c:pt idx="0">
                  <c:v>Average of Attendance_rate</c:v>
                </c:pt>
              </c:strCache>
            </c:strRef>
          </c:tx>
          <c:spPr>
            <a:ln w="22225" cap="rnd">
              <a:solidFill>
                <a:schemeClr val="accent5">
                  <a:lumMod val="50000"/>
                </a:schemeClr>
              </a:solidFill>
              <a:round/>
            </a:ln>
            <a:effectLst/>
          </c:spPr>
          <c:marker>
            <c:symbol val="diamond"/>
            <c:size val="6"/>
            <c:spPr>
              <a:solidFill>
                <a:schemeClr val="accent5">
                  <a:lumMod val="40000"/>
                  <a:lumOff val="60000"/>
                </a:schemeClr>
              </a:solidFill>
              <a:ln w="9525">
                <a:solidFill>
                  <a:schemeClr val="accent1"/>
                </a:solidFill>
                <a:round/>
              </a:ln>
              <a:effectLst/>
            </c:spPr>
          </c:marker>
          <c:dPt>
            <c:idx val="1"/>
            <c:marker>
              <c:symbol val="diamond"/>
              <c:size val="6"/>
              <c:spPr>
                <a:solidFill>
                  <a:schemeClr val="accent5">
                    <a:lumMod val="40000"/>
                    <a:lumOff val="60000"/>
                  </a:schemeClr>
                </a:solidFill>
                <a:ln w="9525">
                  <a:solidFill>
                    <a:schemeClr val="accent1"/>
                  </a:solidFill>
                  <a:round/>
                </a:ln>
                <a:effectLst/>
              </c:spPr>
            </c:marker>
            <c:bubble3D val="0"/>
            <c:extLst>
              <c:ext xmlns:c16="http://schemas.microsoft.com/office/drawing/2014/chart" uri="{C3380CC4-5D6E-409C-BE32-E72D297353CC}">
                <c16:uniqueId val="{00000000-D145-4413-8398-10A952ECE126}"/>
              </c:ext>
            </c:extLst>
          </c:dPt>
          <c:dPt>
            <c:idx val="2"/>
            <c:marker>
              <c:symbol val="diamond"/>
              <c:size val="6"/>
              <c:spPr>
                <a:solidFill>
                  <a:schemeClr val="accent5">
                    <a:lumMod val="40000"/>
                    <a:lumOff val="60000"/>
                  </a:schemeClr>
                </a:solidFill>
                <a:ln w="9525">
                  <a:solidFill>
                    <a:schemeClr val="accent1"/>
                  </a:solidFill>
                  <a:round/>
                </a:ln>
                <a:effectLst/>
              </c:spPr>
            </c:marker>
            <c:bubble3D val="0"/>
            <c:spPr>
              <a:ln w="22225" cap="rnd">
                <a:solidFill>
                  <a:schemeClr val="accent5">
                    <a:lumMod val="50000"/>
                  </a:schemeClr>
                </a:solidFill>
                <a:round/>
              </a:ln>
              <a:effectLst/>
            </c:spPr>
            <c:extLst>
              <c:ext xmlns:c16="http://schemas.microsoft.com/office/drawing/2014/chart" uri="{C3380CC4-5D6E-409C-BE32-E72D297353CC}">
                <c16:uniqueId val="{00000002-D145-4413-8398-10A952ECE126}"/>
              </c:ext>
            </c:extLst>
          </c:dPt>
          <c:xVal>
            <c:numRef>
              <c:f>'Pivot Analysis'!$D$51:$D$53</c:f>
              <c:numCache>
                <c:formatCode>0.00</c:formatCode>
                <c:ptCount val="3"/>
                <c:pt idx="0">
                  <c:v>71.25</c:v>
                </c:pt>
                <c:pt idx="1">
                  <c:v>71.594999999999999</c:v>
                </c:pt>
                <c:pt idx="2">
                  <c:v>71.846249999999998</c:v>
                </c:pt>
              </c:numCache>
            </c:numRef>
          </c:xVal>
          <c:yVal>
            <c:numRef>
              <c:f>'Pivot Analysis'!$E$51:$E$53</c:f>
              <c:numCache>
                <c:formatCode>0.0%</c:formatCode>
                <c:ptCount val="3"/>
                <c:pt idx="0">
                  <c:v>0.83177083333333302</c:v>
                </c:pt>
                <c:pt idx="1">
                  <c:v>0.83213541666666657</c:v>
                </c:pt>
                <c:pt idx="2">
                  <c:v>0.82822916666666646</c:v>
                </c:pt>
              </c:numCache>
            </c:numRef>
          </c:yVal>
          <c:smooth val="1"/>
          <c:extLst>
            <c:ext xmlns:c16="http://schemas.microsoft.com/office/drawing/2014/chart" uri="{C3380CC4-5D6E-409C-BE32-E72D297353CC}">
              <c16:uniqueId val="{00000003-D145-4413-8398-10A952ECE126}"/>
            </c:ext>
          </c:extLst>
        </c:ser>
        <c:dLbls>
          <c:showLegendKey val="0"/>
          <c:showVal val="0"/>
          <c:showCatName val="0"/>
          <c:showSerName val="0"/>
          <c:showPercent val="0"/>
          <c:showBubbleSize val="0"/>
        </c:dLbls>
        <c:axId val="1448889024"/>
        <c:axId val="1448900064"/>
      </c:scatterChart>
      <c:valAx>
        <c:axId val="1448889024"/>
        <c:scaling>
          <c:orientation val="minMax"/>
        </c:scaling>
        <c:delete val="0"/>
        <c:axPos val="b"/>
        <c:majorGridlines>
          <c:spPr>
            <a:ln w="9525" cap="flat" cmpd="sng" algn="ctr">
              <a:solidFill>
                <a:schemeClr val="accent5">
                  <a:lumMod val="50000"/>
                </a:schemeClr>
              </a:solidFill>
              <a:round/>
            </a:ln>
            <a:effectLst/>
          </c:spPr>
        </c:majorGridlines>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900064"/>
        <c:crossesAt val="0.82800000000000007"/>
        <c:crossBetween val="midCat"/>
      </c:valAx>
      <c:valAx>
        <c:axId val="1448900064"/>
        <c:scaling>
          <c:orientation val="minMax"/>
        </c:scaling>
        <c:delete val="0"/>
        <c:axPos val="l"/>
        <c:majorGridlines>
          <c:spPr>
            <a:ln w="9525" cap="flat" cmpd="sng" algn="ctr">
              <a:solidFill>
                <a:schemeClr val="accent5">
                  <a:lumMod val="50000"/>
                </a:schemeClr>
              </a:solidFill>
              <a:round/>
            </a:ln>
            <a:effectLst/>
          </c:spPr>
        </c:majorGridlines>
        <c:numFmt formatCode="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889024"/>
        <c:crosses val="autoZero"/>
        <c:crossBetween val="midCat"/>
      </c:valAx>
      <c:spPr>
        <a:noFill/>
        <a:ln>
          <a:solidFill>
            <a:schemeClr val="accent5">
              <a:lumMod val="50000"/>
            </a:schemeClr>
          </a:solid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 finder dashboard.xlsx]Pivot Analysis!PivotTable10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a:t>
            </a:r>
            <a:r>
              <a:rPr lang="en-US" baseline="0"/>
              <a:t> Distribution by Education Level</a:t>
            </a:r>
            <a:endParaRPr lang="en-US"/>
          </a:p>
        </c:rich>
      </c:tx>
      <c:layout>
        <c:manualLayout>
          <c:xMode val="edge"/>
          <c:yMode val="edge"/>
          <c:x val="3.1099842131651182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
        <c:idx val="4"/>
        <c:spPr>
          <a:solidFill>
            <a:schemeClr val="accent5">
              <a:lumMod val="50000"/>
            </a:schemeClr>
          </a:solidFill>
          <a:ln>
            <a:noFill/>
          </a:ln>
          <a:effectLst/>
        </c:spPr>
      </c:pivotFmt>
      <c:pivotFmt>
        <c:idx val="5"/>
        <c:spPr>
          <a:solidFill>
            <a:schemeClr val="accent5">
              <a:lumMod val="60000"/>
              <a:lumOff val="40000"/>
            </a:schemeClr>
          </a:solidFill>
          <a:ln>
            <a:solidFill>
              <a:schemeClr val="accent5">
                <a:lumMod val="50000"/>
              </a:schemeClr>
            </a:solidFill>
          </a:ln>
          <a:effectLst/>
        </c:spPr>
      </c:pivotFmt>
      <c:pivotFmt>
        <c:idx val="6"/>
        <c:spPr>
          <a:solidFill>
            <a:schemeClr val="accent5">
              <a:lumMod val="40000"/>
              <a:lumOff val="60000"/>
            </a:schemeClr>
          </a:solidFill>
          <a:ln>
            <a:solidFill>
              <a:schemeClr val="accent5">
                <a:lumMod val="50000"/>
              </a:schemeClr>
            </a:solidFill>
          </a:ln>
          <a:effectLst/>
        </c:spPr>
      </c:pivotFmt>
    </c:pivotFmts>
    <c:plotArea>
      <c:layout>
        <c:manualLayout>
          <c:layoutTarget val="inner"/>
          <c:xMode val="edge"/>
          <c:yMode val="edge"/>
          <c:x val="0.10296334840327478"/>
          <c:y val="0.19997703426678776"/>
          <c:w val="0.84291900146167098"/>
          <c:h val="0.62708891441561576"/>
        </c:manualLayout>
      </c:layout>
      <c:barChart>
        <c:barDir val="col"/>
        <c:grouping val="clustered"/>
        <c:varyColors val="0"/>
        <c:ser>
          <c:idx val="0"/>
          <c:order val="0"/>
          <c:tx>
            <c:strRef>
              <c:f>'Pivot Analysis'!$B$28</c:f>
              <c:strCache>
                <c:ptCount val="1"/>
                <c:pt idx="0">
                  <c:v>Total</c:v>
                </c:pt>
              </c:strCache>
            </c:strRef>
          </c:tx>
          <c:spPr>
            <a:solidFill>
              <a:schemeClr val="accent5">
                <a:lumMod val="60000"/>
                <a:lumOff val="40000"/>
              </a:schemeClr>
            </a:solidFill>
            <a:ln>
              <a:solidFill>
                <a:schemeClr val="accent5">
                  <a:lumMod val="50000"/>
                </a:schemeClr>
              </a:solid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2-0DC3-457D-8E97-9BFFF9D3412D}"/>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0DC3-457D-8E97-9BFFF9D3412D}"/>
              </c:ext>
            </c:extLst>
          </c:dPt>
          <c:dPt>
            <c:idx val="2"/>
            <c:invertIfNegative val="0"/>
            <c:bubble3D val="0"/>
            <c:spPr>
              <a:solidFill>
                <a:schemeClr val="accent5">
                  <a:lumMod val="60000"/>
                  <a:lumOff val="40000"/>
                </a:schemeClr>
              </a:solidFill>
              <a:ln>
                <a:solidFill>
                  <a:schemeClr val="accent5">
                    <a:lumMod val="50000"/>
                  </a:schemeClr>
                </a:solidFill>
              </a:ln>
              <a:effectLst/>
            </c:spPr>
            <c:extLst>
              <c:ext xmlns:c16="http://schemas.microsoft.com/office/drawing/2014/chart" uri="{C3380CC4-5D6E-409C-BE32-E72D297353CC}">
                <c16:uniqueId val="{00000003-0DC3-457D-8E97-9BFFF9D3412D}"/>
              </c:ext>
            </c:extLst>
          </c:dPt>
          <c:dPt>
            <c:idx val="3"/>
            <c:invertIfNegative val="0"/>
            <c:bubble3D val="0"/>
            <c:spPr>
              <a:solidFill>
                <a:schemeClr val="accent5">
                  <a:lumMod val="40000"/>
                  <a:lumOff val="60000"/>
                </a:schemeClr>
              </a:solidFill>
              <a:ln>
                <a:solidFill>
                  <a:schemeClr val="accent5">
                    <a:lumMod val="50000"/>
                  </a:schemeClr>
                </a:solidFill>
              </a:ln>
              <a:effectLst/>
            </c:spPr>
            <c:extLst>
              <c:ext xmlns:c16="http://schemas.microsoft.com/office/drawing/2014/chart" uri="{C3380CC4-5D6E-409C-BE32-E72D297353CC}">
                <c16:uniqueId val="{00000004-0DC3-457D-8E97-9BFFF9D341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Analysis'!$A$29:$A$33</c:f>
              <c:strCache>
                <c:ptCount val="4"/>
                <c:pt idx="0">
                  <c:v>HND</c:v>
                </c:pt>
                <c:pt idx="1">
                  <c:v>OND</c:v>
                </c:pt>
                <c:pt idx="2">
                  <c:v>BSC</c:v>
                </c:pt>
                <c:pt idx="3">
                  <c:v>SECONDARY</c:v>
                </c:pt>
              </c:strCache>
            </c:strRef>
          </c:cat>
          <c:val>
            <c:numRef>
              <c:f>'Pivot Analysis'!$B$29:$B$33</c:f>
              <c:numCache>
                <c:formatCode>General</c:formatCode>
                <c:ptCount val="4"/>
                <c:pt idx="0">
                  <c:v>327</c:v>
                </c:pt>
                <c:pt idx="1">
                  <c:v>294</c:v>
                </c:pt>
                <c:pt idx="2">
                  <c:v>294</c:v>
                </c:pt>
                <c:pt idx="3">
                  <c:v>285</c:v>
                </c:pt>
              </c:numCache>
            </c:numRef>
          </c:val>
          <c:extLst>
            <c:ext xmlns:c16="http://schemas.microsoft.com/office/drawing/2014/chart" uri="{C3380CC4-5D6E-409C-BE32-E72D297353CC}">
              <c16:uniqueId val="{00000000-0DC3-457D-8E97-9BFFF9D3412D}"/>
            </c:ext>
          </c:extLst>
        </c:ser>
        <c:dLbls>
          <c:dLblPos val="outEnd"/>
          <c:showLegendKey val="0"/>
          <c:showVal val="1"/>
          <c:showCatName val="0"/>
          <c:showSerName val="0"/>
          <c:showPercent val="0"/>
          <c:showBubbleSize val="0"/>
        </c:dLbls>
        <c:gapWidth val="100"/>
        <c:axId val="1135981984"/>
        <c:axId val="1135990144"/>
      </c:barChart>
      <c:catAx>
        <c:axId val="1135981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990144"/>
        <c:auto val="1"/>
        <c:lblAlgn val="ctr"/>
        <c:lblOffset val="100"/>
        <c:noMultiLvlLbl val="0"/>
      </c:catAx>
      <c:valAx>
        <c:axId val="1135990144"/>
        <c:scaling>
          <c:orientation val="minMax"/>
        </c:scaling>
        <c:delete val="1"/>
        <c:axPos val="l"/>
        <c:numFmt formatCode="General" sourceLinked="1"/>
        <c:majorTickMark val="out"/>
        <c:minorTickMark val="none"/>
        <c:tickLblPos val="nextTo"/>
        <c:crossAx val="1135981984"/>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296351431399894E-2"/>
          <c:y val="2.8450827642954077E-2"/>
          <c:w val="0.61556596338861269"/>
          <c:h val="0.62779727835225418"/>
        </c:manualLayout>
      </c:layout>
      <c:doughnutChart>
        <c:varyColors val="1"/>
        <c:ser>
          <c:idx val="0"/>
          <c:order val="0"/>
          <c:spPr>
            <a:solidFill>
              <a:schemeClr val="accent5">
                <a:lumMod val="20000"/>
                <a:lumOff val="80000"/>
              </a:schemeClr>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B65B-4400-9031-EB2A9DF0E58B}"/>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B65B-4400-9031-EB2A9DF0E58B}"/>
              </c:ext>
            </c:extLst>
          </c:dPt>
          <c:val>
            <c:numRef>
              <c:f>'Pivot Analysis'!$C$44:$C$45</c:f>
              <c:numCache>
                <c:formatCode>0%</c:formatCode>
                <c:ptCount val="2"/>
                <c:pt idx="0">
                  <c:v>0.26</c:v>
                </c:pt>
                <c:pt idx="1">
                  <c:v>0.74</c:v>
                </c:pt>
              </c:numCache>
            </c:numRef>
          </c:val>
          <c:extLst>
            <c:ext xmlns:c16="http://schemas.microsoft.com/office/drawing/2014/chart" uri="{C3380CC4-5D6E-409C-BE32-E72D297353CC}">
              <c16:uniqueId val="{00000004-B65B-4400-9031-EB2A9DF0E58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 finder dashboard.xlsx]Pivot Analysis!PivotTable4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Attendance</a:t>
            </a:r>
            <a:r>
              <a:rPr lang="en-US" baseline="0"/>
              <a:t> Rate by Program</a:t>
            </a:r>
            <a:endParaRPr lang="en-US"/>
          </a:p>
        </c:rich>
      </c:tx>
      <c:layout>
        <c:manualLayout>
          <c:xMode val="edge"/>
          <c:yMode val="edge"/>
          <c:x val="2.9812335958005243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w="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0925469434634991"/>
          <c:w val="0.92443561327369317"/>
          <c:h val="0.70027077610609323"/>
        </c:manualLayout>
      </c:layout>
      <c:barChart>
        <c:barDir val="col"/>
        <c:grouping val="clustered"/>
        <c:varyColors val="0"/>
        <c:ser>
          <c:idx val="0"/>
          <c:order val="0"/>
          <c:tx>
            <c:strRef>
              <c:f>'Pivot Analysis'!$F$7</c:f>
              <c:strCache>
                <c:ptCount val="1"/>
                <c:pt idx="0">
                  <c:v>Total</c:v>
                </c:pt>
              </c:strCache>
            </c:strRef>
          </c:tx>
          <c:spPr>
            <a:solidFill>
              <a:schemeClr val="accent5">
                <a:lumMod val="75000"/>
              </a:schemeClr>
            </a:solidFill>
            <a:ln w="0">
              <a:solidFill>
                <a:schemeClr val="lt1">
                  <a:shade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Analysis'!$E$8:$E$11</c:f>
              <c:strCache>
                <c:ptCount val="3"/>
                <c:pt idx="0">
                  <c:v>Power BI</c:v>
                </c:pt>
                <c:pt idx="1">
                  <c:v>Excel</c:v>
                </c:pt>
                <c:pt idx="2">
                  <c:v>SQL</c:v>
                </c:pt>
              </c:strCache>
            </c:strRef>
          </c:cat>
          <c:val>
            <c:numRef>
              <c:f>'Pivot Analysis'!$F$8:$F$11</c:f>
              <c:numCache>
                <c:formatCode>0.000</c:formatCode>
                <c:ptCount val="3"/>
                <c:pt idx="0">
                  <c:v>0.83213541666666657</c:v>
                </c:pt>
                <c:pt idx="1">
                  <c:v>0.83177083333333302</c:v>
                </c:pt>
                <c:pt idx="2">
                  <c:v>0.82822916666666646</c:v>
                </c:pt>
              </c:numCache>
            </c:numRef>
          </c:val>
          <c:extLst>
            <c:ext xmlns:c16="http://schemas.microsoft.com/office/drawing/2014/chart" uri="{C3380CC4-5D6E-409C-BE32-E72D297353CC}">
              <c16:uniqueId val="{00000000-1666-48D9-8773-FA130608EECA}"/>
            </c:ext>
          </c:extLst>
        </c:ser>
        <c:dLbls>
          <c:showLegendKey val="0"/>
          <c:showVal val="0"/>
          <c:showCatName val="0"/>
          <c:showSerName val="0"/>
          <c:showPercent val="0"/>
          <c:showBubbleSize val="0"/>
        </c:dLbls>
        <c:gapWidth val="85"/>
        <c:overlap val="-27"/>
        <c:axId val="1430166720"/>
        <c:axId val="1430175360"/>
      </c:barChart>
      <c:catAx>
        <c:axId val="1430166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175360"/>
        <c:crosses val="autoZero"/>
        <c:auto val="1"/>
        <c:lblAlgn val="ctr"/>
        <c:lblOffset val="100"/>
        <c:noMultiLvlLbl val="0"/>
      </c:catAx>
      <c:valAx>
        <c:axId val="1430175360"/>
        <c:scaling>
          <c:orientation val="minMax"/>
        </c:scaling>
        <c:delete val="1"/>
        <c:axPos val="l"/>
        <c:numFmt formatCode="0.000" sourceLinked="1"/>
        <c:majorTickMark val="out"/>
        <c:minorTickMark val="none"/>
        <c:tickLblPos val="nextTo"/>
        <c:crossAx val="1430166720"/>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 finder dashboard.xlsx]Pivot 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Score by Program</a:t>
            </a:r>
          </a:p>
        </c:rich>
      </c:tx>
      <c:layout>
        <c:manualLayout>
          <c:xMode val="edge"/>
          <c:yMode val="edge"/>
          <c:x val="2.988888888888890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w="19050">
            <a:noFill/>
          </a:ln>
          <a:effectLst/>
        </c:spPr>
      </c:pivotFmt>
      <c:pivotFmt>
        <c:idx val="4"/>
        <c:spPr>
          <a:solidFill>
            <a:schemeClr val="accent5">
              <a:lumMod val="50000"/>
            </a:schemeClr>
          </a:solidFill>
          <a:ln w="19050">
            <a:noFill/>
          </a:ln>
          <a:effectLst/>
        </c:spPr>
      </c:pivotFmt>
      <c:pivotFmt>
        <c:idx val="5"/>
        <c:spPr>
          <a:solidFill>
            <a:schemeClr val="accent5">
              <a:lumMod val="40000"/>
              <a:lumOff val="60000"/>
            </a:schemeClr>
          </a:solidFill>
          <a:ln w="19050">
            <a:noFill/>
          </a:ln>
          <a:effectLst/>
        </c:spPr>
      </c:pivotFmt>
    </c:pivotFmts>
    <c:plotArea>
      <c:layout>
        <c:manualLayout>
          <c:layoutTarget val="inner"/>
          <c:xMode val="edge"/>
          <c:yMode val="edge"/>
          <c:x val="0.14908299126885408"/>
          <c:y val="0.16870611408812017"/>
          <c:w val="0.82017779849648953"/>
          <c:h val="0.72905251361851131"/>
        </c:manualLayout>
      </c:layout>
      <c:barChart>
        <c:barDir val="bar"/>
        <c:grouping val="clustered"/>
        <c:varyColors val="0"/>
        <c:ser>
          <c:idx val="0"/>
          <c:order val="0"/>
          <c:tx>
            <c:strRef>
              <c:f>'Pivot Analysis'!$D$12</c:f>
              <c:strCache>
                <c:ptCount val="1"/>
                <c:pt idx="0">
                  <c:v>Total</c:v>
                </c:pt>
              </c:strCache>
            </c:strRef>
          </c:tx>
          <c:spPr>
            <a:solidFill>
              <a:schemeClr val="accent1"/>
            </a:solidFill>
            <a:ln w="19050">
              <a:noFill/>
            </a:ln>
            <a:effectLst/>
          </c:spPr>
          <c:invertIfNegative val="0"/>
          <c:dPt>
            <c:idx val="0"/>
            <c:invertIfNegative val="0"/>
            <c:bubble3D val="0"/>
            <c:spPr>
              <a:solidFill>
                <a:schemeClr val="accent5">
                  <a:lumMod val="50000"/>
                </a:schemeClr>
              </a:solidFill>
              <a:ln w="19050">
                <a:noFill/>
              </a:ln>
              <a:effectLst/>
            </c:spPr>
            <c:extLst>
              <c:ext xmlns:c16="http://schemas.microsoft.com/office/drawing/2014/chart" uri="{C3380CC4-5D6E-409C-BE32-E72D297353CC}">
                <c16:uniqueId val="{00000002-89E7-4FFE-8F62-558B43B9978B}"/>
              </c:ext>
            </c:extLst>
          </c:dPt>
          <c:dPt>
            <c:idx val="1"/>
            <c:invertIfNegative val="0"/>
            <c:bubble3D val="0"/>
            <c:spPr>
              <a:solidFill>
                <a:schemeClr val="accent5">
                  <a:lumMod val="40000"/>
                  <a:lumOff val="60000"/>
                </a:schemeClr>
              </a:solidFill>
              <a:ln w="19050">
                <a:noFill/>
              </a:ln>
              <a:effectLst/>
            </c:spPr>
            <c:extLst>
              <c:ext xmlns:c16="http://schemas.microsoft.com/office/drawing/2014/chart" uri="{C3380CC4-5D6E-409C-BE32-E72D297353CC}">
                <c16:uniqueId val="{00000003-89E7-4FFE-8F62-558B43B9978B}"/>
              </c:ext>
            </c:extLst>
          </c:dPt>
          <c:dPt>
            <c:idx val="2"/>
            <c:invertIfNegative val="0"/>
            <c:bubble3D val="0"/>
            <c:spPr>
              <a:solidFill>
                <a:schemeClr val="accent5">
                  <a:lumMod val="75000"/>
                </a:schemeClr>
              </a:solidFill>
              <a:ln w="19050">
                <a:noFill/>
              </a:ln>
              <a:effectLst/>
            </c:spPr>
            <c:extLst>
              <c:ext xmlns:c16="http://schemas.microsoft.com/office/drawing/2014/chart" uri="{C3380CC4-5D6E-409C-BE32-E72D297353CC}">
                <c16:uniqueId val="{00000001-89E7-4FFE-8F62-558B43B997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Analysis'!$C$13:$C$16</c:f>
              <c:strCache>
                <c:ptCount val="3"/>
                <c:pt idx="0">
                  <c:v>SQL</c:v>
                </c:pt>
                <c:pt idx="1">
                  <c:v>Power BI</c:v>
                </c:pt>
                <c:pt idx="2">
                  <c:v>Excel</c:v>
                </c:pt>
              </c:strCache>
            </c:strRef>
          </c:cat>
          <c:val>
            <c:numRef>
              <c:f>'Pivot Analysis'!$D$13:$D$16</c:f>
              <c:numCache>
                <c:formatCode>0.00</c:formatCode>
                <c:ptCount val="3"/>
                <c:pt idx="0">
                  <c:v>71.846249999999998</c:v>
                </c:pt>
                <c:pt idx="1">
                  <c:v>71.594999999999999</c:v>
                </c:pt>
                <c:pt idx="2">
                  <c:v>71.25</c:v>
                </c:pt>
              </c:numCache>
            </c:numRef>
          </c:val>
          <c:extLst>
            <c:ext xmlns:c16="http://schemas.microsoft.com/office/drawing/2014/chart" uri="{C3380CC4-5D6E-409C-BE32-E72D297353CC}">
              <c16:uniqueId val="{00000000-89E7-4FFE-8F62-558B43B9978B}"/>
            </c:ext>
          </c:extLst>
        </c:ser>
        <c:dLbls>
          <c:showLegendKey val="0"/>
          <c:showVal val="0"/>
          <c:showCatName val="0"/>
          <c:showSerName val="0"/>
          <c:showPercent val="0"/>
          <c:showBubbleSize val="0"/>
        </c:dLbls>
        <c:gapWidth val="62"/>
        <c:axId val="1433374320"/>
        <c:axId val="1433364240"/>
      </c:barChart>
      <c:valAx>
        <c:axId val="1433364240"/>
        <c:scaling>
          <c:orientation val="minMax"/>
        </c:scaling>
        <c:delete val="1"/>
        <c:axPos val="b"/>
        <c:numFmt formatCode="0.00" sourceLinked="1"/>
        <c:majorTickMark val="none"/>
        <c:minorTickMark val="none"/>
        <c:tickLblPos val="nextTo"/>
        <c:crossAx val="1433374320"/>
        <c:crosses val="autoZero"/>
        <c:crossBetween val="between"/>
      </c:valAx>
      <c:catAx>
        <c:axId val="1433374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3642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 finder dashboard.xlsx]Pivot 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Completion</a:t>
            </a:r>
            <a:r>
              <a:rPr lang="en-US" baseline="0"/>
              <a:t> Rate by Location</a:t>
            </a:r>
            <a:endParaRPr lang="en-US"/>
          </a:p>
        </c:rich>
      </c:tx>
      <c:layout>
        <c:manualLayout>
          <c:xMode val="edge"/>
          <c:yMode val="edge"/>
          <c:x val="3.9893617021276598E-2"/>
          <c:y val="3.44005323504953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86883155563"/>
          <c:y val="0.17698803023996404"/>
          <c:w val="0.65747868617486649"/>
          <c:h val="0.76567774917587705"/>
        </c:manualLayout>
      </c:layout>
      <c:barChart>
        <c:barDir val="bar"/>
        <c:grouping val="clustered"/>
        <c:varyColors val="0"/>
        <c:ser>
          <c:idx val="0"/>
          <c:order val="0"/>
          <c:tx>
            <c:strRef>
              <c:f>'Pivot Analysis'!$G$15</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Analysis'!$F$16:$F$22</c:f>
              <c:strCache>
                <c:ptCount val="6"/>
                <c:pt idx="0">
                  <c:v>Benin</c:v>
                </c:pt>
                <c:pt idx="1">
                  <c:v>Lagos</c:v>
                </c:pt>
                <c:pt idx="2">
                  <c:v>Abeokuta</c:v>
                </c:pt>
                <c:pt idx="3">
                  <c:v>Ilorin</c:v>
                </c:pt>
                <c:pt idx="4">
                  <c:v>Abuja</c:v>
                </c:pt>
                <c:pt idx="5">
                  <c:v>Ibadan</c:v>
                </c:pt>
              </c:strCache>
            </c:strRef>
          </c:cat>
          <c:val>
            <c:numRef>
              <c:f>'Pivot Analysis'!$G$16:$G$22</c:f>
              <c:numCache>
                <c:formatCode>General</c:formatCode>
                <c:ptCount val="6"/>
                <c:pt idx="0">
                  <c:v>228</c:v>
                </c:pt>
                <c:pt idx="1">
                  <c:v>225</c:v>
                </c:pt>
                <c:pt idx="2">
                  <c:v>192</c:v>
                </c:pt>
                <c:pt idx="3">
                  <c:v>189</c:v>
                </c:pt>
                <c:pt idx="4">
                  <c:v>183</c:v>
                </c:pt>
                <c:pt idx="5">
                  <c:v>183</c:v>
                </c:pt>
              </c:numCache>
            </c:numRef>
          </c:val>
          <c:extLst>
            <c:ext xmlns:c16="http://schemas.microsoft.com/office/drawing/2014/chart" uri="{C3380CC4-5D6E-409C-BE32-E72D297353CC}">
              <c16:uniqueId val="{00000006-7137-41C6-90C7-D5E71C13952D}"/>
            </c:ext>
          </c:extLst>
        </c:ser>
        <c:dLbls>
          <c:dLblPos val="outEnd"/>
          <c:showLegendKey val="0"/>
          <c:showVal val="1"/>
          <c:showCatName val="0"/>
          <c:showSerName val="0"/>
          <c:showPercent val="0"/>
          <c:showBubbleSize val="0"/>
        </c:dLbls>
        <c:gapWidth val="30"/>
        <c:axId val="555437919"/>
        <c:axId val="555428319"/>
      </c:barChart>
      <c:catAx>
        <c:axId val="5554379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28319"/>
        <c:crosses val="autoZero"/>
        <c:auto val="1"/>
        <c:lblAlgn val="ctr"/>
        <c:lblOffset val="100"/>
        <c:noMultiLvlLbl val="0"/>
      </c:catAx>
      <c:valAx>
        <c:axId val="555428319"/>
        <c:scaling>
          <c:orientation val="minMax"/>
        </c:scaling>
        <c:delete val="1"/>
        <c:axPos val="b"/>
        <c:numFmt formatCode="General" sourceLinked="1"/>
        <c:majorTickMark val="none"/>
        <c:minorTickMark val="none"/>
        <c:tickLblPos val="nextTo"/>
        <c:crossAx val="55543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 Attendance Rate Vs Avg Score</a:t>
            </a:r>
          </a:p>
        </c:rich>
      </c:tx>
      <c:layout>
        <c:manualLayout>
          <c:xMode val="edge"/>
          <c:yMode val="edge"/>
          <c:x val="2.1159667541557306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'Pivot Analysis'!$E$50</c:f>
              <c:strCache>
                <c:ptCount val="1"/>
                <c:pt idx="0">
                  <c:v>Average of Attendance_rate</c:v>
                </c:pt>
              </c:strCache>
            </c:strRef>
          </c:tx>
          <c:spPr>
            <a:ln w="22225" cap="rnd">
              <a:solidFill>
                <a:schemeClr val="accent5">
                  <a:lumMod val="50000"/>
                </a:schemeClr>
              </a:solidFill>
              <a:round/>
            </a:ln>
            <a:effectLst/>
          </c:spPr>
          <c:marker>
            <c:symbol val="diamond"/>
            <c:size val="6"/>
            <c:spPr>
              <a:solidFill>
                <a:schemeClr val="accent5">
                  <a:lumMod val="40000"/>
                  <a:lumOff val="60000"/>
                </a:schemeClr>
              </a:solidFill>
              <a:ln w="9525">
                <a:solidFill>
                  <a:schemeClr val="accent1"/>
                </a:solidFill>
                <a:round/>
              </a:ln>
              <a:effectLst/>
            </c:spPr>
          </c:marker>
          <c:dPt>
            <c:idx val="1"/>
            <c:marker>
              <c:symbol val="diamond"/>
              <c:size val="6"/>
              <c:spPr>
                <a:solidFill>
                  <a:schemeClr val="accent5">
                    <a:lumMod val="40000"/>
                    <a:lumOff val="60000"/>
                  </a:schemeClr>
                </a:solidFill>
                <a:ln w="9525">
                  <a:solidFill>
                    <a:schemeClr val="accent1"/>
                  </a:solidFill>
                  <a:round/>
                </a:ln>
                <a:effectLst/>
              </c:spPr>
            </c:marker>
            <c:bubble3D val="0"/>
            <c:extLst>
              <c:ext xmlns:c16="http://schemas.microsoft.com/office/drawing/2014/chart" uri="{C3380CC4-5D6E-409C-BE32-E72D297353CC}">
                <c16:uniqueId val="{00000001-7B3E-489A-B38D-5068698E22BA}"/>
              </c:ext>
            </c:extLst>
          </c:dPt>
          <c:dPt>
            <c:idx val="2"/>
            <c:marker>
              <c:symbol val="diamond"/>
              <c:size val="6"/>
              <c:spPr>
                <a:solidFill>
                  <a:schemeClr val="accent5">
                    <a:lumMod val="40000"/>
                    <a:lumOff val="60000"/>
                  </a:schemeClr>
                </a:solidFill>
                <a:ln w="9525">
                  <a:solidFill>
                    <a:schemeClr val="accent1"/>
                  </a:solidFill>
                  <a:round/>
                </a:ln>
                <a:effectLst/>
              </c:spPr>
            </c:marker>
            <c:bubble3D val="0"/>
            <c:spPr>
              <a:ln w="22225" cap="rnd">
                <a:solidFill>
                  <a:schemeClr val="accent5">
                    <a:lumMod val="50000"/>
                  </a:schemeClr>
                </a:solidFill>
                <a:round/>
              </a:ln>
              <a:effectLst/>
            </c:spPr>
            <c:extLst>
              <c:ext xmlns:c16="http://schemas.microsoft.com/office/drawing/2014/chart" uri="{C3380CC4-5D6E-409C-BE32-E72D297353CC}">
                <c16:uniqueId val="{00000004-7B3E-489A-B38D-5068698E22BA}"/>
              </c:ext>
            </c:extLst>
          </c:dPt>
          <c:xVal>
            <c:numRef>
              <c:f>'Pivot Analysis'!$D$51:$D$53</c:f>
              <c:numCache>
                <c:formatCode>0.00</c:formatCode>
                <c:ptCount val="3"/>
                <c:pt idx="0">
                  <c:v>71.25</c:v>
                </c:pt>
                <c:pt idx="1">
                  <c:v>71.594999999999999</c:v>
                </c:pt>
                <c:pt idx="2">
                  <c:v>71.846249999999998</c:v>
                </c:pt>
              </c:numCache>
            </c:numRef>
          </c:xVal>
          <c:yVal>
            <c:numRef>
              <c:f>'Pivot Analysis'!$E$51:$E$53</c:f>
              <c:numCache>
                <c:formatCode>0.0%</c:formatCode>
                <c:ptCount val="3"/>
                <c:pt idx="0">
                  <c:v>0.83177083333333302</c:v>
                </c:pt>
                <c:pt idx="1">
                  <c:v>0.83213541666666657</c:v>
                </c:pt>
                <c:pt idx="2">
                  <c:v>0.82822916666666646</c:v>
                </c:pt>
              </c:numCache>
            </c:numRef>
          </c:yVal>
          <c:smooth val="1"/>
          <c:extLst>
            <c:ext xmlns:c16="http://schemas.microsoft.com/office/drawing/2014/chart" uri="{C3380CC4-5D6E-409C-BE32-E72D297353CC}">
              <c16:uniqueId val="{00000002-7B3E-489A-B38D-5068698E22BA}"/>
            </c:ext>
          </c:extLst>
        </c:ser>
        <c:dLbls>
          <c:showLegendKey val="0"/>
          <c:showVal val="0"/>
          <c:showCatName val="0"/>
          <c:showSerName val="0"/>
          <c:showPercent val="0"/>
          <c:showBubbleSize val="0"/>
        </c:dLbls>
        <c:axId val="1448889024"/>
        <c:axId val="1448900064"/>
      </c:scatterChart>
      <c:valAx>
        <c:axId val="1448889024"/>
        <c:scaling>
          <c:orientation val="minMax"/>
        </c:scaling>
        <c:delete val="0"/>
        <c:axPos val="b"/>
        <c:majorGridlines>
          <c:spPr>
            <a:ln w="9525" cap="flat" cmpd="sng" algn="ctr">
              <a:solidFill>
                <a:schemeClr val="accent5">
                  <a:lumMod val="50000"/>
                </a:schemeClr>
              </a:solidFill>
              <a:round/>
            </a:ln>
            <a:effectLst/>
          </c:spPr>
        </c:majorGridlines>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900064"/>
        <c:crossesAt val="0.82800000000000007"/>
        <c:crossBetween val="midCat"/>
      </c:valAx>
      <c:valAx>
        <c:axId val="1448900064"/>
        <c:scaling>
          <c:orientation val="minMax"/>
        </c:scaling>
        <c:delete val="0"/>
        <c:axPos val="l"/>
        <c:majorGridlines>
          <c:spPr>
            <a:ln w="9525" cap="flat" cmpd="sng" algn="ctr">
              <a:solidFill>
                <a:schemeClr val="accent5">
                  <a:lumMod val="50000"/>
                </a:schemeClr>
              </a:solidFill>
              <a:round/>
            </a:ln>
            <a:effectLst/>
          </c:spPr>
        </c:majorGridlines>
        <c:numFmt formatCode="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889024"/>
        <c:crosses val="autoZero"/>
        <c:crossBetween val="midCat"/>
      </c:valAx>
      <c:spPr>
        <a:noFill/>
        <a:ln>
          <a:solidFill>
            <a:schemeClr val="accent5">
              <a:lumMod val="50000"/>
            </a:schemeClr>
          </a:solid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 finder dashboard.xlsx]Pivot Analysis!PivotTable11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a:t>
            </a:r>
            <a:r>
              <a:rPr lang="en-US" baseline="0"/>
              <a:t> Gender</a:t>
            </a:r>
            <a:endParaRPr lang="en-US"/>
          </a:p>
        </c:rich>
      </c:tx>
      <c:layout>
        <c:manualLayout>
          <c:xMode val="edge"/>
          <c:yMode val="edge"/>
          <c:x val="3.956107082774022E-2"/>
          <c:y val="3.88030728774668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5">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19050">
            <a:solidFill>
              <a:schemeClr val="lt1"/>
            </a:solidFill>
          </a:ln>
          <a:effectLst/>
        </c:spPr>
      </c:pivotFmt>
      <c:pivotFmt>
        <c:idx val="6"/>
        <c:spPr>
          <a:solidFill>
            <a:schemeClr val="accent5">
              <a:lumMod val="40000"/>
              <a:lumOff val="60000"/>
            </a:schemeClr>
          </a:solidFill>
          <a:ln w="19050">
            <a:solidFill>
              <a:schemeClr val="lt1"/>
            </a:solidFill>
          </a:ln>
          <a:effectLst/>
        </c:spPr>
      </c:pivotFmt>
    </c:pivotFmts>
    <c:plotArea>
      <c:layout/>
      <c:doughnutChart>
        <c:varyColors val="1"/>
        <c:ser>
          <c:idx val="0"/>
          <c:order val="0"/>
          <c:tx>
            <c:strRef>
              <c:f>'Pivot Analysis'!$E$28</c:f>
              <c:strCache>
                <c:ptCount val="1"/>
                <c:pt idx="0">
                  <c:v>Total</c:v>
                </c:pt>
              </c:strCache>
            </c:strRef>
          </c:tx>
          <c:spPr>
            <a:solidFill>
              <a:schemeClr val="accent5">
                <a:lumMod val="75000"/>
              </a:schemeClr>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595E-48A3-9FD0-F93AB8B4C33B}"/>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595E-48A3-9FD0-F93AB8B4C3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Analysis'!$D$29:$D$31</c:f>
              <c:strCache>
                <c:ptCount val="2"/>
                <c:pt idx="0">
                  <c:v>Female</c:v>
                </c:pt>
                <c:pt idx="1">
                  <c:v>Male</c:v>
                </c:pt>
              </c:strCache>
            </c:strRef>
          </c:cat>
          <c:val>
            <c:numRef>
              <c:f>'Pivot Analysis'!$E$29:$E$31</c:f>
              <c:numCache>
                <c:formatCode>General</c:formatCode>
                <c:ptCount val="2"/>
                <c:pt idx="0">
                  <c:v>594</c:v>
                </c:pt>
                <c:pt idx="1">
                  <c:v>606</c:v>
                </c:pt>
              </c:numCache>
            </c:numRef>
          </c:val>
          <c:extLst>
            <c:ext xmlns:c16="http://schemas.microsoft.com/office/drawing/2014/chart" uri="{C3380CC4-5D6E-409C-BE32-E72D297353CC}">
              <c16:uniqueId val="{00000004-595E-48A3-9FD0-F93AB8B4C33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718758243110963"/>
          <c:y val="5.2341373343612912E-2"/>
          <c:w val="0.19186796954225455"/>
          <c:h val="0.205872877331027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3</xdr:col>
      <xdr:colOff>1</xdr:colOff>
      <xdr:row>40</xdr:row>
      <xdr:rowOff>0</xdr:rowOff>
    </xdr:from>
    <xdr:to>
      <xdr:col>7</xdr:col>
      <xdr:colOff>411481</xdr:colOff>
      <xdr:row>50</xdr:row>
      <xdr:rowOff>137159</xdr:rowOff>
    </xdr:to>
    <xdr:graphicFrame macro="">
      <xdr:nvGraphicFramePr>
        <xdr:cNvPr id="4" name="Chart 3">
          <a:extLst>
            <a:ext uri="{FF2B5EF4-FFF2-40B4-BE49-F238E27FC236}">
              <a16:creationId xmlns:a16="http://schemas.microsoft.com/office/drawing/2014/main" id="{4433FF9C-2205-44D2-AF40-C5906FC77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54</xdr:row>
      <xdr:rowOff>179916</xdr:rowOff>
    </xdr:from>
    <xdr:to>
      <xdr:col>7</xdr:col>
      <xdr:colOff>603250</xdr:colOff>
      <xdr:row>71</xdr:row>
      <xdr:rowOff>116415</xdr:rowOff>
    </xdr:to>
    <xdr:graphicFrame macro="">
      <xdr:nvGraphicFramePr>
        <xdr:cNvPr id="5" name="Chart 4">
          <a:extLst>
            <a:ext uri="{FF2B5EF4-FFF2-40B4-BE49-F238E27FC236}">
              <a16:creationId xmlns:a16="http://schemas.microsoft.com/office/drawing/2014/main" id="{3A92DA44-971B-4A9C-94A8-2D6708EA6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xdr:colOff>
      <xdr:row>73</xdr:row>
      <xdr:rowOff>0</xdr:rowOff>
    </xdr:from>
    <xdr:to>
      <xdr:col>8</xdr:col>
      <xdr:colOff>1</xdr:colOff>
      <xdr:row>86</xdr:row>
      <xdr:rowOff>34073</xdr:rowOff>
    </xdr:to>
    <xdr:graphicFrame macro="">
      <xdr:nvGraphicFramePr>
        <xdr:cNvPr id="6" name="Chart 5">
          <a:extLst>
            <a:ext uri="{FF2B5EF4-FFF2-40B4-BE49-F238E27FC236}">
              <a16:creationId xmlns:a16="http://schemas.microsoft.com/office/drawing/2014/main" id="{59D9046D-4B10-49F4-8F04-45414215B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259978</xdr:colOff>
      <xdr:row>89</xdr:row>
      <xdr:rowOff>0</xdr:rowOff>
    </xdr:from>
    <xdr:to>
      <xdr:col>9</xdr:col>
      <xdr:colOff>116542</xdr:colOff>
      <xdr:row>102</xdr:row>
      <xdr:rowOff>56193</xdr:rowOff>
    </xdr:to>
    <xdr:graphicFrame macro="">
      <xdr:nvGraphicFramePr>
        <xdr:cNvPr id="7" name="Chart 6">
          <a:extLst>
            <a:ext uri="{FF2B5EF4-FFF2-40B4-BE49-F238E27FC236}">
              <a16:creationId xmlns:a16="http://schemas.microsoft.com/office/drawing/2014/main" id="{43838937-7F76-4DD3-8B5E-D55203FF3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109</xdr:row>
      <xdr:rowOff>0</xdr:rowOff>
    </xdr:from>
    <xdr:to>
      <xdr:col>10</xdr:col>
      <xdr:colOff>222657</xdr:colOff>
      <xdr:row>122</xdr:row>
      <xdr:rowOff>73431</xdr:rowOff>
    </xdr:to>
    <xdr:graphicFrame macro="">
      <xdr:nvGraphicFramePr>
        <xdr:cNvPr id="9" name="Chart 8">
          <a:extLst>
            <a:ext uri="{FF2B5EF4-FFF2-40B4-BE49-F238E27FC236}">
              <a16:creationId xmlns:a16="http://schemas.microsoft.com/office/drawing/2014/main" id="{773BE118-8B25-475B-8B1B-CC7AC93AB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612563</xdr:colOff>
      <xdr:row>1</xdr:row>
      <xdr:rowOff>83396</xdr:rowOff>
    </xdr:from>
    <xdr:to>
      <xdr:col>25</xdr:col>
      <xdr:colOff>582083</xdr:colOff>
      <xdr:row>45</xdr:row>
      <xdr:rowOff>117965</xdr:rowOff>
    </xdr:to>
    <xdr:sp macro="" textlink="">
      <xdr:nvSpPr>
        <xdr:cNvPr id="2" name="Rectangle 1">
          <a:extLst>
            <a:ext uri="{FF2B5EF4-FFF2-40B4-BE49-F238E27FC236}">
              <a16:creationId xmlns:a16="http://schemas.microsoft.com/office/drawing/2014/main" id="{73951DA2-E10C-80B8-9B87-BB1546C2EF09}"/>
            </a:ext>
          </a:extLst>
        </xdr:cNvPr>
        <xdr:cNvSpPr/>
      </xdr:nvSpPr>
      <xdr:spPr>
        <a:xfrm>
          <a:off x="1226396" y="263313"/>
          <a:ext cx="14701520" cy="8003819"/>
        </a:xfrm>
        <a:prstGeom prst="rect">
          <a:avLst/>
        </a:prstGeom>
        <a:solidFill>
          <a:schemeClr val="accent5">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200"/>
        </a:p>
      </xdr:txBody>
    </xdr:sp>
    <xdr:clientData/>
  </xdr:twoCellAnchor>
  <xdr:twoCellAnchor>
    <xdr:from>
      <xdr:col>2</xdr:col>
      <xdr:colOff>587435</xdr:colOff>
      <xdr:row>4</xdr:row>
      <xdr:rowOff>110496</xdr:rowOff>
    </xdr:from>
    <xdr:to>
      <xdr:col>24</xdr:col>
      <xdr:colOff>524200</xdr:colOff>
      <xdr:row>41</xdr:row>
      <xdr:rowOff>179160</xdr:rowOff>
    </xdr:to>
    <xdr:sp macro="" textlink="">
      <xdr:nvSpPr>
        <xdr:cNvPr id="3" name="Rectangle: Rounded Corners 2">
          <a:extLst>
            <a:ext uri="{FF2B5EF4-FFF2-40B4-BE49-F238E27FC236}">
              <a16:creationId xmlns:a16="http://schemas.microsoft.com/office/drawing/2014/main" id="{A28AFB81-B52D-427E-7B17-F03F905DD86B}"/>
            </a:ext>
          </a:extLst>
        </xdr:cNvPr>
        <xdr:cNvSpPr/>
      </xdr:nvSpPr>
      <xdr:spPr>
        <a:xfrm>
          <a:off x="1800415" y="856945"/>
          <a:ext cx="13279540" cy="7012195"/>
        </a:xfrm>
        <a:prstGeom prst="roundRect">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12227</xdr:colOff>
      <xdr:row>9</xdr:row>
      <xdr:rowOff>62359</xdr:rowOff>
    </xdr:from>
    <xdr:to>
      <xdr:col>3</xdr:col>
      <xdr:colOff>493490</xdr:colOff>
      <xdr:row>35</xdr:row>
      <xdr:rowOff>52333</xdr:rowOff>
    </xdr:to>
    <xdr:sp macro="" textlink="">
      <xdr:nvSpPr>
        <xdr:cNvPr id="7" name="Rectangle: Top Corners Snipped 6">
          <a:extLst>
            <a:ext uri="{FF2B5EF4-FFF2-40B4-BE49-F238E27FC236}">
              <a16:creationId xmlns:a16="http://schemas.microsoft.com/office/drawing/2014/main" id="{331269A2-E22E-6373-A243-1B1C9F9CBE41}"/>
            </a:ext>
          </a:extLst>
        </xdr:cNvPr>
        <xdr:cNvSpPr/>
      </xdr:nvSpPr>
      <xdr:spPr>
        <a:xfrm>
          <a:off x="1238861" y="1735042"/>
          <a:ext cx="1094580" cy="4822169"/>
        </a:xfrm>
        <a:prstGeom prst="snip2Same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240632</xdr:colOff>
      <xdr:row>5</xdr:row>
      <xdr:rowOff>150396</xdr:rowOff>
    </xdr:from>
    <xdr:to>
      <xdr:col>7</xdr:col>
      <xdr:colOff>565816</xdr:colOff>
      <xdr:row>12</xdr:row>
      <xdr:rowOff>110290</xdr:rowOff>
    </xdr:to>
    <xdr:sp macro="" textlink="">
      <xdr:nvSpPr>
        <xdr:cNvPr id="8" name="Rectangle 7">
          <a:extLst>
            <a:ext uri="{FF2B5EF4-FFF2-40B4-BE49-F238E27FC236}">
              <a16:creationId xmlns:a16="http://schemas.microsoft.com/office/drawing/2014/main" id="{DA3D1F05-6456-46FE-6E4B-3798C32B2F48}"/>
            </a:ext>
          </a:extLst>
        </xdr:cNvPr>
        <xdr:cNvSpPr/>
      </xdr:nvSpPr>
      <xdr:spPr>
        <a:xfrm>
          <a:off x="2687053" y="1052764"/>
          <a:ext cx="2160000" cy="1223210"/>
        </a:xfrm>
        <a:prstGeom prst="rect">
          <a:avLst/>
        </a:prstGeom>
        <a:solidFill>
          <a:schemeClr val="accent5">
            <a:lumMod val="20000"/>
            <a:lumOff val="80000"/>
          </a:schemeClr>
        </a:solidFill>
        <a:ln>
          <a:solidFill>
            <a:schemeClr val="accent5">
              <a:lumMod val="20000"/>
              <a:lumOff val="8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210553</xdr:colOff>
      <xdr:row>5</xdr:row>
      <xdr:rowOff>160422</xdr:rowOff>
    </xdr:from>
    <xdr:to>
      <xdr:col>11</xdr:col>
      <xdr:colOff>535737</xdr:colOff>
      <xdr:row>12</xdr:row>
      <xdr:rowOff>120316</xdr:rowOff>
    </xdr:to>
    <xdr:sp macro="" textlink="">
      <xdr:nvSpPr>
        <xdr:cNvPr id="9" name="Rectangle 8">
          <a:extLst>
            <a:ext uri="{FF2B5EF4-FFF2-40B4-BE49-F238E27FC236}">
              <a16:creationId xmlns:a16="http://schemas.microsoft.com/office/drawing/2014/main" id="{EA11CEFC-9DBC-4285-8D10-859D65B4D71E}"/>
            </a:ext>
          </a:extLst>
        </xdr:cNvPr>
        <xdr:cNvSpPr/>
      </xdr:nvSpPr>
      <xdr:spPr>
        <a:xfrm>
          <a:off x="5103395" y="1062790"/>
          <a:ext cx="2160000" cy="1223210"/>
        </a:xfrm>
        <a:prstGeom prst="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232610</xdr:colOff>
      <xdr:row>5</xdr:row>
      <xdr:rowOff>172455</xdr:rowOff>
    </xdr:from>
    <xdr:to>
      <xdr:col>15</xdr:col>
      <xdr:colOff>557794</xdr:colOff>
      <xdr:row>12</xdr:row>
      <xdr:rowOff>132349</xdr:rowOff>
    </xdr:to>
    <xdr:sp macro="" textlink="">
      <xdr:nvSpPr>
        <xdr:cNvPr id="10" name="Rectangle 9">
          <a:extLst>
            <a:ext uri="{FF2B5EF4-FFF2-40B4-BE49-F238E27FC236}">
              <a16:creationId xmlns:a16="http://schemas.microsoft.com/office/drawing/2014/main" id="{0A976746-9672-432D-9A4F-B0E6D04B491C}"/>
            </a:ext>
          </a:extLst>
        </xdr:cNvPr>
        <xdr:cNvSpPr/>
      </xdr:nvSpPr>
      <xdr:spPr>
        <a:xfrm>
          <a:off x="7571873" y="1074823"/>
          <a:ext cx="2160000" cy="1223210"/>
        </a:xfrm>
        <a:prstGeom prst="rect">
          <a:avLst/>
        </a:prstGeom>
        <a:solidFill>
          <a:schemeClr val="accent5">
            <a:lumMod val="20000"/>
            <a:lumOff val="80000"/>
          </a:schemeClr>
        </a:solidFill>
        <a:ln>
          <a:solidFill>
            <a:schemeClr val="accent5">
              <a:lumMod val="20000"/>
              <a:lumOff val="8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292685</xdr:colOff>
      <xdr:row>6</xdr:row>
      <xdr:rowOff>6101</xdr:rowOff>
    </xdr:from>
    <xdr:to>
      <xdr:col>24</xdr:col>
      <xdr:colOff>6682</xdr:colOff>
      <xdr:row>12</xdr:row>
      <xdr:rowOff>146469</xdr:rowOff>
    </xdr:to>
    <xdr:sp macro="" textlink="">
      <xdr:nvSpPr>
        <xdr:cNvPr id="11" name="Rectangle 10">
          <a:extLst>
            <a:ext uri="{FF2B5EF4-FFF2-40B4-BE49-F238E27FC236}">
              <a16:creationId xmlns:a16="http://schemas.microsoft.com/office/drawing/2014/main" id="{B307285A-38F8-4F85-8CF5-24A4A23F1C0E}"/>
            </a:ext>
          </a:extLst>
        </xdr:cNvPr>
        <xdr:cNvSpPr/>
      </xdr:nvSpPr>
      <xdr:spPr>
        <a:xfrm>
          <a:off x="12516435" y="1101476"/>
          <a:ext cx="2158747" cy="1235743"/>
        </a:xfrm>
        <a:prstGeom prst="rect">
          <a:avLst/>
        </a:prstGeom>
        <a:solidFill>
          <a:schemeClr val="accent5">
            <a:lumMod val="20000"/>
            <a:lumOff val="80000"/>
          </a:schemeClr>
        </a:solidFill>
        <a:ln>
          <a:solidFill>
            <a:schemeClr val="accent5">
              <a:lumMod val="20000"/>
              <a:lumOff val="8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260683</xdr:colOff>
      <xdr:row>5</xdr:row>
      <xdr:rowOff>160421</xdr:rowOff>
    </xdr:from>
    <xdr:to>
      <xdr:col>19</xdr:col>
      <xdr:colOff>585867</xdr:colOff>
      <xdr:row>12</xdr:row>
      <xdr:rowOff>140369</xdr:rowOff>
    </xdr:to>
    <xdr:sp macro="" textlink="">
      <xdr:nvSpPr>
        <xdr:cNvPr id="13" name="Rectangle 12">
          <a:extLst>
            <a:ext uri="{FF2B5EF4-FFF2-40B4-BE49-F238E27FC236}">
              <a16:creationId xmlns:a16="http://schemas.microsoft.com/office/drawing/2014/main" id="{04AB656B-9D33-47E2-8505-9B9724C79A42}"/>
            </a:ext>
          </a:extLst>
        </xdr:cNvPr>
        <xdr:cNvSpPr/>
      </xdr:nvSpPr>
      <xdr:spPr>
        <a:xfrm>
          <a:off x="10046367" y="1062789"/>
          <a:ext cx="2160000" cy="1243264"/>
        </a:xfrm>
        <a:prstGeom prst="rect">
          <a:avLst/>
        </a:prstGeom>
        <a:solidFill>
          <a:schemeClr val="accent5">
            <a:lumMod val="20000"/>
            <a:lumOff val="80000"/>
          </a:schemeClr>
        </a:solidFill>
        <a:ln>
          <a:solidFill>
            <a:schemeClr val="accent5">
              <a:lumMod val="20000"/>
              <a:lumOff val="8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xdr:from>
      <xdr:col>4</xdr:col>
      <xdr:colOff>310816</xdr:colOff>
      <xdr:row>6</xdr:row>
      <xdr:rowOff>120316</xdr:rowOff>
    </xdr:from>
    <xdr:to>
      <xdr:col>7</xdr:col>
      <xdr:colOff>320842</xdr:colOff>
      <xdr:row>9</xdr:row>
      <xdr:rowOff>10027</xdr:rowOff>
    </xdr:to>
    <xdr:sp macro="" textlink="">
      <xdr:nvSpPr>
        <xdr:cNvPr id="14" name="TextBox 13">
          <a:extLst>
            <a:ext uri="{FF2B5EF4-FFF2-40B4-BE49-F238E27FC236}">
              <a16:creationId xmlns:a16="http://schemas.microsoft.com/office/drawing/2014/main" id="{D1DBCEEF-107D-4DEB-97A9-21DC9650F070}"/>
            </a:ext>
          </a:extLst>
        </xdr:cNvPr>
        <xdr:cNvSpPr txBox="1"/>
      </xdr:nvSpPr>
      <xdr:spPr>
        <a:xfrm>
          <a:off x="2757237" y="1203158"/>
          <a:ext cx="1844842"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latin typeface="Segoe UI Semibold" panose="020B0702040204020203" pitchFamily="34" charset="0"/>
              <a:cs typeface="Segoe UI Semibold" panose="020B0702040204020203" pitchFamily="34" charset="0"/>
            </a:rPr>
            <a:t>Total Emrollment_ID</a:t>
          </a:r>
        </a:p>
      </xdr:txBody>
    </xdr:sp>
    <xdr:clientData/>
  </xdr:twoCellAnchor>
  <xdr:twoCellAnchor>
    <xdr:from>
      <xdr:col>4</xdr:col>
      <xdr:colOff>451184</xdr:colOff>
      <xdr:row>8</xdr:row>
      <xdr:rowOff>150395</xdr:rowOff>
    </xdr:from>
    <xdr:to>
      <xdr:col>6</xdr:col>
      <xdr:colOff>571500</xdr:colOff>
      <xdr:row>11</xdr:row>
      <xdr:rowOff>100263</xdr:rowOff>
    </xdr:to>
    <xdr:sp macro="" textlink="">
      <xdr:nvSpPr>
        <xdr:cNvPr id="15" name="TextBox 14">
          <a:extLst>
            <a:ext uri="{FF2B5EF4-FFF2-40B4-BE49-F238E27FC236}">
              <a16:creationId xmlns:a16="http://schemas.microsoft.com/office/drawing/2014/main" id="{62E7AFD3-3201-604E-28D3-C0739C41E39B}"/>
            </a:ext>
          </a:extLst>
        </xdr:cNvPr>
        <xdr:cNvSpPr txBox="1"/>
      </xdr:nvSpPr>
      <xdr:spPr>
        <a:xfrm>
          <a:off x="2897605" y="1594184"/>
          <a:ext cx="1343527" cy="491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Segoe UI Semibold" panose="020B0702040204020203" pitchFamily="34" charset="0"/>
              <a:cs typeface="Segoe UI Semibold" panose="020B0702040204020203" pitchFamily="34" charset="0"/>
            </a:rPr>
            <a:t>1200</a:t>
          </a:r>
        </a:p>
        <a:p>
          <a:endParaRPr lang="en-US" sz="1600">
            <a:latin typeface="Segoe UI Semibold" panose="020B0702040204020203" pitchFamily="34" charset="0"/>
            <a:cs typeface="Segoe UI Semibold" panose="020B0702040204020203" pitchFamily="34" charset="0"/>
          </a:endParaRPr>
        </a:p>
      </xdr:txBody>
    </xdr:sp>
    <xdr:clientData/>
  </xdr:twoCellAnchor>
  <xdr:twoCellAnchor>
    <xdr:from>
      <xdr:col>8</xdr:col>
      <xdr:colOff>340896</xdr:colOff>
      <xdr:row>6</xdr:row>
      <xdr:rowOff>100263</xdr:rowOff>
    </xdr:from>
    <xdr:to>
      <xdr:col>10</xdr:col>
      <xdr:colOff>481263</xdr:colOff>
      <xdr:row>9</xdr:row>
      <xdr:rowOff>0</xdr:rowOff>
    </xdr:to>
    <xdr:sp macro="" textlink="">
      <xdr:nvSpPr>
        <xdr:cNvPr id="18" name="TextBox 17">
          <a:extLst>
            <a:ext uri="{FF2B5EF4-FFF2-40B4-BE49-F238E27FC236}">
              <a16:creationId xmlns:a16="http://schemas.microsoft.com/office/drawing/2014/main" id="{DC405E2A-C854-69C4-CB9A-A7DD0C671189}"/>
            </a:ext>
          </a:extLst>
        </xdr:cNvPr>
        <xdr:cNvSpPr txBox="1"/>
      </xdr:nvSpPr>
      <xdr:spPr>
        <a:xfrm>
          <a:off x="5233738" y="1183105"/>
          <a:ext cx="1363578" cy="441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latin typeface="Segoe UI Semibold" panose="020B0702040204020203" pitchFamily="34" charset="0"/>
              <a:cs typeface="Segoe UI Semibold" panose="020B0702040204020203" pitchFamily="34" charset="0"/>
            </a:rPr>
            <a:t>Total Students</a:t>
          </a:r>
        </a:p>
      </xdr:txBody>
    </xdr:sp>
    <xdr:clientData/>
  </xdr:twoCellAnchor>
  <xdr:twoCellAnchor>
    <xdr:from>
      <xdr:col>12</xdr:col>
      <xdr:colOff>270711</xdr:colOff>
      <xdr:row>6</xdr:row>
      <xdr:rowOff>100261</xdr:rowOff>
    </xdr:from>
    <xdr:to>
      <xdr:col>16</xdr:col>
      <xdr:colOff>70184</xdr:colOff>
      <xdr:row>12</xdr:row>
      <xdr:rowOff>45491</xdr:rowOff>
    </xdr:to>
    <xdr:sp macro="" textlink="">
      <xdr:nvSpPr>
        <xdr:cNvPr id="19" name="TextBox 18">
          <a:extLst>
            <a:ext uri="{FF2B5EF4-FFF2-40B4-BE49-F238E27FC236}">
              <a16:creationId xmlns:a16="http://schemas.microsoft.com/office/drawing/2014/main" id="{0C96DC4B-50C0-E5AE-BCF4-DA0B8243AE49}"/>
            </a:ext>
          </a:extLst>
        </xdr:cNvPr>
        <xdr:cNvSpPr txBox="1"/>
      </xdr:nvSpPr>
      <xdr:spPr>
        <a:xfrm>
          <a:off x="7640502" y="1192082"/>
          <a:ext cx="2256070" cy="103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latin typeface="Segoe UI Semibold" panose="020B0702040204020203" pitchFamily="34" charset="0"/>
              <a:cs typeface="Segoe UI Semibold" panose="020B0702040204020203" pitchFamily="34" charset="0"/>
            </a:rPr>
            <a:t>Avg Attendance Rate %</a:t>
          </a:r>
        </a:p>
      </xdr:txBody>
    </xdr:sp>
    <xdr:clientData/>
  </xdr:twoCellAnchor>
  <xdr:twoCellAnchor>
    <xdr:from>
      <xdr:col>10</xdr:col>
      <xdr:colOff>292194</xdr:colOff>
      <xdr:row>13</xdr:row>
      <xdr:rowOff>177270</xdr:rowOff>
    </xdr:from>
    <xdr:to>
      <xdr:col>16</xdr:col>
      <xdr:colOff>490515</xdr:colOff>
      <xdr:row>26</xdr:row>
      <xdr:rowOff>150333</xdr:rowOff>
    </xdr:to>
    <xdr:graphicFrame macro="">
      <xdr:nvGraphicFramePr>
        <xdr:cNvPr id="20" name="Chart 19">
          <a:extLst>
            <a:ext uri="{FF2B5EF4-FFF2-40B4-BE49-F238E27FC236}">
              <a16:creationId xmlns:a16="http://schemas.microsoft.com/office/drawing/2014/main" id="{C64F0091-B5B9-4C41-B71C-D466BBF8D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163352</xdr:colOff>
      <xdr:row>7</xdr:row>
      <xdr:rowOff>93170</xdr:rowOff>
    </xdr:from>
    <xdr:to>
      <xdr:col>18</xdr:col>
      <xdr:colOff>520389</xdr:colOff>
      <xdr:row>15</xdr:row>
      <xdr:rowOff>53066</xdr:rowOff>
    </xdr:to>
    <xdr:graphicFrame macro="">
      <xdr:nvGraphicFramePr>
        <xdr:cNvPr id="21" name="Chart 20">
          <a:extLst>
            <a:ext uri="{FF2B5EF4-FFF2-40B4-BE49-F238E27FC236}">
              <a16:creationId xmlns:a16="http://schemas.microsoft.com/office/drawing/2014/main" id="{232A6D33-4AB8-4A18-BA6E-D270B26C2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330869</xdr:colOff>
      <xdr:row>5</xdr:row>
      <xdr:rowOff>160420</xdr:rowOff>
    </xdr:from>
    <xdr:to>
      <xdr:col>20</xdr:col>
      <xdr:colOff>170448</xdr:colOff>
      <xdr:row>8</xdr:row>
      <xdr:rowOff>30078</xdr:rowOff>
    </xdr:to>
    <xdr:sp macro="" textlink="">
      <xdr:nvSpPr>
        <xdr:cNvPr id="22" name="TextBox 21">
          <a:extLst>
            <a:ext uri="{FF2B5EF4-FFF2-40B4-BE49-F238E27FC236}">
              <a16:creationId xmlns:a16="http://schemas.microsoft.com/office/drawing/2014/main" id="{12884E6E-F759-A9E9-01A1-CF89637D5202}"/>
            </a:ext>
          </a:extLst>
        </xdr:cNvPr>
        <xdr:cNvSpPr txBox="1"/>
      </xdr:nvSpPr>
      <xdr:spPr>
        <a:xfrm>
          <a:off x="10116553" y="1062788"/>
          <a:ext cx="2286000" cy="411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latin typeface="Segoe UI Semibold" panose="020B0702040204020203" pitchFamily="34" charset="0"/>
              <a:cs typeface="Segoe UI Semibold" panose="020B0702040204020203" pitchFamily="34" charset="0"/>
            </a:rPr>
            <a:t>Avg Completion Rate %</a:t>
          </a:r>
        </a:p>
      </xdr:txBody>
    </xdr:sp>
    <xdr:clientData/>
  </xdr:twoCellAnchor>
  <xdr:twoCellAnchor>
    <xdr:from>
      <xdr:col>20</xdr:col>
      <xdr:colOff>340894</xdr:colOff>
      <xdr:row>6</xdr:row>
      <xdr:rowOff>40106</xdr:rowOff>
    </xdr:from>
    <xdr:to>
      <xdr:col>23</xdr:col>
      <xdr:colOff>581525</xdr:colOff>
      <xdr:row>8</xdr:row>
      <xdr:rowOff>170449</xdr:rowOff>
    </xdr:to>
    <xdr:sp macro="" textlink="">
      <xdr:nvSpPr>
        <xdr:cNvPr id="23" name="TextBox 22">
          <a:extLst>
            <a:ext uri="{FF2B5EF4-FFF2-40B4-BE49-F238E27FC236}">
              <a16:creationId xmlns:a16="http://schemas.microsoft.com/office/drawing/2014/main" id="{1B64BE57-B15E-2A49-027E-83E8C4C72211}"/>
            </a:ext>
          </a:extLst>
        </xdr:cNvPr>
        <xdr:cNvSpPr txBox="1"/>
      </xdr:nvSpPr>
      <xdr:spPr>
        <a:xfrm>
          <a:off x="12572999" y="1122948"/>
          <a:ext cx="2075447" cy="491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latin typeface="Segoe UI Semibold" panose="020B0702040204020203" pitchFamily="34" charset="0"/>
              <a:cs typeface="Segoe UI Semibold" panose="020B0702040204020203" pitchFamily="34" charset="0"/>
            </a:rPr>
            <a:t>Avg Assessment</a:t>
          </a:r>
          <a:r>
            <a:rPr lang="en-GB" sz="1400" baseline="0">
              <a:latin typeface="Segoe UI Semibold" panose="020B0702040204020203" pitchFamily="34" charset="0"/>
              <a:cs typeface="Segoe UI Semibold" panose="020B0702040204020203" pitchFamily="34" charset="0"/>
            </a:rPr>
            <a:t> Score</a:t>
          </a:r>
          <a:endParaRPr lang="en-GB" sz="1400">
            <a:latin typeface="Segoe UI Semibold" panose="020B0702040204020203" pitchFamily="34" charset="0"/>
            <a:cs typeface="Segoe UI Semibold" panose="020B0702040204020203" pitchFamily="34" charset="0"/>
          </a:endParaRPr>
        </a:p>
      </xdr:txBody>
    </xdr:sp>
    <xdr:clientData/>
  </xdr:twoCellAnchor>
  <xdr:oneCellAnchor>
    <xdr:from>
      <xdr:col>20</xdr:col>
      <xdr:colOff>421106</xdr:colOff>
      <xdr:row>9</xdr:row>
      <xdr:rowOff>20053</xdr:rowOff>
    </xdr:from>
    <xdr:ext cx="1404000" cy="264560"/>
    <xdr:sp macro="" textlink="'Pivot Analysis'!C8">
      <xdr:nvSpPr>
        <xdr:cNvPr id="24" name="TextBox 23">
          <a:extLst>
            <a:ext uri="{FF2B5EF4-FFF2-40B4-BE49-F238E27FC236}">
              <a16:creationId xmlns:a16="http://schemas.microsoft.com/office/drawing/2014/main" id="{8EC9C878-F437-7218-8F42-B8095684B429}"/>
            </a:ext>
          </a:extLst>
        </xdr:cNvPr>
        <xdr:cNvSpPr txBox="1"/>
      </xdr:nvSpPr>
      <xdr:spPr>
        <a:xfrm>
          <a:off x="12653211" y="1644316"/>
          <a:ext cx="1404000" cy="26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numCol="1" rtlCol="0" anchor="t">
          <a:noAutofit/>
        </a:bodyPr>
        <a:lstStyle/>
        <a:p>
          <a:fld id="{4D04CD37-04F8-4455-9F50-7D8D9CDF135F}"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a:t>71.6</a:t>
          </a:fld>
          <a:endParaRPr lang="en-GB" sz="1400">
            <a:latin typeface="Segoe UI Semibold" panose="020B0702040204020203" pitchFamily="34" charset="0"/>
            <a:cs typeface="Segoe UI Semibold" panose="020B0702040204020203" pitchFamily="34" charset="0"/>
          </a:endParaRPr>
        </a:p>
      </xdr:txBody>
    </xdr:sp>
    <xdr:clientData/>
  </xdr:oneCellAnchor>
  <xdr:twoCellAnchor>
    <xdr:from>
      <xdr:col>4</xdr:col>
      <xdr:colOff>140369</xdr:colOff>
      <xdr:row>13</xdr:row>
      <xdr:rowOff>140369</xdr:rowOff>
    </xdr:from>
    <xdr:to>
      <xdr:col>10</xdr:col>
      <xdr:colOff>334536</xdr:colOff>
      <xdr:row>26</xdr:row>
      <xdr:rowOff>114387</xdr:rowOff>
    </xdr:to>
    <xdr:graphicFrame macro="">
      <xdr:nvGraphicFramePr>
        <xdr:cNvPr id="26" name="Chart 25">
          <a:extLst>
            <a:ext uri="{FF2B5EF4-FFF2-40B4-BE49-F238E27FC236}">
              <a16:creationId xmlns:a16="http://schemas.microsoft.com/office/drawing/2014/main" id="{435B44BE-5E9C-423B-8240-A20E3E9F3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495811</xdr:colOff>
      <xdr:row>13</xdr:row>
      <xdr:rowOff>136479</xdr:rowOff>
    </xdr:from>
    <xdr:to>
      <xdr:col>24</xdr:col>
      <xdr:colOff>80299</xdr:colOff>
      <xdr:row>26</xdr:row>
      <xdr:rowOff>109542</xdr:rowOff>
    </xdr:to>
    <xdr:graphicFrame macro="">
      <xdr:nvGraphicFramePr>
        <xdr:cNvPr id="27" name="Chart 26">
          <a:extLst>
            <a:ext uri="{FF2B5EF4-FFF2-40B4-BE49-F238E27FC236}">
              <a16:creationId xmlns:a16="http://schemas.microsoft.com/office/drawing/2014/main" id="{EC33C192-6010-4305-BFB5-9051F792A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125696</xdr:colOff>
      <xdr:row>27</xdr:row>
      <xdr:rowOff>88900</xdr:rowOff>
    </xdr:from>
    <xdr:to>
      <xdr:col>10</xdr:col>
      <xdr:colOff>318948</xdr:colOff>
      <xdr:row>40</xdr:row>
      <xdr:rowOff>107091</xdr:rowOff>
    </xdr:to>
    <xdr:graphicFrame macro="">
      <xdr:nvGraphicFramePr>
        <xdr:cNvPr id="28" name="Chart 27">
          <a:extLst>
            <a:ext uri="{FF2B5EF4-FFF2-40B4-BE49-F238E27FC236}">
              <a16:creationId xmlns:a16="http://schemas.microsoft.com/office/drawing/2014/main" id="{19500088-703D-40D7-B8BF-FEA0F7FB5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413106</xdr:colOff>
      <xdr:row>27</xdr:row>
      <xdr:rowOff>77786</xdr:rowOff>
    </xdr:from>
    <xdr:to>
      <xdr:col>24</xdr:col>
      <xdr:colOff>2972</xdr:colOff>
      <xdr:row>40</xdr:row>
      <xdr:rowOff>113214</xdr:rowOff>
    </xdr:to>
    <xdr:graphicFrame macro="">
      <xdr:nvGraphicFramePr>
        <xdr:cNvPr id="29" name="Chart 28">
          <a:extLst>
            <a:ext uri="{FF2B5EF4-FFF2-40B4-BE49-F238E27FC236}">
              <a16:creationId xmlns:a16="http://schemas.microsoft.com/office/drawing/2014/main" id="{38F746AA-2267-4324-A3FC-057B951D6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278781</xdr:colOff>
      <xdr:row>8</xdr:row>
      <xdr:rowOff>83635</xdr:rowOff>
    </xdr:from>
    <xdr:to>
      <xdr:col>19</xdr:col>
      <xdr:colOff>464635</xdr:colOff>
      <xdr:row>11</xdr:row>
      <xdr:rowOff>120806</xdr:rowOff>
    </xdr:to>
    <xdr:sp macro="" textlink="">
      <xdr:nvSpPr>
        <xdr:cNvPr id="30" name="TextBox 29">
          <a:extLst>
            <a:ext uri="{FF2B5EF4-FFF2-40B4-BE49-F238E27FC236}">
              <a16:creationId xmlns:a16="http://schemas.microsoft.com/office/drawing/2014/main" id="{C07E383F-1EDF-3399-AC38-A8181E6B639E}"/>
            </a:ext>
          </a:extLst>
        </xdr:cNvPr>
        <xdr:cNvSpPr txBox="1"/>
      </xdr:nvSpPr>
      <xdr:spPr>
        <a:xfrm>
          <a:off x="11318488" y="1570464"/>
          <a:ext cx="799171" cy="594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chemeClr val="accent5">
                  <a:lumMod val="75000"/>
                </a:schemeClr>
              </a:solidFill>
              <a:latin typeface="Segoe UI Semibold" panose="020B0702040204020203" pitchFamily="34" charset="0"/>
              <a:cs typeface="Segoe UI Semibold" panose="020B0702040204020203" pitchFamily="34" charset="0"/>
            </a:rPr>
            <a:t>74%</a:t>
          </a:r>
        </a:p>
      </xdr:txBody>
    </xdr:sp>
    <xdr:clientData/>
  </xdr:twoCellAnchor>
  <xdr:twoCellAnchor editAs="oneCell">
    <xdr:from>
      <xdr:col>2</xdr:col>
      <xdr:colOff>88347</xdr:colOff>
      <xdr:row>26</xdr:row>
      <xdr:rowOff>66127</xdr:rowOff>
    </xdr:from>
    <xdr:to>
      <xdr:col>3</xdr:col>
      <xdr:colOff>472506</xdr:colOff>
      <xdr:row>35</xdr:row>
      <xdr:rowOff>137583</xdr:rowOff>
    </xdr:to>
    <mc:AlternateContent xmlns:mc="http://schemas.openxmlformats.org/markup-compatibility/2006" xmlns:a14="http://schemas.microsoft.com/office/drawing/2010/main">
      <mc:Choice Requires="a14">
        <xdr:graphicFrame macro="">
          <xdr:nvGraphicFramePr>
            <xdr:cNvPr id="31" name="Enrollment_month">
              <a:extLst>
                <a:ext uri="{FF2B5EF4-FFF2-40B4-BE49-F238E27FC236}">
                  <a16:creationId xmlns:a16="http://schemas.microsoft.com/office/drawing/2014/main" id="{34819407-D366-1589-74F7-C57213151115}"/>
                </a:ext>
              </a:extLst>
            </xdr:cNvPr>
            <xdr:cNvGraphicFramePr/>
          </xdr:nvGraphicFramePr>
          <xdr:xfrm>
            <a:off x="0" y="0"/>
            <a:ext cx="0" cy="0"/>
          </xdr:xfrm>
          <a:graphic>
            <a:graphicData uri="http://schemas.microsoft.com/office/drawing/2010/slicer">
              <sle:slicer xmlns:sle="http://schemas.microsoft.com/office/drawing/2010/slicer" name="Enrollment_month"/>
            </a:graphicData>
          </a:graphic>
        </xdr:graphicFrame>
      </mc:Choice>
      <mc:Fallback xmlns="">
        <xdr:sp macro="" textlink="">
          <xdr:nvSpPr>
            <xdr:cNvPr id="0" name=""/>
            <xdr:cNvSpPr>
              <a:spLocks noTextEdit="1"/>
            </xdr:cNvSpPr>
          </xdr:nvSpPr>
          <xdr:spPr>
            <a:xfrm>
              <a:off x="1316014" y="4796877"/>
              <a:ext cx="997992" cy="16907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30316</xdr:colOff>
      <xdr:row>27</xdr:row>
      <xdr:rowOff>106739</xdr:rowOff>
    </xdr:from>
    <xdr:to>
      <xdr:col>17</xdr:col>
      <xdr:colOff>224945</xdr:colOff>
      <xdr:row>40</xdr:row>
      <xdr:rowOff>127427</xdr:rowOff>
    </xdr:to>
    <xdr:graphicFrame macro="">
      <xdr:nvGraphicFramePr>
        <xdr:cNvPr id="32" name="Chart 31">
          <a:extLst>
            <a:ext uri="{FF2B5EF4-FFF2-40B4-BE49-F238E27FC236}">
              <a16:creationId xmlns:a16="http://schemas.microsoft.com/office/drawing/2014/main" id="{112BE29B-8D6A-49A0-BE1D-BF7B3571D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420805</xdr:colOff>
      <xdr:row>9</xdr:row>
      <xdr:rowOff>90985</xdr:rowOff>
    </xdr:from>
    <xdr:to>
      <xdr:col>11</xdr:col>
      <xdr:colOff>272954</xdr:colOff>
      <xdr:row>12</xdr:row>
      <xdr:rowOff>45492</xdr:rowOff>
    </xdr:to>
    <xdr:sp macro="" textlink="'Pivot Analysis'!C3">
      <xdr:nvSpPr>
        <xdr:cNvPr id="33" name="TextBox 32">
          <a:extLst>
            <a:ext uri="{FF2B5EF4-FFF2-40B4-BE49-F238E27FC236}">
              <a16:creationId xmlns:a16="http://schemas.microsoft.com/office/drawing/2014/main" id="{CE2CC378-F1F3-9C91-A33A-C236654BC518}"/>
            </a:ext>
          </a:extLst>
        </xdr:cNvPr>
        <xdr:cNvSpPr txBox="1"/>
      </xdr:nvSpPr>
      <xdr:spPr>
        <a:xfrm>
          <a:off x="5333999" y="1728716"/>
          <a:ext cx="1694597" cy="500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FA74A-0A7C-4978-9366-ED9F192E5D2A}" type="TxLink">
            <a:rPr lang="en-US" sz="1400" b="0" i="0" u="none" strike="noStrike">
              <a:solidFill>
                <a:srgbClr val="000000"/>
              </a:solidFill>
              <a:latin typeface="Segoe UI Semibold"/>
              <a:ea typeface="Calibri"/>
              <a:cs typeface="Segoe UI Semibold"/>
            </a:rPr>
            <a:pPr/>
            <a:t>400</a:t>
          </a:fld>
          <a:endParaRPr lang="en-GB" sz="1400">
            <a:latin typeface="Segoe UI Semibold" panose="020B0702040204020203" pitchFamily="34" charset="0"/>
            <a:cs typeface="Segoe UI Semibold" panose="020B0702040204020203" pitchFamily="34" charset="0"/>
          </a:endParaRPr>
        </a:p>
      </xdr:txBody>
    </xdr:sp>
    <xdr:clientData/>
  </xdr:twoCellAnchor>
  <xdr:twoCellAnchor>
    <xdr:from>
      <xdr:col>12</xdr:col>
      <xdr:colOff>508000</xdr:colOff>
      <xdr:row>9</xdr:row>
      <xdr:rowOff>50800</xdr:rowOff>
    </xdr:from>
    <xdr:to>
      <xdr:col>15</xdr:col>
      <xdr:colOff>419100</xdr:colOff>
      <xdr:row>11</xdr:row>
      <xdr:rowOff>165100</xdr:rowOff>
    </xdr:to>
    <xdr:sp macro="" textlink="'Pivot Analysis'!A8">
      <xdr:nvSpPr>
        <xdr:cNvPr id="34" name="TextBox 33">
          <a:extLst>
            <a:ext uri="{FF2B5EF4-FFF2-40B4-BE49-F238E27FC236}">
              <a16:creationId xmlns:a16="http://schemas.microsoft.com/office/drawing/2014/main" id="{1750DC83-0244-DFD7-EF09-2969033A2B8F}"/>
            </a:ext>
          </a:extLst>
        </xdr:cNvPr>
        <xdr:cNvSpPr txBox="1"/>
      </xdr:nvSpPr>
      <xdr:spPr>
        <a:xfrm>
          <a:off x="7823200" y="1651000"/>
          <a:ext cx="173990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7B9108-82EB-48A1-8E5A-25B94B32CD63}" type="TxLink">
            <a:rPr lang="en-US" sz="1400" b="0" i="0" u="none" strike="noStrike">
              <a:solidFill>
                <a:srgbClr val="000000"/>
              </a:solidFill>
              <a:latin typeface="Segoe UI Semibold"/>
              <a:cs typeface="Segoe UI Semibold"/>
            </a:rPr>
            <a:pPr/>
            <a:t>83%</a:t>
          </a:fld>
          <a:endParaRPr lang="en-GB" sz="1400">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74082</xdr:colOff>
      <xdr:row>16</xdr:row>
      <xdr:rowOff>126998</xdr:rowOff>
    </xdr:from>
    <xdr:to>
      <xdr:col>3</xdr:col>
      <xdr:colOff>457449</xdr:colOff>
      <xdr:row>25</xdr:row>
      <xdr:rowOff>146832</xdr:rowOff>
    </xdr:to>
    <mc:AlternateContent xmlns:mc="http://schemas.openxmlformats.org/markup-compatibility/2006">
      <mc:Choice xmlns:a14="http://schemas.microsoft.com/office/drawing/2010/main" Requires="a14">
        <xdr:graphicFrame macro="">
          <xdr:nvGraphicFramePr>
            <xdr:cNvPr id="35" name="Enrollment_status">
              <a:extLst>
                <a:ext uri="{FF2B5EF4-FFF2-40B4-BE49-F238E27FC236}">
                  <a16:creationId xmlns:a16="http://schemas.microsoft.com/office/drawing/2014/main" id="{892DDCBD-8A76-F5D8-3132-C52184520746}"/>
                </a:ext>
              </a:extLst>
            </xdr:cNvPr>
            <xdr:cNvGraphicFramePr/>
          </xdr:nvGraphicFramePr>
          <xdr:xfrm>
            <a:off x="0" y="0"/>
            <a:ext cx="0" cy="0"/>
          </xdr:xfrm>
          <a:graphic>
            <a:graphicData uri="http://schemas.microsoft.com/office/drawing/2010/slicer">
              <sle:slicer xmlns:sle="http://schemas.microsoft.com/office/drawing/2010/slicer" name="Enrollment_status"/>
            </a:graphicData>
          </a:graphic>
        </xdr:graphicFrame>
      </mc:Choice>
      <mc:Fallback>
        <xdr:sp macro="" textlink="">
          <xdr:nvSpPr>
            <xdr:cNvPr id="0" name=""/>
            <xdr:cNvSpPr>
              <a:spLocks noTextEdit="1"/>
            </xdr:cNvSpPr>
          </xdr:nvSpPr>
          <xdr:spPr>
            <a:xfrm>
              <a:off x="1289857" y="3003762"/>
              <a:ext cx="991255" cy="16893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179917</xdr:colOff>
      <xdr:row>7</xdr:row>
      <xdr:rowOff>74083</xdr:rowOff>
    </xdr:from>
    <xdr:to>
      <xdr:col>11</xdr:col>
      <xdr:colOff>480483</xdr:colOff>
      <xdr:row>12</xdr:row>
      <xdr:rowOff>88900</xdr:rowOff>
    </xdr:to>
    <xdr:pic>
      <xdr:nvPicPr>
        <xdr:cNvPr id="37" name="Graphic 36" descr="User with solid fill">
          <a:extLst>
            <a:ext uri="{FF2B5EF4-FFF2-40B4-BE49-F238E27FC236}">
              <a16:creationId xmlns:a16="http://schemas.microsoft.com/office/drawing/2014/main" id="{8DED853C-0D0A-36D6-8984-9A43F9C9052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318250" y="1333500"/>
          <a:ext cx="914400" cy="914400"/>
        </a:xfrm>
        <a:prstGeom prst="rect">
          <a:avLst/>
        </a:prstGeom>
      </xdr:spPr>
    </xdr:pic>
    <xdr:clientData/>
  </xdr:twoCellAnchor>
  <xdr:twoCellAnchor>
    <xdr:from>
      <xdr:col>3</xdr:col>
      <xdr:colOff>465667</xdr:colOff>
      <xdr:row>1</xdr:row>
      <xdr:rowOff>95250</xdr:rowOff>
    </xdr:from>
    <xdr:to>
      <xdr:col>13</xdr:col>
      <xdr:colOff>349250</xdr:colOff>
      <xdr:row>6</xdr:row>
      <xdr:rowOff>127000</xdr:rowOff>
    </xdr:to>
    <xdr:sp macro="" textlink="">
      <xdr:nvSpPr>
        <xdr:cNvPr id="38" name="TextBox 37">
          <a:extLst>
            <a:ext uri="{FF2B5EF4-FFF2-40B4-BE49-F238E27FC236}">
              <a16:creationId xmlns:a16="http://schemas.microsoft.com/office/drawing/2014/main" id="{7A108C61-F2F2-A38C-B532-6CA4C01ADC47}"/>
            </a:ext>
          </a:extLst>
        </xdr:cNvPr>
        <xdr:cNvSpPr txBox="1"/>
      </xdr:nvSpPr>
      <xdr:spPr>
        <a:xfrm>
          <a:off x="2294467" y="273050"/>
          <a:ext cx="5979583" cy="920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Segoe UI Semibold" panose="020B0702040204020203" pitchFamily="34" charset="0"/>
              <a:cs typeface="Segoe UI Semibold" panose="020B0702040204020203" pitchFamily="34" charset="0"/>
            </a:rPr>
            <a:t>LEARN</a:t>
          </a:r>
          <a:r>
            <a:rPr lang="en-GB" sz="1400" b="1" baseline="0">
              <a:latin typeface="Segoe UI Semibold" panose="020B0702040204020203" pitchFamily="34" charset="0"/>
              <a:cs typeface="Segoe UI Semibold" panose="020B0702040204020203" pitchFamily="34" charset="0"/>
            </a:rPr>
            <a:t> WITH GEORGE NGO</a:t>
          </a:r>
        </a:p>
        <a:p>
          <a:r>
            <a:rPr lang="en-GB" sz="1100" baseline="0">
              <a:latin typeface="Segoe UI Semibold" panose="020B0702040204020203" pitchFamily="34" charset="0"/>
              <a:cs typeface="Segoe UI Semibold" panose="020B0702040204020203" pitchFamily="34" charset="0"/>
            </a:rPr>
            <a:t>cohort Jan - Jun 2025</a:t>
          </a:r>
          <a:endParaRPr lang="en-GB" sz="1100">
            <a:latin typeface="Segoe UI Semibold" panose="020B0702040204020203" pitchFamily="34" charset="0"/>
            <a:cs typeface="Segoe UI Semibold" panose="020B07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yinka Adamu" refreshedDate="46035.930894675927" createdVersion="8" refreshedVersion="8" minRefreshableVersion="3" recordCount="1200" xr:uid="{3D2FD80C-BDE6-4387-85CE-2AB7D19AAD79}">
  <cacheSource type="worksheet">
    <worksheetSource name="Table2"/>
  </cacheSource>
  <cacheFields count="24">
    <cacheField name="Enrollment_id" numFmtId="0">
      <sharedItems containsSemiMixedTypes="0" containsString="0" containsNumber="1" containsInteger="1" minValue="1" maxValue="1200"/>
    </cacheField>
    <cacheField name="Student_id" numFmtId="1">
      <sharedItems containsSemiMixedTypes="0" containsString="0" containsNumber="1" containsInteger="1" minValue="1" maxValue="400" count="4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sharedItems>
    </cacheField>
    <cacheField name="Program_id" numFmtId="0">
      <sharedItems containsSemiMixedTypes="0" containsString="0" containsNumber="1" containsInteger="1" minValue="1" maxValue="3"/>
    </cacheField>
    <cacheField name="Enrollment_status" numFmtId="0">
      <sharedItems count="3">
        <s v="Completed"/>
        <s v="Dropped"/>
        <s v="Active"/>
      </sharedItems>
    </cacheField>
    <cacheField name="Gender" numFmtId="0">
      <sharedItems count="2">
        <s v="Male"/>
        <s v="Female"/>
      </sharedItems>
    </cacheField>
    <cacheField name="Age" numFmtId="0">
      <sharedItems containsSemiMixedTypes="0" containsString="0" containsNumber="1" containsInteger="1" minValue="18" maxValue="35"/>
    </cacheField>
    <cacheField name="Age_group" numFmtId="0">
      <sharedItems count="3">
        <s v="Entry Level"/>
        <s v="Experienced"/>
        <s v="Mid Level"/>
      </sharedItems>
    </cacheField>
    <cacheField name="Location" numFmtId="0">
      <sharedItems count="6">
        <s v="Abeokuta"/>
        <s v="Lagos"/>
        <s v="Ilorin"/>
        <s v="Benin"/>
        <s v="Abuja"/>
        <s v="Ibadan"/>
      </sharedItems>
    </cacheField>
    <cacheField name="Education_level" numFmtId="0">
      <sharedItems count="4">
        <s v="HND"/>
        <s v="SECONDARY"/>
        <s v="OND"/>
        <s v="BSC"/>
      </sharedItems>
    </cacheField>
    <cacheField name="Enrollment_date" numFmtId="14">
      <sharedItems containsSemiMixedTypes="0" containsNonDate="0" containsDate="1" containsString="0" minDate="2025-01-01T00:00:00" maxDate="2025-06-01T00:00:00"/>
    </cacheField>
    <cacheField name="Enrollment_month" numFmtId="14">
      <sharedItems count="5">
        <s v="Mar"/>
        <s v="May"/>
        <s v="Jan"/>
        <s v="Apr"/>
        <s v="Feb"/>
      </sharedItems>
    </cacheField>
    <cacheField name="Enrollment_day" numFmtId="14">
      <sharedItems/>
    </cacheField>
    <cacheField name="Cohort" numFmtId="14">
      <sharedItems/>
    </cacheField>
    <cacheField name="Program_name" numFmtId="0">
      <sharedItems count="3">
        <s v="Excel"/>
        <s v="SQL"/>
        <s v="Power BI"/>
      </sharedItems>
    </cacheField>
    <cacheField name="Level" numFmtId="0">
      <sharedItems/>
    </cacheField>
    <cacheField name="Duration_weeks" numFmtId="1">
      <sharedItems containsSemiMixedTypes="0" containsString="0" containsNumber="1" containsInteger="1" minValue="4" maxValue="4"/>
    </cacheField>
    <cacheField name="Attendance_rate" numFmtId="2">
      <sharedItems containsSemiMixedTypes="0" containsString="0" containsNumber="1" minValue="0.66666666666666663" maxValue="1"/>
    </cacheField>
    <cacheField name="Avg_score" numFmtId="2">
      <sharedItems containsSemiMixedTypes="0" containsString="0" containsNumber="1" minValue="45.5" maxValue="98.5"/>
    </cacheField>
    <cacheField name="Assessment grade" numFmtId="2">
      <sharedItems count="3">
        <s v="Fail"/>
        <s v="Pass"/>
        <s v="Distinction"/>
      </sharedItems>
    </cacheField>
    <cacheField name="Completed" numFmtId="0">
      <sharedItems count="2">
        <s v="Yes"/>
        <s v="No"/>
      </sharedItems>
    </cacheField>
    <cacheField name="Completed_flag" numFmtId="0">
      <sharedItems containsSemiMixedTypes="0" containsString="0" containsNumber="1" containsInteger="1" minValue="0" maxValue="1"/>
    </cacheField>
    <cacheField name="Portfolio_created" numFmtId="0">
      <sharedItems count="2">
        <s v="No"/>
        <s v="Yes"/>
      </sharedItems>
    </cacheField>
    <cacheField name="Internship_placed" numFmtId="0">
      <sharedItems count="2">
        <s v="No"/>
        <s v="Yes"/>
      </sharedItems>
    </cacheField>
    <cacheField name="Outcome_date" numFmtId="14">
      <sharedItems containsSemiMixedTypes="0" containsNonDate="0" containsDate="1" containsString="0" minDate="2025-06-30T00:00:00" maxDate="2025-07-01T00:00:00"/>
    </cacheField>
  </cacheFields>
  <extLst>
    <ext xmlns:x14="http://schemas.microsoft.com/office/spreadsheetml/2009/9/main" uri="{725AE2AE-9491-48be-B2B4-4EB974FC3084}">
      <x14:pivotCacheDefinition pivotCacheId="4511294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x v="0"/>
    <n v="1"/>
    <x v="0"/>
    <x v="0"/>
    <n v="18"/>
    <x v="0"/>
    <x v="0"/>
    <x v="0"/>
    <d v="2025-03-04T00:00:00"/>
    <x v="0"/>
    <s v="Tue"/>
    <s v="Jan–Jun 2025"/>
    <x v="0"/>
    <s v="Beginner"/>
    <n v="4"/>
    <n v="0.79166666666666663"/>
    <n v="58.5"/>
    <x v="0"/>
    <x v="0"/>
    <n v="1"/>
    <x v="0"/>
    <x v="0"/>
    <d v="2025-06-30T00:00:00"/>
  </r>
  <r>
    <n v="2"/>
    <x v="0"/>
    <n v="2"/>
    <x v="0"/>
    <x v="0"/>
    <n v="18"/>
    <x v="0"/>
    <x v="0"/>
    <x v="0"/>
    <d v="2025-03-04T00:00:00"/>
    <x v="0"/>
    <s v="Tue"/>
    <s v="Jan–Jun 2025"/>
    <x v="1"/>
    <s v="Beginner"/>
    <n v="4"/>
    <n v="0.89583333333333337"/>
    <n v="62"/>
    <x v="1"/>
    <x v="0"/>
    <n v="1"/>
    <x v="0"/>
    <x v="0"/>
    <d v="2025-06-30T00:00:00"/>
  </r>
  <r>
    <n v="3"/>
    <x v="0"/>
    <n v="3"/>
    <x v="1"/>
    <x v="0"/>
    <n v="18"/>
    <x v="0"/>
    <x v="0"/>
    <x v="0"/>
    <d v="2025-03-04T00:00:00"/>
    <x v="0"/>
    <s v="Tue"/>
    <s v="Jan–Jun 2025"/>
    <x v="2"/>
    <s v="Beginner"/>
    <n v="4"/>
    <n v="0.70833333333333337"/>
    <n v="64"/>
    <x v="1"/>
    <x v="0"/>
    <n v="1"/>
    <x v="0"/>
    <x v="0"/>
    <d v="2025-06-30T00:00:00"/>
  </r>
  <r>
    <n v="4"/>
    <x v="1"/>
    <n v="1"/>
    <x v="2"/>
    <x v="0"/>
    <n v="22"/>
    <x v="0"/>
    <x v="0"/>
    <x v="1"/>
    <d v="2025-05-20T00:00:00"/>
    <x v="1"/>
    <s v="Tue"/>
    <s v="Jan–Jun 2025"/>
    <x v="0"/>
    <s v="Beginner"/>
    <n v="4"/>
    <n v="0.83333333333333337"/>
    <n v="70.5"/>
    <x v="1"/>
    <x v="0"/>
    <n v="1"/>
    <x v="1"/>
    <x v="1"/>
    <d v="2025-06-30T00:00:00"/>
  </r>
  <r>
    <n v="5"/>
    <x v="1"/>
    <n v="2"/>
    <x v="0"/>
    <x v="0"/>
    <n v="22"/>
    <x v="0"/>
    <x v="0"/>
    <x v="1"/>
    <d v="2025-05-20T00:00:00"/>
    <x v="1"/>
    <s v="Tue"/>
    <s v="Jan–Jun 2025"/>
    <x v="1"/>
    <s v="Beginner"/>
    <n v="4"/>
    <n v="0.79166666666666663"/>
    <n v="86"/>
    <x v="2"/>
    <x v="0"/>
    <n v="1"/>
    <x v="1"/>
    <x v="1"/>
    <d v="2025-06-30T00:00:00"/>
  </r>
  <r>
    <n v="6"/>
    <x v="1"/>
    <n v="3"/>
    <x v="0"/>
    <x v="0"/>
    <n v="22"/>
    <x v="0"/>
    <x v="0"/>
    <x v="1"/>
    <d v="2025-05-20T00:00:00"/>
    <x v="1"/>
    <s v="Tue"/>
    <s v="Jan–Jun 2025"/>
    <x v="2"/>
    <s v="Beginner"/>
    <n v="4"/>
    <n v="0.85416666666666663"/>
    <n v="66"/>
    <x v="1"/>
    <x v="0"/>
    <n v="1"/>
    <x v="1"/>
    <x v="1"/>
    <d v="2025-06-30T00:00:00"/>
  </r>
  <r>
    <n v="7"/>
    <x v="2"/>
    <n v="1"/>
    <x v="0"/>
    <x v="0"/>
    <n v="31"/>
    <x v="1"/>
    <x v="1"/>
    <x v="1"/>
    <d v="2025-01-24T00:00:00"/>
    <x v="2"/>
    <s v="Fri"/>
    <s v="Jan–Jun 2025"/>
    <x v="0"/>
    <s v="Beginner"/>
    <n v="4"/>
    <n v="0.77083333333333337"/>
    <n v="75.5"/>
    <x v="1"/>
    <x v="1"/>
    <n v="0"/>
    <x v="0"/>
    <x v="0"/>
    <d v="2025-06-30T00:00:00"/>
  </r>
  <r>
    <n v="8"/>
    <x v="2"/>
    <n v="2"/>
    <x v="0"/>
    <x v="0"/>
    <n v="31"/>
    <x v="1"/>
    <x v="1"/>
    <x v="1"/>
    <d v="2025-01-24T00:00:00"/>
    <x v="2"/>
    <s v="Fri"/>
    <s v="Jan–Jun 2025"/>
    <x v="1"/>
    <s v="Beginner"/>
    <n v="4"/>
    <n v="0.85416666666666663"/>
    <n v="73"/>
    <x v="1"/>
    <x v="1"/>
    <n v="0"/>
    <x v="0"/>
    <x v="0"/>
    <d v="2025-06-30T00:00:00"/>
  </r>
  <r>
    <n v="9"/>
    <x v="2"/>
    <n v="3"/>
    <x v="1"/>
    <x v="0"/>
    <n v="31"/>
    <x v="1"/>
    <x v="1"/>
    <x v="1"/>
    <d v="2025-01-24T00:00:00"/>
    <x v="2"/>
    <s v="Fri"/>
    <s v="Jan–Jun 2025"/>
    <x v="2"/>
    <s v="Beginner"/>
    <n v="4"/>
    <n v="0.9375"/>
    <n v="79.5"/>
    <x v="2"/>
    <x v="1"/>
    <n v="0"/>
    <x v="0"/>
    <x v="0"/>
    <d v="2025-06-30T00:00:00"/>
  </r>
  <r>
    <n v="10"/>
    <x v="3"/>
    <n v="1"/>
    <x v="2"/>
    <x v="0"/>
    <n v="25"/>
    <x v="2"/>
    <x v="2"/>
    <x v="1"/>
    <d v="2025-05-24T00:00:00"/>
    <x v="1"/>
    <s v="Sat"/>
    <s v="Jan–Jun 2025"/>
    <x v="0"/>
    <s v="Beginner"/>
    <n v="4"/>
    <n v="0.83333333333333337"/>
    <n v="57"/>
    <x v="0"/>
    <x v="1"/>
    <n v="0"/>
    <x v="0"/>
    <x v="0"/>
    <d v="2025-06-30T00:00:00"/>
  </r>
  <r>
    <n v="11"/>
    <x v="3"/>
    <n v="2"/>
    <x v="1"/>
    <x v="0"/>
    <n v="25"/>
    <x v="2"/>
    <x v="2"/>
    <x v="1"/>
    <d v="2025-05-24T00:00:00"/>
    <x v="1"/>
    <s v="Sat"/>
    <s v="Jan–Jun 2025"/>
    <x v="1"/>
    <s v="Beginner"/>
    <n v="4"/>
    <n v="0.79166666666666663"/>
    <n v="65"/>
    <x v="1"/>
    <x v="1"/>
    <n v="0"/>
    <x v="0"/>
    <x v="0"/>
    <d v="2025-06-30T00:00:00"/>
  </r>
  <r>
    <n v="12"/>
    <x v="3"/>
    <n v="3"/>
    <x v="2"/>
    <x v="0"/>
    <n v="25"/>
    <x v="2"/>
    <x v="2"/>
    <x v="1"/>
    <d v="2025-05-24T00:00:00"/>
    <x v="1"/>
    <s v="Sat"/>
    <s v="Jan–Jun 2025"/>
    <x v="2"/>
    <s v="Beginner"/>
    <n v="4"/>
    <n v="0.91666666666666663"/>
    <n v="73"/>
    <x v="1"/>
    <x v="1"/>
    <n v="0"/>
    <x v="0"/>
    <x v="0"/>
    <d v="2025-06-30T00:00:00"/>
  </r>
  <r>
    <n v="13"/>
    <x v="4"/>
    <n v="1"/>
    <x v="0"/>
    <x v="0"/>
    <n v="35"/>
    <x v="1"/>
    <x v="3"/>
    <x v="2"/>
    <d v="2025-04-25T00:00:00"/>
    <x v="3"/>
    <s v="Fri"/>
    <s v="Jan–Jun 2025"/>
    <x v="0"/>
    <s v="Beginner"/>
    <n v="4"/>
    <n v="0.75"/>
    <n v="80"/>
    <x v="2"/>
    <x v="1"/>
    <n v="0"/>
    <x v="0"/>
    <x v="0"/>
    <d v="2025-06-30T00:00:00"/>
  </r>
  <r>
    <n v="14"/>
    <x v="4"/>
    <n v="2"/>
    <x v="0"/>
    <x v="0"/>
    <n v="35"/>
    <x v="1"/>
    <x v="3"/>
    <x v="2"/>
    <d v="2025-04-25T00:00:00"/>
    <x v="3"/>
    <s v="Fri"/>
    <s v="Jan–Jun 2025"/>
    <x v="1"/>
    <s v="Beginner"/>
    <n v="4"/>
    <n v="0.8125"/>
    <n v="64"/>
    <x v="1"/>
    <x v="1"/>
    <n v="0"/>
    <x v="0"/>
    <x v="0"/>
    <d v="2025-06-30T00:00:00"/>
  </r>
  <r>
    <n v="15"/>
    <x v="4"/>
    <n v="3"/>
    <x v="2"/>
    <x v="0"/>
    <n v="35"/>
    <x v="1"/>
    <x v="3"/>
    <x v="2"/>
    <d v="2025-04-25T00:00:00"/>
    <x v="3"/>
    <s v="Fri"/>
    <s v="Jan–Jun 2025"/>
    <x v="2"/>
    <s v="Beginner"/>
    <n v="4"/>
    <n v="0.85416666666666663"/>
    <n v="83"/>
    <x v="2"/>
    <x v="1"/>
    <n v="0"/>
    <x v="0"/>
    <x v="0"/>
    <d v="2025-06-30T00:00:00"/>
  </r>
  <r>
    <n v="16"/>
    <x v="5"/>
    <n v="1"/>
    <x v="0"/>
    <x v="1"/>
    <n v="18"/>
    <x v="0"/>
    <x v="4"/>
    <x v="3"/>
    <d v="2025-03-29T00:00:00"/>
    <x v="0"/>
    <s v="Sat"/>
    <s v="Jan–Jun 2025"/>
    <x v="0"/>
    <s v="Beginner"/>
    <n v="4"/>
    <n v="0.79166666666666663"/>
    <n v="64.5"/>
    <x v="1"/>
    <x v="0"/>
    <n v="1"/>
    <x v="0"/>
    <x v="0"/>
    <d v="2025-06-30T00:00:00"/>
  </r>
  <r>
    <n v="17"/>
    <x v="5"/>
    <n v="2"/>
    <x v="0"/>
    <x v="1"/>
    <n v="18"/>
    <x v="0"/>
    <x v="4"/>
    <x v="3"/>
    <d v="2025-03-29T00:00:00"/>
    <x v="0"/>
    <s v="Sat"/>
    <s v="Jan–Jun 2025"/>
    <x v="1"/>
    <s v="Beginner"/>
    <n v="4"/>
    <n v="0.91666666666666663"/>
    <n v="79.5"/>
    <x v="2"/>
    <x v="0"/>
    <n v="1"/>
    <x v="0"/>
    <x v="0"/>
    <d v="2025-06-30T00:00:00"/>
  </r>
  <r>
    <n v="18"/>
    <x v="5"/>
    <n v="3"/>
    <x v="0"/>
    <x v="1"/>
    <n v="18"/>
    <x v="0"/>
    <x v="4"/>
    <x v="3"/>
    <d v="2025-03-29T00:00:00"/>
    <x v="0"/>
    <s v="Sat"/>
    <s v="Jan–Jun 2025"/>
    <x v="2"/>
    <s v="Beginner"/>
    <n v="4"/>
    <n v="0.77083333333333337"/>
    <n v="55.5"/>
    <x v="0"/>
    <x v="0"/>
    <n v="1"/>
    <x v="0"/>
    <x v="0"/>
    <d v="2025-06-30T00:00:00"/>
  </r>
  <r>
    <n v="19"/>
    <x v="6"/>
    <n v="1"/>
    <x v="0"/>
    <x v="1"/>
    <n v="22"/>
    <x v="0"/>
    <x v="4"/>
    <x v="0"/>
    <d v="2025-01-27T00:00:00"/>
    <x v="2"/>
    <s v="Mon"/>
    <s v="Jan–Jun 2025"/>
    <x v="0"/>
    <s v="Beginner"/>
    <n v="4"/>
    <n v="0.85416666666666663"/>
    <n v="56.5"/>
    <x v="0"/>
    <x v="0"/>
    <n v="1"/>
    <x v="1"/>
    <x v="0"/>
    <d v="2025-06-30T00:00:00"/>
  </r>
  <r>
    <n v="20"/>
    <x v="6"/>
    <n v="2"/>
    <x v="0"/>
    <x v="1"/>
    <n v="22"/>
    <x v="0"/>
    <x v="4"/>
    <x v="0"/>
    <d v="2025-01-27T00:00:00"/>
    <x v="2"/>
    <s v="Mon"/>
    <s v="Jan–Jun 2025"/>
    <x v="1"/>
    <s v="Beginner"/>
    <n v="4"/>
    <n v="0.8125"/>
    <n v="73"/>
    <x v="1"/>
    <x v="0"/>
    <n v="1"/>
    <x v="1"/>
    <x v="0"/>
    <d v="2025-06-30T00:00:00"/>
  </r>
  <r>
    <n v="21"/>
    <x v="6"/>
    <n v="3"/>
    <x v="0"/>
    <x v="1"/>
    <n v="22"/>
    <x v="0"/>
    <x v="4"/>
    <x v="0"/>
    <d v="2025-01-27T00:00:00"/>
    <x v="2"/>
    <s v="Mon"/>
    <s v="Jan–Jun 2025"/>
    <x v="2"/>
    <s v="Beginner"/>
    <n v="4"/>
    <n v="0.89583333333333337"/>
    <n v="59.5"/>
    <x v="0"/>
    <x v="0"/>
    <n v="1"/>
    <x v="1"/>
    <x v="0"/>
    <d v="2025-06-30T00:00:00"/>
  </r>
  <r>
    <n v="22"/>
    <x v="7"/>
    <n v="1"/>
    <x v="1"/>
    <x v="0"/>
    <n v="30"/>
    <x v="1"/>
    <x v="1"/>
    <x v="0"/>
    <d v="2025-03-30T00:00:00"/>
    <x v="0"/>
    <s v="Sun"/>
    <s v="Jan–Jun 2025"/>
    <x v="0"/>
    <s v="Beginner"/>
    <n v="4"/>
    <n v="0.91666666666666663"/>
    <n v="74.5"/>
    <x v="1"/>
    <x v="0"/>
    <n v="1"/>
    <x v="0"/>
    <x v="0"/>
    <d v="2025-06-30T00:00:00"/>
  </r>
  <r>
    <n v="23"/>
    <x v="7"/>
    <n v="2"/>
    <x v="2"/>
    <x v="0"/>
    <n v="30"/>
    <x v="1"/>
    <x v="1"/>
    <x v="0"/>
    <d v="2025-03-30T00:00:00"/>
    <x v="0"/>
    <s v="Sun"/>
    <s v="Jan–Jun 2025"/>
    <x v="1"/>
    <s v="Beginner"/>
    <n v="4"/>
    <n v="0.91666666666666663"/>
    <n v="55"/>
    <x v="0"/>
    <x v="0"/>
    <n v="1"/>
    <x v="0"/>
    <x v="0"/>
    <d v="2025-06-30T00:00:00"/>
  </r>
  <r>
    <n v="24"/>
    <x v="7"/>
    <n v="3"/>
    <x v="0"/>
    <x v="0"/>
    <n v="30"/>
    <x v="1"/>
    <x v="1"/>
    <x v="0"/>
    <d v="2025-03-30T00:00:00"/>
    <x v="0"/>
    <s v="Sun"/>
    <s v="Jan–Jun 2025"/>
    <x v="2"/>
    <s v="Beginner"/>
    <n v="4"/>
    <n v="0.875"/>
    <n v="78.5"/>
    <x v="1"/>
    <x v="0"/>
    <n v="1"/>
    <x v="0"/>
    <x v="0"/>
    <d v="2025-06-30T00:00:00"/>
  </r>
  <r>
    <n v="25"/>
    <x v="8"/>
    <n v="1"/>
    <x v="0"/>
    <x v="1"/>
    <n v="19"/>
    <x v="0"/>
    <x v="0"/>
    <x v="3"/>
    <d v="2025-05-18T00:00:00"/>
    <x v="1"/>
    <s v="Sun"/>
    <s v="Jan–Jun 2025"/>
    <x v="0"/>
    <s v="Beginner"/>
    <n v="4"/>
    <n v="0.72916666666666663"/>
    <n v="52"/>
    <x v="0"/>
    <x v="0"/>
    <n v="1"/>
    <x v="1"/>
    <x v="1"/>
    <d v="2025-06-30T00:00:00"/>
  </r>
  <r>
    <n v="26"/>
    <x v="8"/>
    <n v="2"/>
    <x v="0"/>
    <x v="1"/>
    <n v="19"/>
    <x v="0"/>
    <x v="0"/>
    <x v="3"/>
    <d v="2025-05-18T00:00:00"/>
    <x v="1"/>
    <s v="Sun"/>
    <s v="Jan–Jun 2025"/>
    <x v="1"/>
    <s v="Beginner"/>
    <n v="4"/>
    <n v="0.85416666666666663"/>
    <n v="86.5"/>
    <x v="2"/>
    <x v="0"/>
    <n v="1"/>
    <x v="1"/>
    <x v="1"/>
    <d v="2025-06-30T00:00:00"/>
  </r>
  <r>
    <n v="27"/>
    <x v="8"/>
    <n v="3"/>
    <x v="0"/>
    <x v="1"/>
    <n v="19"/>
    <x v="0"/>
    <x v="0"/>
    <x v="3"/>
    <d v="2025-05-18T00:00:00"/>
    <x v="1"/>
    <s v="Sun"/>
    <s v="Jan–Jun 2025"/>
    <x v="2"/>
    <s v="Beginner"/>
    <n v="4"/>
    <n v="0.85416666666666663"/>
    <n v="58.5"/>
    <x v="0"/>
    <x v="0"/>
    <n v="1"/>
    <x v="1"/>
    <x v="1"/>
    <d v="2025-06-30T00:00:00"/>
  </r>
  <r>
    <n v="28"/>
    <x v="9"/>
    <n v="1"/>
    <x v="0"/>
    <x v="0"/>
    <n v="30"/>
    <x v="1"/>
    <x v="1"/>
    <x v="0"/>
    <d v="2025-04-03T00:00:00"/>
    <x v="3"/>
    <s v="Thu"/>
    <s v="Jan–Jun 2025"/>
    <x v="0"/>
    <s v="Beginner"/>
    <n v="4"/>
    <n v="0.875"/>
    <n v="69.5"/>
    <x v="1"/>
    <x v="0"/>
    <n v="1"/>
    <x v="1"/>
    <x v="0"/>
    <d v="2025-06-30T00:00:00"/>
  </r>
  <r>
    <n v="29"/>
    <x v="9"/>
    <n v="2"/>
    <x v="0"/>
    <x v="0"/>
    <n v="30"/>
    <x v="1"/>
    <x v="1"/>
    <x v="0"/>
    <d v="2025-04-03T00:00:00"/>
    <x v="3"/>
    <s v="Thu"/>
    <s v="Jan–Jun 2025"/>
    <x v="1"/>
    <s v="Beginner"/>
    <n v="4"/>
    <n v="0.83333333333333337"/>
    <n v="85.5"/>
    <x v="2"/>
    <x v="0"/>
    <n v="1"/>
    <x v="1"/>
    <x v="0"/>
    <d v="2025-06-30T00:00:00"/>
  </r>
  <r>
    <n v="30"/>
    <x v="9"/>
    <n v="3"/>
    <x v="0"/>
    <x v="0"/>
    <n v="30"/>
    <x v="1"/>
    <x v="1"/>
    <x v="0"/>
    <d v="2025-04-03T00:00:00"/>
    <x v="3"/>
    <s v="Thu"/>
    <s v="Jan–Jun 2025"/>
    <x v="2"/>
    <s v="Beginner"/>
    <n v="4"/>
    <n v="0.89583333333333337"/>
    <n v="60.5"/>
    <x v="1"/>
    <x v="0"/>
    <n v="1"/>
    <x v="1"/>
    <x v="0"/>
    <d v="2025-06-30T00:00:00"/>
  </r>
  <r>
    <n v="31"/>
    <x v="10"/>
    <n v="1"/>
    <x v="0"/>
    <x v="0"/>
    <n v="20"/>
    <x v="0"/>
    <x v="1"/>
    <x v="2"/>
    <d v="2025-03-16T00:00:00"/>
    <x v="0"/>
    <s v="Sun"/>
    <s v="Jan–Jun 2025"/>
    <x v="0"/>
    <s v="Beginner"/>
    <n v="4"/>
    <n v="0.89583333333333337"/>
    <n v="81"/>
    <x v="2"/>
    <x v="0"/>
    <n v="1"/>
    <x v="1"/>
    <x v="0"/>
    <d v="2025-06-30T00:00:00"/>
  </r>
  <r>
    <n v="32"/>
    <x v="10"/>
    <n v="2"/>
    <x v="0"/>
    <x v="0"/>
    <n v="20"/>
    <x v="0"/>
    <x v="1"/>
    <x v="2"/>
    <d v="2025-03-16T00:00:00"/>
    <x v="0"/>
    <s v="Sun"/>
    <s v="Jan–Jun 2025"/>
    <x v="1"/>
    <s v="Beginner"/>
    <n v="4"/>
    <n v="0.85416666666666663"/>
    <n v="68.5"/>
    <x v="1"/>
    <x v="0"/>
    <n v="1"/>
    <x v="1"/>
    <x v="0"/>
    <d v="2025-06-30T00:00:00"/>
  </r>
  <r>
    <n v="33"/>
    <x v="10"/>
    <n v="3"/>
    <x v="2"/>
    <x v="0"/>
    <n v="20"/>
    <x v="0"/>
    <x v="1"/>
    <x v="2"/>
    <d v="2025-03-16T00:00:00"/>
    <x v="0"/>
    <s v="Sun"/>
    <s v="Jan–Jun 2025"/>
    <x v="2"/>
    <s v="Beginner"/>
    <n v="4"/>
    <n v="0.83333333333333337"/>
    <n v="85.5"/>
    <x v="2"/>
    <x v="0"/>
    <n v="1"/>
    <x v="1"/>
    <x v="0"/>
    <d v="2025-06-30T00:00:00"/>
  </r>
  <r>
    <n v="34"/>
    <x v="11"/>
    <n v="1"/>
    <x v="0"/>
    <x v="0"/>
    <n v="25"/>
    <x v="2"/>
    <x v="1"/>
    <x v="3"/>
    <d v="2025-03-13T00:00:00"/>
    <x v="0"/>
    <s v="Thu"/>
    <s v="Jan–Jun 2025"/>
    <x v="0"/>
    <s v="Beginner"/>
    <n v="4"/>
    <n v="0.83333333333333337"/>
    <n v="71"/>
    <x v="1"/>
    <x v="1"/>
    <n v="0"/>
    <x v="0"/>
    <x v="0"/>
    <d v="2025-06-30T00:00:00"/>
  </r>
  <r>
    <n v="35"/>
    <x v="11"/>
    <n v="2"/>
    <x v="2"/>
    <x v="0"/>
    <n v="25"/>
    <x v="2"/>
    <x v="1"/>
    <x v="3"/>
    <d v="2025-03-13T00:00:00"/>
    <x v="0"/>
    <s v="Thu"/>
    <s v="Jan–Jun 2025"/>
    <x v="1"/>
    <s v="Beginner"/>
    <n v="4"/>
    <n v="0.89583333333333337"/>
    <n v="80.5"/>
    <x v="2"/>
    <x v="1"/>
    <n v="0"/>
    <x v="0"/>
    <x v="0"/>
    <d v="2025-06-30T00:00:00"/>
  </r>
  <r>
    <n v="36"/>
    <x v="11"/>
    <n v="3"/>
    <x v="0"/>
    <x v="0"/>
    <n v="25"/>
    <x v="2"/>
    <x v="1"/>
    <x v="3"/>
    <d v="2025-03-13T00:00:00"/>
    <x v="0"/>
    <s v="Thu"/>
    <s v="Jan–Jun 2025"/>
    <x v="2"/>
    <s v="Beginner"/>
    <n v="4"/>
    <n v="0.91666666666666663"/>
    <n v="91"/>
    <x v="2"/>
    <x v="1"/>
    <n v="0"/>
    <x v="0"/>
    <x v="0"/>
    <d v="2025-06-30T00:00:00"/>
  </r>
  <r>
    <n v="37"/>
    <x v="12"/>
    <n v="1"/>
    <x v="0"/>
    <x v="1"/>
    <n v="29"/>
    <x v="2"/>
    <x v="4"/>
    <x v="0"/>
    <d v="2025-04-01T00:00:00"/>
    <x v="3"/>
    <s v="Tue"/>
    <s v="Jan–Jun 2025"/>
    <x v="0"/>
    <s v="Beginner"/>
    <n v="4"/>
    <n v="0.83333333333333337"/>
    <n v="59.5"/>
    <x v="0"/>
    <x v="0"/>
    <n v="1"/>
    <x v="1"/>
    <x v="0"/>
    <d v="2025-06-30T00:00:00"/>
  </r>
  <r>
    <n v="38"/>
    <x v="12"/>
    <n v="2"/>
    <x v="1"/>
    <x v="1"/>
    <n v="29"/>
    <x v="2"/>
    <x v="4"/>
    <x v="0"/>
    <d v="2025-04-01T00:00:00"/>
    <x v="3"/>
    <s v="Tue"/>
    <s v="Jan–Jun 2025"/>
    <x v="1"/>
    <s v="Beginner"/>
    <n v="4"/>
    <n v="0.77083333333333337"/>
    <n v="73"/>
    <x v="1"/>
    <x v="0"/>
    <n v="1"/>
    <x v="1"/>
    <x v="0"/>
    <d v="2025-06-30T00:00:00"/>
  </r>
  <r>
    <n v="39"/>
    <x v="12"/>
    <n v="3"/>
    <x v="0"/>
    <x v="1"/>
    <n v="29"/>
    <x v="2"/>
    <x v="4"/>
    <x v="0"/>
    <d v="2025-04-01T00:00:00"/>
    <x v="3"/>
    <s v="Tue"/>
    <s v="Jan–Jun 2025"/>
    <x v="2"/>
    <s v="Beginner"/>
    <n v="4"/>
    <n v="0.79166666666666663"/>
    <n v="89.5"/>
    <x v="2"/>
    <x v="0"/>
    <n v="1"/>
    <x v="1"/>
    <x v="0"/>
    <d v="2025-06-30T00:00:00"/>
  </r>
  <r>
    <n v="40"/>
    <x v="13"/>
    <n v="1"/>
    <x v="1"/>
    <x v="0"/>
    <n v="26"/>
    <x v="2"/>
    <x v="0"/>
    <x v="1"/>
    <d v="2025-02-13T00:00:00"/>
    <x v="4"/>
    <s v="Thu"/>
    <s v="Jan–Jun 2025"/>
    <x v="0"/>
    <s v="Beginner"/>
    <n v="4"/>
    <n v="0.875"/>
    <n v="65.5"/>
    <x v="1"/>
    <x v="1"/>
    <n v="0"/>
    <x v="0"/>
    <x v="0"/>
    <d v="2025-06-30T00:00:00"/>
  </r>
  <r>
    <n v="41"/>
    <x v="13"/>
    <n v="2"/>
    <x v="2"/>
    <x v="0"/>
    <n v="26"/>
    <x v="2"/>
    <x v="0"/>
    <x v="1"/>
    <d v="2025-02-13T00:00:00"/>
    <x v="4"/>
    <s v="Thu"/>
    <s v="Jan–Jun 2025"/>
    <x v="1"/>
    <s v="Beginner"/>
    <n v="4"/>
    <n v="0.875"/>
    <n v="71.5"/>
    <x v="1"/>
    <x v="1"/>
    <n v="0"/>
    <x v="0"/>
    <x v="0"/>
    <d v="2025-06-30T00:00:00"/>
  </r>
  <r>
    <n v="42"/>
    <x v="13"/>
    <n v="3"/>
    <x v="0"/>
    <x v="0"/>
    <n v="26"/>
    <x v="2"/>
    <x v="0"/>
    <x v="1"/>
    <d v="2025-02-13T00:00:00"/>
    <x v="4"/>
    <s v="Thu"/>
    <s v="Jan–Jun 2025"/>
    <x v="2"/>
    <s v="Beginner"/>
    <n v="4"/>
    <n v="0.91666666666666663"/>
    <n v="78.5"/>
    <x v="1"/>
    <x v="1"/>
    <n v="0"/>
    <x v="0"/>
    <x v="0"/>
    <d v="2025-06-30T00:00:00"/>
  </r>
  <r>
    <n v="43"/>
    <x v="14"/>
    <n v="1"/>
    <x v="0"/>
    <x v="0"/>
    <n v="23"/>
    <x v="0"/>
    <x v="3"/>
    <x v="3"/>
    <d v="2025-03-11T00:00:00"/>
    <x v="0"/>
    <s v="Tue"/>
    <s v="Jan–Jun 2025"/>
    <x v="0"/>
    <s v="Beginner"/>
    <n v="4"/>
    <n v="0.85416666666666663"/>
    <n v="81.5"/>
    <x v="2"/>
    <x v="1"/>
    <n v="0"/>
    <x v="0"/>
    <x v="0"/>
    <d v="2025-06-30T00:00:00"/>
  </r>
  <r>
    <n v="44"/>
    <x v="14"/>
    <n v="2"/>
    <x v="1"/>
    <x v="0"/>
    <n v="23"/>
    <x v="0"/>
    <x v="3"/>
    <x v="3"/>
    <d v="2025-03-11T00:00:00"/>
    <x v="0"/>
    <s v="Tue"/>
    <s v="Jan–Jun 2025"/>
    <x v="1"/>
    <s v="Beginner"/>
    <n v="4"/>
    <n v="0.79166666666666663"/>
    <n v="84.5"/>
    <x v="2"/>
    <x v="1"/>
    <n v="0"/>
    <x v="0"/>
    <x v="0"/>
    <d v="2025-06-30T00:00:00"/>
  </r>
  <r>
    <n v="45"/>
    <x v="14"/>
    <n v="3"/>
    <x v="0"/>
    <x v="0"/>
    <n v="23"/>
    <x v="0"/>
    <x v="3"/>
    <x v="3"/>
    <d v="2025-03-11T00:00:00"/>
    <x v="0"/>
    <s v="Tue"/>
    <s v="Jan–Jun 2025"/>
    <x v="2"/>
    <s v="Beginner"/>
    <n v="4"/>
    <n v="0.89583333333333337"/>
    <n v="73"/>
    <x v="1"/>
    <x v="1"/>
    <n v="0"/>
    <x v="0"/>
    <x v="0"/>
    <d v="2025-06-30T00:00:00"/>
  </r>
  <r>
    <n v="46"/>
    <x v="15"/>
    <n v="1"/>
    <x v="0"/>
    <x v="0"/>
    <n v="28"/>
    <x v="2"/>
    <x v="1"/>
    <x v="2"/>
    <d v="2025-01-09T00:00:00"/>
    <x v="2"/>
    <s v="Thu"/>
    <s v="Jan–Jun 2025"/>
    <x v="0"/>
    <s v="Beginner"/>
    <n v="4"/>
    <n v="0.875"/>
    <n v="79.5"/>
    <x v="2"/>
    <x v="1"/>
    <n v="0"/>
    <x v="0"/>
    <x v="0"/>
    <d v="2025-06-30T00:00:00"/>
  </r>
  <r>
    <n v="47"/>
    <x v="15"/>
    <n v="2"/>
    <x v="1"/>
    <x v="0"/>
    <n v="28"/>
    <x v="2"/>
    <x v="1"/>
    <x v="2"/>
    <d v="2025-01-09T00:00:00"/>
    <x v="2"/>
    <s v="Thu"/>
    <s v="Jan–Jun 2025"/>
    <x v="1"/>
    <s v="Beginner"/>
    <n v="4"/>
    <n v="0.89583333333333337"/>
    <n v="79"/>
    <x v="2"/>
    <x v="1"/>
    <n v="0"/>
    <x v="0"/>
    <x v="0"/>
    <d v="2025-06-30T00:00:00"/>
  </r>
  <r>
    <n v="48"/>
    <x v="15"/>
    <n v="3"/>
    <x v="0"/>
    <x v="0"/>
    <n v="28"/>
    <x v="2"/>
    <x v="1"/>
    <x v="2"/>
    <d v="2025-01-09T00:00:00"/>
    <x v="2"/>
    <s v="Thu"/>
    <s v="Jan–Jun 2025"/>
    <x v="2"/>
    <s v="Beginner"/>
    <n v="4"/>
    <n v="0.8125"/>
    <n v="75.5"/>
    <x v="1"/>
    <x v="1"/>
    <n v="0"/>
    <x v="0"/>
    <x v="0"/>
    <d v="2025-06-30T00:00:00"/>
  </r>
  <r>
    <n v="49"/>
    <x v="16"/>
    <n v="1"/>
    <x v="0"/>
    <x v="1"/>
    <n v="30"/>
    <x v="1"/>
    <x v="5"/>
    <x v="1"/>
    <d v="2025-02-24T00:00:00"/>
    <x v="4"/>
    <s v="Mon"/>
    <s v="Jan–Jun 2025"/>
    <x v="0"/>
    <s v="Beginner"/>
    <n v="4"/>
    <n v="0.85416666666666663"/>
    <n v="57.5"/>
    <x v="0"/>
    <x v="0"/>
    <n v="1"/>
    <x v="0"/>
    <x v="0"/>
    <d v="2025-06-30T00:00:00"/>
  </r>
  <r>
    <n v="50"/>
    <x v="16"/>
    <n v="2"/>
    <x v="0"/>
    <x v="1"/>
    <n v="30"/>
    <x v="1"/>
    <x v="5"/>
    <x v="1"/>
    <d v="2025-02-24T00:00:00"/>
    <x v="4"/>
    <s v="Mon"/>
    <s v="Jan–Jun 2025"/>
    <x v="1"/>
    <s v="Beginner"/>
    <n v="4"/>
    <n v="0.85416666666666663"/>
    <n v="90.5"/>
    <x v="2"/>
    <x v="0"/>
    <n v="1"/>
    <x v="0"/>
    <x v="0"/>
    <d v="2025-06-30T00:00:00"/>
  </r>
  <r>
    <n v="51"/>
    <x v="16"/>
    <n v="3"/>
    <x v="2"/>
    <x v="1"/>
    <n v="30"/>
    <x v="1"/>
    <x v="5"/>
    <x v="1"/>
    <d v="2025-02-24T00:00:00"/>
    <x v="4"/>
    <s v="Mon"/>
    <s v="Jan–Jun 2025"/>
    <x v="2"/>
    <s v="Beginner"/>
    <n v="4"/>
    <n v="0.83333333333333337"/>
    <n v="98.5"/>
    <x v="2"/>
    <x v="0"/>
    <n v="1"/>
    <x v="0"/>
    <x v="0"/>
    <d v="2025-06-30T00:00:00"/>
  </r>
  <r>
    <n v="52"/>
    <x v="17"/>
    <n v="1"/>
    <x v="1"/>
    <x v="1"/>
    <n v="24"/>
    <x v="0"/>
    <x v="0"/>
    <x v="3"/>
    <d v="2025-04-12T00:00:00"/>
    <x v="3"/>
    <s v="Sat"/>
    <s v="Jan–Jun 2025"/>
    <x v="0"/>
    <s v="Beginner"/>
    <n v="4"/>
    <n v="0.75"/>
    <n v="84"/>
    <x v="2"/>
    <x v="0"/>
    <n v="1"/>
    <x v="1"/>
    <x v="1"/>
    <d v="2025-06-30T00:00:00"/>
  </r>
  <r>
    <n v="53"/>
    <x v="17"/>
    <n v="2"/>
    <x v="1"/>
    <x v="1"/>
    <n v="24"/>
    <x v="0"/>
    <x v="0"/>
    <x v="3"/>
    <d v="2025-04-12T00:00:00"/>
    <x v="3"/>
    <s v="Sat"/>
    <s v="Jan–Jun 2025"/>
    <x v="1"/>
    <s v="Beginner"/>
    <n v="4"/>
    <n v="0.77083333333333337"/>
    <n v="63.5"/>
    <x v="1"/>
    <x v="0"/>
    <n v="1"/>
    <x v="1"/>
    <x v="1"/>
    <d v="2025-06-30T00:00:00"/>
  </r>
  <r>
    <n v="54"/>
    <x v="17"/>
    <n v="3"/>
    <x v="0"/>
    <x v="1"/>
    <n v="24"/>
    <x v="0"/>
    <x v="0"/>
    <x v="3"/>
    <d v="2025-04-12T00:00:00"/>
    <x v="3"/>
    <s v="Sat"/>
    <s v="Jan–Jun 2025"/>
    <x v="2"/>
    <s v="Beginner"/>
    <n v="4"/>
    <n v="0.875"/>
    <n v="88"/>
    <x v="2"/>
    <x v="0"/>
    <n v="1"/>
    <x v="1"/>
    <x v="1"/>
    <d v="2025-06-30T00:00:00"/>
  </r>
  <r>
    <n v="55"/>
    <x v="18"/>
    <n v="1"/>
    <x v="1"/>
    <x v="1"/>
    <n v="22"/>
    <x v="0"/>
    <x v="5"/>
    <x v="2"/>
    <d v="2025-03-05T00:00:00"/>
    <x v="0"/>
    <s v="Wed"/>
    <s v="Jan–Jun 2025"/>
    <x v="0"/>
    <s v="Beginner"/>
    <n v="4"/>
    <n v="0.875"/>
    <n v="73.5"/>
    <x v="1"/>
    <x v="1"/>
    <n v="0"/>
    <x v="0"/>
    <x v="0"/>
    <d v="2025-06-30T00:00:00"/>
  </r>
  <r>
    <n v="56"/>
    <x v="18"/>
    <n v="2"/>
    <x v="0"/>
    <x v="1"/>
    <n v="22"/>
    <x v="0"/>
    <x v="5"/>
    <x v="2"/>
    <d v="2025-03-05T00:00:00"/>
    <x v="0"/>
    <s v="Wed"/>
    <s v="Jan–Jun 2025"/>
    <x v="1"/>
    <s v="Beginner"/>
    <n v="4"/>
    <n v="0.89583333333333337"/>
    <n v="87"/>
    <x v="2"/>
    <x v="1"/>
    <n v="0"/>
    <x v="0"/>
    <x v="0"/>
    <d v="2025-06-30T00:00:00"/>
  </r>
  <r>
    <n v="57"/>
    <x v="18"/>
    <n v="3"/>
    <x v="1"/>
    <x v="1"/>
    <n v="22"/>
    <x v="0"/>
    <x v="5"/>
    <x v="2"/>
    <d v="2025-03-05T00:00:00"/>
    <x v="0"/>
    <s v="Wed"/>
    <s v="Jan–Jun 2025"/>
    <x v="2"/>
    <s v="Beginner"/>
    <n v="4"/>
    <n v="0.77083333333333337"/>
    <n v="54.5"/>
    <x v="0"/>
    <x v="1"/>
    <n v="0"/>
    <x v="0"/>
    <x v="0"/>
    <d v="2025-06-30T00:00:00"/>
  </r>
  <r>
    <n v="58"/>
    <x v="19"/>
    <n v="1"/>
    <x v="1"/>
    <x v="1"/>
    <n v="31"/>
    <x v="1"/>
    <x v="2"/>
    <x v="3"/>
    <d v="2025-04-03T00:00:00"/>
    <x v="3"/>
    <s v="Thu"/>
    <s v="Jan–Jun 2025"/>
    <x v="0"/>
    <s v="Beginner"/>
    <n v="4"/>
    <n v="0.85416666666666663"/>
    <n v="77"/>
    <x v="1"/>
    <x v="0"/>
    <n v="1"/>
    <x v="1"/>
    <x v="1"/>
    <d v="2025-06-30T00:00:00"/>
  </r>
  <r>
    <n v="59"/>
    <x v="19"/>
    <n v="2"/>
    <x v="0"/>
    <x v="1"/>
    <n v="31"/>
    <x v="1"/>
    <x v="2"/>
    <x v="3"/>
    <d v="2025-04-03T00:00:00"/>
    <x v="3"/>
    <s v="Thu"/>
    <s v="Jan–Jun 2025"/>
    <x v="1"/>
    <s v="Beginner"/>
    <n v="4"/>
    <n v="0.8125"/>
    <n v="82.5"/>
    <x v="2"/>
    <x v="0"/>
    <n v="1"/>
    <x v="1"/>
    <x v="1"/>
    <d v="2025-06-30T00:00:00"/>
  </r>
  <r>
    <n v="60"/>
    <x v="19"/>
    <n v="3"/>
    <x v="0"/>
    <x v="1"/>
    <n v="31"/>
    <x v="1"/>
    <x v="2"/>
    <x v="3"/>
    <d v="2025-04-03T00:00:00"/>
    <x v="3"/>
    <s v="Thu"/>
    <s v="Jan–Jun 2025"/>
    <x v="2"/>
    <s v="Beginner"/>
    <n v="4"/>
    <n v="0.79166666666666663"/>
    <n v="62.5"/>
    <x v="1"/>
    <x v="0"/>
    <n v="1"/>
    <x v="1"/>
    <x v="1"/>
    <d v="2025-06-30T00:00:00"/>
  </r>
  <r>
    <n v="61"/>
    <x v="20"/>
    <n v="1"/>
    <x v="1"/>
    <x v="0"/>
    <n v="22"/>
    <x v="0"/>
    <x v="2"/>
    <x v="3"/>
    <d v="2025-01-24T00:00:00"/>
    <x v="2"/>
    <s v="Fri"/>
    <s v="Jan–Jun 2025"/>
    <x v="0"/>
    <s v="Beginner"/>
    <n v="4"/>
    <n v="0.83333333333333337"/>
    <n v="81"/>
    <x v="2"/>
    <x v="0"/>
    <n v="1"/>
    <x v="0"/>
    <x v="0"/>
    <d v="2025-06-30T00:00:00"/>
  </r>
  <r>
    <n v="62"/>
    <x v="20"/>
    <n v="2"/>
    <x v="1"/>
    <x v="0"/>
    <n v="22"/>
    <x v="0"/>
    <x v="2"/>
    <x v="3"/>
    <d v="2025-01-24T00:00:00"/>
    <x v="2"/>
    <s v="Fri"/>
    <s v="Jan–Jun 2025"/>
    <x v="1"/>
    <s v="Beginner"/>
    <n v="4"/>
    <n v="0.72916666666666663"/>
    <n v="93.5"/>
    <x v="2"/>
    <x v="0"/>
    <n v="1"/>
    <x v="0"/>
    <x v="0"/>
    <d v="2025-06-30T00:00:00"/>
  </r>
  <r>
    <n v="63"/>
    <x v="20"/>
    <n v="3"/>
    <x v="1"/>
    <x v="0"/>
    <n v="22"/>
    <x v="0"/>
    <x v="2"/>
    <x v="3"/>
    <d v="2025-01-24T00:00:00"/>
    <x v="2"/>
    <s v="Fri"/>
    <s v="Jan–Jun 2025"/>
    <x v="2"/>
    <s v="Beginner"/>
    <n v="4"/>
    <n v="0.83333333333333337"/>
    <n v="65.5"/>
    <x v="1"/>
    <x v="0"/>
    <n v="1"/>
    <x v="0"/>
    <x v="0"/>
    <d v="2025-06-30T00:00:00"/>
  </r>
  <r>
    <n v="64"/>
    <x v="21"/>
    <n v="1"/>
    <x v="2"/>
    <x v="0"/>
    <n v="21"/>
    <x v="0"/>
    <x v="4"/>
    <x v="2"/>
    <d v="2025-04-19T00:00:00"/>
    <x v="3"/>
    <s v="Sat"/>
    <s v="Jan–Jun 2025"/>
    <x v="0"/>
    <s v="Beginner"/>
    <n v="4"/>
    <n v="0.83333333333333337"/>
    <n v="49.5"/>
    <x v="0"/>
    <x v="0"/>
    <n v="1"/>
    <x v="1"/>
    <x v="0"/>
    <d v="2025-06-30T00:00:00"/>
  </r>
  <r>
    <n v="65"/>
    <x v="21"/>
    <n v="2"/>
    <x v="0"/>
    <x v="0"/>
    <n v="21"/>
    <x v="0"/>
    <x v="4"/>
    <x v="2"/>
    <d v="2025-04-19T00:00:00"/>
    <x v="3"/>
    <s v="Sat"/>
    <s v="Jan–Jun 2025"/>
    <x v="1"/>
    <s v="Beginner"/>
    <n v="4"/>
    <n v="0.85416666666666663"/>
    <n v="60"/>
    <x v="1"/>
    <x v="0"/>
    <n v="1"/>
    <x v="1"/>
    <x v="0"/>
    <d v="2025-06-30T00:00:00"/>
  </r>
  <r>
    <n v="66"/>
    <x v="21"/>
    <n v="3"/>
    <x v="0"/>
    <x v="0"/>
    <n v="21"/>
    <x v="0"/>
    <x v="4"/>
    <x v="2"/>
    <d v="2025-04-19T00:00:00"/>
    <x v="3"/>
    <s v="Sat"/>
    <s v="Jan–Jun 2025"/>
    <x v="2"/>
    <s v="Beginner"/>
    <n v="4"/>
    <n v="0.83333333333333337"/>
    <n v="75"/>
    <x v="1"/>
    <x v="0"/>
    <n v="1"/>
    <x v="1"/>
    <x v="0"/>
    <d v="2025-06-30T00:00:00"/>
  </r>
  <r>
    <n v="67"/>
    <x v="22"/>
    <n v="1"/>
    <x v="0"/>
    <x v="0"/>
    <n v="30"/>
    <x v="1"/>
    <x v="3"/>
    <x v="3"/>
    <d v="2025-05-16T00:00:00"/>
    <x v="1"/>
    <s v="Fri"/>
    <s v="Jan–Jun 2025"/>
    <x v="0"/>
    <s v="Beginner"/>
    <n v="4"/>
    <n v="0.875"/>
    <n v="78"/>
    <x v="1"/>
    <x v="0"/>
    <n v="1"/>
    <x v="1"/>
    <x v="0"/>
    <d v="2025-06-30T00:00:00"/>
  </r>
  <r>
    <n v="68"/>
    <x v="22"/>
    <n v="2"/>
    <x v="1"/>
    <x v="0"/>
    <n v="30"/>
    <x v="1"/>
    <x v="3"/>
    <x v="3"/>
    <d v="2025-05-16T00:00:00"/>
    <x v="1"/>
    <s v="Fri"/>
    <s v="Jan–Jun 2025"/>
    <x v="1"/>
    <s v="Beginner"/>
    <n v="4"/>
    <n v="0.83333333333333337"/>
    <n v="69.5"/>
    <x v="1"/>
    <x v="0"/>
    <n v="1"/>
    <x v="1"/>
    <x v="0"/>
    <d v="2025-06-30T00:00:00"/>
  </r>
  <r>
    <n v="69"/>
    <x v="22"/>
    <n v="3"/>
    <x v="0"/>
    <x v="0"/>
    <n v="30"/>
    <x v="1"/>
    <x v="3"/>
    <x v="3"/>
    <d v="2025-05-16T00:00:00"/>
    <x v="1"/>
    <s v="Fri"/>
    <s v="Jan–Jun 2025"/>
    <x v="2"/>
    <s v="Beginner"/>
    <n v="4"/>
    <n v="0.83333333333333337"/>
    <n v="83.5"/>
    <x v="2"/>
    <x v="0"/>
    <n v="1"/>
    <x v="1"/>
    <x v="0"/>
    <d v="2025-06-30T00:00:00"/>
  </r>
  <r>
    <n v="70"/>
    <x v="23"/>
    <n v="1"/>
    <x v="1"/>
    <x v="1"/>
    <n v="35"/>
    <x v="1"/>
    <x v="1"/>
    <x v="1"/>
    <d v="2025-05-18T00:00:00"/>
    <x v="1"/>
    <s v="Sun"/>
    <s v="Jan–Jun 2025"/>
    <x v="0"/>
    <s v="Beginner"/>
    <n v="4"/>
    <n v="0.89583333333333337"/>
    <n v="58.5"/>
    <x v="0"/>
    <x v="0"/>
    <n v="1"/>
    <x v="1"/>
    <x v="1"/>
    <d v="2025-06-30T00:00:00"/>
  </r>
  <r>
    <n v="71"/>
    <x v="23"/>
    <n v="2"/>
    <x v="0"/>
    <x v="1"/>
    <n v="35"/>
    <x v="1"/>
    <x v="1"/>
    <x v="1"/>
    <d v="2025-05-18T00:00:00"/>
    <x v="1"/>
    <s v="Sun"/>
    <s v="Jan–Jun 2025"/>
    <x v="1"/>
    <s v="Beginner"/>
    <n v="4"/>
    <n v="0.79166666666666663"/>
    <n v="85"/>
    <x v="2"/>
    <x v="0"/>
    <n v="1"/>
    <x v="1"/>
    <x v="1"/>
    <d v="2025-06-30T00:00:00"/>
  </r>
  <r>
    <n v="72"/>
    <x v="23"/>
    <n v="3"/>
    <x v="0"/>
    <x v="1"/>
    <n v="35"/>
    <x v="1"/>
    <x v="1"/>
    <x v="1"/>
    <d v="2025-05-18T00:00:00"/>
    <x v="1"/>
    <s v="Sun"/>
    <s v="Jan–Jun 2025"/>
    <x v="2"/>
    <s v="Beginner"/>
    <n v="4"/>
    <n v="0.72916666666666663"/>
    <n v="94.5"/>
    <x v="2"/>
    <x v="0"/>
    <n v="1"/>
    <x v="1"/>
    <x v="1"/>
    <d v="2025-06-30T00:00:00"/>
  </r>
  <r>
    <n v="73"/>
    <x v="24"/>
    <n v="1"/>
    <x v="1"/>
    <x v="1"/>
    <n v="28"/>
    <x v="2"/>
    <x v="1"/>
    <x v="0"/>
    <d v="2025-04-22T00:00:00"/>
    <x v="3"/>
    <s v="Tue"/>
    <s v="Jan–Jun 2025"/>
    <x v="0"/>
    <s v="Beginner"/>
    <n v="4"/>
    <n v="0.79166666666666663"/>
    <n v="69.5"/>
    <x v="1"/>
    <x v="1"/>
    <n v="0"/>
    <x v="0"/>
    <x v="0"/>
    <d v="2025-06-30T00:00:00"/>
  </r>
  <r>
    <n v="74"/>
    <x v="24"/>
    <n v="2"/>
    <x v="2"/>
    <x v="1"/>
    <n v="28"/>
    <x v="2"/>
    <x v="1"/>
    <x v="0"/>
    <d v="2025-04-22T00:00:00"/>
    <x v="3"/>
    <s v="Tue"/>
    <s v="Jan–Jun 2025"/>
    <x v="1"/>
    <s v="Beginner"/>
    <n v="4"/>
    <n v="0.75"/>
    <n v="77"/>
    <x v="1"/>
    <x v="1"/>
    <n v="0"/>
    <x v="0"/>
    <x v="0"/>
    <d v="2025-06-30T00:00:00"/>
  </r>
  <r>
    <n v="75"/>
    <x v="24"/>
    <n v="3"/>
    <x v="0"/>
    <x v="1"/>
    <n v="28"/>
    <x v="2"/>
    <x v="1"/>
    <x v="0"/>
    <d v="2025-04-22T00:00:00"/>
    <x v="3"/>
    <s v="Tue"/>
    <s v="Jan–Jun 2025"/>
    <x v="2"/>
    <s v="Beginner"/>
    <n v="4"/>
    <n v="0.77083333333333337"/>
    <n v="71.5"/>
    <x v="1"/>
    <x v="1"/>
    <n v="0"/>
    <x v="0"/>
    <x v="0"/>
    <d v="2025-06-30T00:00:00"/>
  </r>
  <r>
    <n v="76"/>
    <x v="25"/>
    <n v="1"/>
    <x v="0"/>
    <x v="0"/>
    <n v="32"/>
    <x v="1"/>
    <x v="1"/>
    <x v="0"/>
    <d v="2025-05-09T00:00:00"/>
    <x v="1"/>
    <s v="Fri"/>
    <s v="Jan–Jun 2025"/>
    <x v="0"/>
    <s v="Beginner"/>
    <n v="4"/>
    <n v="0.75"/>
    <n v="73"/>
    <x v="1"/>
    <x v="0"/>
    <n v="1"/>
    <x v="1"/>
    <x v="0"/>
    <d v="2025-06-30T00:00:00"/>
  </r>
  <r>
    <n v="77"/>
    <x v="25"/>
    <n v="2"/>
    <x v="0"/>
    <x v="0"/>
    <n v="32"/>
    <x v="1"/>
    <x v="1"/>
    <x v="0"/>
    <d v="2025-05-09T00:00:00"/>
    <x v="1"/>
    <s v="Fri"/>
    <s v="Jan–Jun 2025"/>
    <x v="1"/>
    <s v="Beginner"/>
    <n v="4"/>
    <n v="0.77083333333333337"/>
    <n v="65"/>
    <x v="1"/>
    <x v="0"/>
    <n v="1"/>
    <x v="1"/>
    <x v="0"/>
    <d v="2025-06-30T00:00:00"/>
  </r>
  <r>
    <n v="78"/>
    <x v="25"/>
    <n v="3"/>
    <x v="0"/>
    <x v="0"/>
    <n v="32"/>
    <x v="1"/>
    <x v="1"/>
    <x v="0"/>
    <d v="2025-05-09T00:00:00"/>
    <x v="1"/>
    <s v="Fri"/>
    <s v="Jan–Jun 2025"/>
    <x v="2"/>
    <s v="Beginner"/>
    <n v="4"/>
    <n v="0.89583333333333337"/>
    <n v="82.5"/>
    <x v="2"/>
    <x v="0"/>
    <n v="1"/>
    <x v="1"/>
    <x v="0"/>
    <d v="2025-06-30T00:00:00"/>
  </r>
  <r>
    <n v="79"/>
    <x v="26"/>
    <n v="1"/>
    <x v="0"/>
    <x v="0"/>
    <n v="34"/>
    <x v="1"/>
    <x v="1"/>
    <x v="0"/>
    <d v="2025-05-10T00:00:00"/>
    <x v="1"/>
    <s v="Sat"/>
    <s v="Jan–Jun 2025"/>
    <x v="0"/>
    <s v="Beginner"/>
    <n v="4"/>
    <n v="0.8125"/>
    <n v="68.5"/>
    <x v="1"/>
    <x v="0"/>
    <n v="1"/>
    <x v="0"/>
    <x v="1"/>
    <d v="2025-06-30T00:00:00"/>
  </r>
  <r>
    <n v="80"/>
    <x v="26"/>
    <n v="2"/>
    <x v="0"/>
    <x v="0"/>
    <n v="34"/>
    <x v="1"/>
    <x v="1"/>
    <x v="0"/>
    <d v="2025-05-10T00:00:00"/>
    <x v="1"/>
    <s v="Sat"/>
    <s v="Jan–Jun 2025"/>
    <x v="1"/>
    <s v="Beginner"/>
    <n v="4"/>
    <n v="0.85416666666666663"/>
    <n v="73"/>
    <x v="1"/>
    <x v="0"/>
    <n v="1"/>
    <x v="0"/>
    <x v="1"/>
    <d v="2025-06-30T00:00:00"/>
  </r>
  <r>
    <n v="81"/>
    <x v="26"/>
    <n v="3"/>
    <x v="0"/>
    <x v="0"/>
    <n v="34"/>
    <x v="1"/>
    <x v="1"/>
    <x v="0"/>
    <d v="2025-05-10T00:00:00"/>
    <x v="1"/>
    <s v="Sat"/>
    <s v="Jan–Jun 2025"/>
    <x v="2"/>
    <s v="Beginner"/>
    <n v="4"/>
    <n v="0.8125"/>
    <n v="81.5"/>
    <x v="2"/>
    <x v="0"/>
    <n v="1"/>
    <x v="0"/>
    <x v="1"/>
    <d v="2025-06-30T00:00:00"/>
  </r>
  <r>
    <n v="82"/>
    <x v="27"/>
    <n v="1"/>
    <x v="2"/>
    <x v="0"/>
    <n v="22"/>
    <x v="0"/>
    <x v="5"/>
    <x v="2"/>
    <d v="2025-05-19T00:00:00"/>
    <x v="1"/>
    <s v="Mon"/>
    <s v="Jan–Jun 2025"/>
    <x v="0"/>
    <s v="Beginner"/>
    <n v="4"/>
    <n v="0.875"/>
    <n v="68.5"/>
    <x v="1"/>
    <x v="1"/>
    <n v="0"/>
    <x v="0"/>
    <x v="0"/>
    <d v="2025-06-30T00:00:00"/>
  </r>
  <r>
    <n v="83"/>
    <x v="27"/>
    <n v="2"/>
    <x v="2"/>
    <x v="0"/>
    <n v="22"/>
    <x v="0"/>
    <x v="5"/>
    <x v="2"/>
    <d v="2025-05-19T00:00:00"/>
    <x v="1"/>
    <s v="Mon"/>
    <s v="Jan–Jun 2025"/>
    <x v="1"/>
    <s v="Beginner"/>
    <n v="4"/>
    <n v="0.85416666666666663"/>
    <n v="98.5"/>
    <x v="2"/>
    <x v="1"/>
    <n v="0"/>
    <x v="0"/>
    <x v="0"/>
    <d v="2025-06-30T00:00:00"/>
  </r>
  <r>
    <n v="84"/>
    <x v="27"/>
    <n v="3"/>
    <x v="0"/>
    <x v="0"/>
    <n v="22"/>
    <x v="0"/>
    <x v="5"/>
    <x v="2"/>
    <d v="2025-05-19T00:00:00"/>
    <x v="1"/>
    <s v="Mon"/>
    <s v="Jan–Jun 2025"/>
    <x v="2"/>
    <s v="Beginner"/>
    <n v="4"/>
    <n v="0.89583333333333337"/>
    <n v="86.5"/>
    <x v="2"/>
    <x v="1"/>
    <n v="0"/>
    <x v="0"/>
    <x v="0"/>
    <d v="2025-06-30T00:00:00"/>
  </r>
  <r>
    <n v="85"/>
    <x v="28"/>
    <n v="1"/>
    <x v="2"/>
    <x v="0"/>
    <n v="28"/>
    <x v="2"/>
    <x v="3"/>
    <x v="1"/>
    <d v="2025-01-29T00:00:00"/>
    <x v="2"/>
    <s v="Wed"/>
    <s v="Jan–Jun 2025"/>
    <x v="0"/>
    <s v="Beginner"/>
    <n v="4"/>
    <n v="0.85416666666666663"/>
    <n v="94"/>
    <x v="2"/>
    <x v="0"/>
    <n v="1"/>
    <x v="0"/>
    <x v="1"/>
    <d v="2025-06-30T00:00:00"/>
  </r>
  <r>
    <n v="86"/>
    <x v="28"/>
    <n v="2"/>
    <x v="0"/>
    <x v="0"/>
    <n v="28"/>
    <x v="2"/>
    <x v="3"/>
    <x v="1"/>
    <d v="2025-01-29T00:00:00"/>
    <x v="2"/>
    <s v="Wed"/>
    <s v="Jan–Jun 2025"/>
    <x v="1"/>
    <s v="Beginner"/>
    <n v="4"/>
    <n v="0.83333333333333337"/>
    <n v="65"/>
    <x v="1"/>
    <x v="0"/>
    <n v="1"/>
    <x v="0"/>
    <x v="1"/>
    <d v="2025-06-30T00:00:00"/>
  </r>
  <r>
    <n v="87"/>
    <x v="28"/>
    <n v="3"/>
    <x v="2"/>
    <x v="0"/>
    <n v="28"/>
    <x v="2"/>
    <x v="3"/>
    <x v="1"/>
    <d v="2025-01-29T00:00:00"/>
    <x v="2"/>
    <s v="Wed"/>
    <s v="Jan–Jun 2025"/>
    <x v="2"/>
    <s v="Beginner"/>
    <n v="4"/>
    <n v="0.89583333333333337"/>
    <n v="95.5"/>
    <x v="2"/>
    <x v="0"/>
    <n v="1"/>
    <x v="0"/>
    <x v="1"/>
    <d v="2025-06-30T00:00:00"/>
  </r>
  <r>
    <n v="88"/>
    <x v="29"/>
    <n v="1"/>
    <x v="1"/>
    <x v="1"/>
    <n v="27"/>
    <x v="2"/>
    <x v="4"/>
    <x v="1"/>
    <d v="2025-03-03T00:00:00"/>
    <x v="0"/>
    <s v="Mon"/>
    <s v="Jan–Jun 2025"/>
    <x v="0"/>
    <s v="Beginner"/>
    <n v="4"/>
    <n v="0.83333333333333337"/>
    <n v="80.5"/>
    <x v="2"/>
    <x v="0"/>
    <n v="1"/>
    <x v="1"/>
    <x v="1"/>
    <d v="2025-06-30T00:00:00"/>
  </r>
  <r>
    <n v="89"/>
    <x v="29"/>
    <n v="2"/>
    <x v="2"/>
    <x v="1"/>
    <n v="27"/>
    <x v="2"/>
    <x v="4"/>
    <x v="1"/>
    <d v="2025-03-03T00:00:00"/>
    <x v="0"/>
    <s v="Mon"/>
    <s v="Jan–Jun 2025"/>
    <x v="1"/>
    <s v="Beginner"/>
    <n v="4"/>
    <n v="0.875"/>
    <n v="80"/>
    <x v="2"/>
    <x v="0"/>
    <n v="1"/>
    <x v="1"/>
    <x v="1"/>
    <d v="2025-06-30T00:00:00"/>
  </r>
  <r>
    <n v="90"/>
    <x v="29"/>
    <n v="3"/>
    <x v="0"/>
    <x v="1"/>
    <n v="27"/>
    <x v="2"/>
    <x v="4"/>
    <x v="1"/>
    <d v="2025-03-03T00:00:00"/>
    <x v="0"/>
    <s v="Mon"/>
    <s v="Jan–Jun 2025"/>
    <x v="2"/>
    <s v="Beginner"/>
    <n v="4"/>
    <n v="0.83333333333333337"/>
    <n v="68"/>
    <x v="1"/>
    <x v="0"/>
    <n v="1"/>
    <x v="1"/>
    <x v="1"/>
    <d v="2025-06-30T00:00:00"/>
  </r>
  <r>
    <n v="91"/>
    <x v="30"/>
    <n v="1"/>
    <x v="0"/>
    <x v="0"/>
    <n v="20"/>
    <x v="0"/>
    <x v="0"/>
    <x v="3"/>
    <d v="2025-01-18T00:00:00"/>
    <x v="2"/>
    <s v="Sat"/>
    <s v="Jan–Jun 2025"/>
    <x v="0"/>
    <s v="Beginner"/>
    <n v="4"/>
    <n v="0.91666666666666663"/>
    <n v="68"/>
    <x v="1"/>
    <x v="0"/>
    <n v="1"/>
    <x v="1"/>
    <x v="0"/>
    <d v="2025-06-30T00:00:00"/>
  </r>
  <r>
    <n v="92"/>
    <x v="30"/>
    <n v="2"/>
    <x v="0"/>
    <x v="0"/>
    <n v="20"/>
    <x v="0"/>
    <x v="0"/>
    <x v="3"/>
    <d v="2025-01-18T00:00:00"/>
    <x v="2"/>
    <s v="Sat"/>
    <s v="Jan–Jun 2025"/>
    <x v="1"/>
    <s v="Beginner"/>
    <n v="4"/>
    <n v="0.89583333333333337"/>
    <n v="63"/>
    <x v="1"/>
    <x v="0"/>
    <n v="1"/>
    <x v="1"/>
    <x v="0"/>
    <d v="2025-06-30T00:00:00"/>
  </r>
  <r>
    <n v="93"/>
    <x v="30"/>
    <n v="3"/>
    <x v="0"/>
    <x v="0"/>
    <n v="20"/>
    <x v="0"/>
    <x v="0"/>
    <x v="3"/>
    <d v="2025-01-18T00:00:00"/>
    <x v="2"/>
    <s v="Sat"/>
    <s v="Jan–Jun 2025"/>
    <x v="2"/>
    <s v="Beginner"/>
    <n v="4"/>
    <n v="0.85416666666666663"/>
    <n v="71"/>
    <x v="1"/>
    <x v="0"/>
    <n v="1"/>
    <x v="1"/>
    <x v="0"/>
    <d v="2025-06-30T00:00:00"/>
  </r>
  <r>
    <n v="94"/>
    <x v="31"/>
    <n v="1"/>
    <x v="0"/>
    <x v="0"/>
    <n v="22"/>
    <x v="0"/>
    <x v="0"/>
    <x v="3"/>
    <d v="2025-05-21T00:00:00"/>
    <x v="1"/>
    <s v="Wed"/>
    <s v="Jan–Jun 2025"/>
    <x v="0"/>
    <s v="Beginner"/>
    <n v="4"/>
    <n v="0.75"/>
    <n v="95.5"/>
    <x v="2"/>
    <x v="0"/>
    <n v="1"/>
    <x v="1"/>
    <x v="0"/>
    <d v="2025-06-30T00:00:00"/>
  </r>
  <r>
    <n v="95"/>
    <x v="31"/>
    <n v="2"/>
    <x v="0"/>
    <x v="0"/>
    <n v="22"/>
    <x v="0"/>
    <x v="0"/>
    <x v="3"/>
    <d v="2025-05-21T00:00:00"/>
    <x v="1"/>
    <s v="Wed"/>
    <s v="Jan–Jun 2025"/>
    <x v="1"/>
    <s v="Beginner"/>
    <n v="4"/>
    <n v="0.85416666666666663"/>
    <n v="71.5"/>
    <x v="1"/>
    <x v="0"/>
    <n v="1"/>
    <x v="1"/>
    <x v="0"/>
    <d v="2025-06-30T00:00:00"/>
  </r>
  <r>
    <n v="96"/>
    <x v="31"/>
    <n v="3"/>
    <x v="0"/>
    <x v="0"/>
    <n v="22"/>
    <x v="0"/>
    <x v="0"/>
    <x v="3"/>
    <d v="2025-05-21T00:00:00"/>
    <x v="1"/>
    <s v="Wed"/>
    <s v="Jan–Jun 2025"/>
    <x v="2"/>
    <s v="Beginner"/>
    <n v="4"/>
    <n v="0.89583333333333337"/>
    <n v="75.5"/>
    <x v="1"/>
    <x v="0"/>
    <n v="1"/>
    <x v="1"/>
    <x v="0"/>
    <d v="2025-06-30T00:00:00"/>
  </r>
  <r>
    <n v="97"/>
    <x v="32"/>
    <n v="1"/>
    <x v="0"/>
    <x v="0"/>
    <n v="26"/>
    <x v="2"/>
    <x v="2"/>
    <x v="3"/>
    <d v="2025-02-24T00:00:00"/>
    <x v="4"/>
    <s v="Mon"/>
    <s v="Jan–Jun 2025"/>
    <x v="0"/>
    <s v="Beginner"/>
    <n v="4"/>
    <n v="0.83333333333333337"/>
    <n v="71"/>
    <x v="1"/>
    <x v="0"/>
    <n v="1"/>
    <x v="1"/>
    <x v="0"/>
    <d v="2025-06-30T00:00:00"/>
  </r>
  <r>
    <n v="98"/>
    <x v="32"/>
    <n v="2"/>
    <x v="0"/>
    <x v="0"/>
    <n v="26"/>
    <x v="2"/>
    <x v="2"/>
    <x v="3"/>
    <d v="2025-02-24T00:00:00"/>
    <x v="4"/>
    <s v="Mon"/>
    <s v="Jan–Jun 2025"/>
    <x v="1"/>
    <s v="Beginner"/>
    <n v="4"/>
    <n v="0.85416666666666663"/>
    <n v="79"/>
    <x v="2"/>
    <x v="0"/>
    <n v="1"/>
    <x v="1"/>
    <x v="0"/>
    <d v="2025-06-30T00:00:00"/>
  </r>
  <r>
    <n v="99"/>
    <x v="32"/>
    <n v="3"/>
    <x v="2"/>
    <x v="0"/>
    <n v="26"/>
    <x v="2"/>
    <x v="2"/>
    <x v="3"/>
    <d v="2025-02-24T00:00:00"/>
    <x v="4"/>
    <s v="Mon"/>
    <s v="Jan–Jun 2025"/>
    <x v="2"/>
    <s v="Beginner"/>
    <n v="4"/>
    <n v="0.79166666666666663"/>
    <n v="81"/>
    <x v="2"/>
    <x v="0"/>
    <n v="1"/>
    <x v="1"/>
    <x v="0"/>
    <d v="2025-06-30T00:00:00"/>
  </r>
  <r>
    <n v="100"/>
    <x v="33"/>
    <n v="1"/>
    <x v="1"/>
    <x v="0"/>
    <n v="27"/>
    <x v="2"/>
    <x v="3"/>
    <x v="0"/>
    <d v="2025-04-23T00:00:00"/>
    <x v="3"/>
    <s v="Wed"/>
    <s v="Jan–Jun 2025"/>
    <x v="0"/>
    <s v="Beginner"/>
    <n v="4"/>
    <n v="0.85416666666666663"/>
    <n v="51"/>
    <x v="0"/>
    <x v="0"/>
    <n v="1"/>
    <x v="1"/>
    <x v="0"/>
    <d v="2025-06-30T00:00:00"/>
  </r>
  <r>
    <n v="101"/>
    <x v="33"/>
    <n v="2"/>
    <x v="0"/>
    <x v="0"/>
    <n v="27"/>
    <x v="2"/>
    <x v="3"/>
    <x v="0"/>
    <d v="2025-04-23T00:00:00"/>
    <x v="3"/>
    <s v="Wed"/>
    <s v="Jan–Jun 2025"/>
    <x v="1"/>
    <s v="Beginner"/>
    <n v="4"/>
    <n v="0.79166666666666663"/>
    <n v="67.5"/>
    <x v="1"/>
    <x v="0"/>
    <n v="1"/>
    <x v="1"/>
    <x v="0"/>
    <d v="2025-06-30T00:00:00"/>
  </r>
  <r>
    <n v="102"/>
    <x v="33"/>
    <n v="3"/>
    <x v="2"/>
    <x v="0"/>
    <n v="27"/>
    <x v="2"/>
    <x v="3"/>
    <x v="0"/>
    <d v="2025-04-23T00:00:00"/>
    <x v="3"/>
    <s v="Wed"/>
    <s v="Jan–Jun 2025"/>
    <x v="2"/>
    <s v="Beginner"/>
    <n v="4"/>
    <n v="0.8125"/>
    <n v="90.5"/>
    <x v="2"/>
    <x v="0"/>
    <n v="1"/>
    <x v="1"/>
    <x v="0"/>
    <d v="2025-06-30T00:00:00"/>
  </r>
  <r>
    <n v="103"/>
    <x v="34"/>
    <n v="1"/>
    <x v="0"/>
    <x v="1"/>
    <n v="21"/>
    <x v="0"/>
    <x v="4"/>
    <x v="2"/>
    <d v="2025-01-17T00:00:00"/>
    <x v="2"/>
    <s v="Fri"/>
    <s v="Jan–Jun 2025"/>
    <x v="0"/>
    <s v="Beginner"/>
    <n v="4"/>
    <n v="0.875"/>
    <n v="71.5"/>
    <x v="1"/>
    <x v="0"/>
    <n v="1"/>
    <x v="1"/>
    <x v="0"/>
    <d v="2025-06-30T00:00:00"/>
  </r>
  <r>
    <n v="104"/>
    <x v="34"/>
    <n v="2"/>
    <x v="0"/>
    <x v="1"/>
    <n v="21"/>
    <x v="0"/>
    <x v="4"/>
    <x v="2"/>
    <d v="2025-01-17T00:00:00"/>
    <x v="2"/>
    <s v="Fri"/>
    <s v="Jan–Jun 2025"/>
    <x v="1"/>
    <s v="Beginner"/>
    <n v="4"/>
    <n v="0.85416666666666663"/>
    <n v="70.5"/>
    <x v="1"/>
    <x v="0"/>
    <n v="1"/>
    <x v="1"/>
    <x v="0"/>
    <d v="2025-06-30T00:00:00"/>
  </r>
  <r>
    <n v="105"/>
    <x v="34"/>
    <n v="3"/>
    <x v="2"/>
    <x v="1"/>
    <n v="21"/>
    <x v="0"/>
    <x v="4"/>
    <x v="2"/>
    <d v="2025-01-17T00:00:00"/>
    <x v="2"/>
    <s v="Fri"/>
    <s v="Jan–Jun 2025"/>
    <x v="2"/>
    <s v="Beginner"/>
    <n v="4"/>
    <n v="0.85416666666666663"/>
    <n v="66"/>
    <x v="1"/>
    <x v="0"/>
    <n v="1"/>
    <x v="1"/>
    <x v="0"/>
    <d v="2025-06-30T00:00:00"/>
  </r>
  <r>
    <n v="106"/>
    <x v="35"/>
    <n v="1"/>
    <x v="0"/>
    <x v="1"/>
    <n v="18"/>
    <x v="0"/>
    <x v="2"/>
    <x v="2"/>
    <d v="2025-05-31T00:00:00"/>
    <x v="1"/>
    <s v="Sat"/>
    <s v="Jan–Jun 2025"/>
    <x v="0"/>
    <s v="Beginner"/>
    <n v="4"/>
    <n v="0.79166666666666663"/>
    <n v="69.5"/>
    <x v="1"/>
    <x v="1"/>
    <n v="0"/>
    <x v="0"/>
    <x v="0"/>
    <d v="2025-06-30T00:00:00"/>
  </r>
  <r>
    <n v="107"/>
    <x v="35"/>
    <n v="2"/>
    <x v="0"/>
    <x v="1"/>
    <n v="18"/>
    <x v="0"/>
    <x v="2"/>
    <x v="2"/>
    <d v="2025-05-31T00:00:00"/>
    <x v="1"/>
    <s v="Sat"/>
    <s v="Jan–Jun 2025"/>
    <x v="1"/>
    <s v="Beginner"/>
    <n v="4"/>
    <n v="0.8125"/>
    <n v="63.5"/>
    <x v="1"/>
    <x v="1"/>
    <n v="0"/>
    <x v="0"/>
    <x v="0"/>
    <d v="2025-06-30T00:00:00"/>
  </r>
  <r>
    <n v="108"/>
    <x v="35"/>
    <n v="3"/>
    <x v="0"/>
    <x v="1"/>
    <n v="18"/>
    <x v="0"/>
    <x v="2"/>
    <x v="2"/>
    <d v="2025-05-31T00:00:00"/>
    <x v="1"/>
    <s v="Sat"/>
    <s v="Jan–Jun 2025"/>
    <x v="2"/>
    <s v="Beginner"/>
    <n v="4"/>
    <n v="0.8125"/>
    <n v="60"/>
    <x v="1"/>
    <x v="1"/>
    <n v="0"/>
    <x v="0"/>
    <x v="0"/>
    <d v="2025-06-30T00:00:00"/>
  </r>
  <r>
    <n v="109"/>
    <x v="36"/>
    <n v="1"/>
    <x v="0"/>
    <x v="0"/>
    <n v="18"/>
    <x v="0"/>
    <x v="1"/>
    <x v="1"/>
    <d v="2025-02-28T00:00:00"/>
    <x v="4"/>
    <s v="Fri"/>
    <s v="Jan–Jun 2025"/>
    <x v="0"/>
    <s v="Beginner"/>
    <n v="4"/>
    <n v="0.77083333333333337"/>
    <n v="81.5"/>
    <x v="2"/>
    <x v="0"/>
    <n v="1"/>
    <x v="1"/>
    <x v="0"/>
    <d v="2025-06-30T00:00:00"/>
  </r>
  <r>
    <n v="110"/>
    <x v="36"/>
    <n v="2"/>
    <x v="0"/>
    <x v="0"/>
    <n v="18"/>
    <x v="0"/>
    <x v="1"/>
    <x v="1"/>
    <d v="2025-02-28T00:00:00"/>
    <x v="4"/>
    <s v="Fri"/>
    <s v="Jan–Jun 2025"/>
    <x v="1"/>
    <s v="Beginner"/>
    <n v="4"/>
    <n v="0.79166666666666663"/>
    <n v="77"/>
    <x v="1"/>
    <x v="0"/>
    <n v="1"/>
    <x v="1"/>
    <x v="0"/>
    <d v="2025-06-30T00:00:00"/>
  </r>
  <r>
    <n v="111"/>
    <x v="36"/>
    <n v="3"/>
    <x v="1"/>
    <x v="0"/>
    <n v="18"/>
    <x v="0"/>
    <x v="1"/>
    <x v="1"/>
    <d v="2025-02-28T00:00:00"/>
    <x v="4"/>
    <s v="Fri"/>
    <s v="Jan–Jun 2025"/>
    <x v="2"/>
    <s v="Beginner"/>
    <n v="4"/>
    <n v="0.9375"/>
    <n v="70.5"/>
    <x v="1"/>
    <x v="0"/>
    <n v="1"/>
    <x v="1"/>
    <x v="0"/>
    <d v="2025-06-30T00:00:00"/>
  </r>
  <r>
    <n v="112"/>
    <x v="37"/>
    <n v="1"/>
    <x v="2"/>
    <x v="0"/>
    <n v="19"/>
    <x v="0"/>
    <x v="5"/>
    <x v="1"/>
    <d v="2025-05-12T00:00:00"/>
    <x v="1"/>
    <s v="Mon"/>
    <s v="Jan–Jun 2025"/>
    <x v="0"/>
    <s v="Beginner"/>
    <n v="4"/>
    <n v="0.8125"/>
    <n v="52"/>
    <x v="0"/>
    <x v="0"/>
    <n v="1"/>
    <x v="1"/>
    <x v="0"/>
    <d v="2025-06-30T00:00:00"/>
  </r>
  <r>
    <n v="113"/>
    <x v="37"/>
    <n v="2"/>
    <x v="0"/>
    <x v="0"/>
    <n v="19"/>
    <x v="0"/>
    <x v="5"/>
    <x v="1"/>
    <d v="2025-05-12T00:00:00"/>
    <x v="1"/>
    <s v="Mon"/>
    <s v="Jan–Jun 2025"/>
    <x v="1"/>
    <s v="Beginner"/>
    <n v="4"/>
    <n v="0.8125"/>
    <n v="81.5"/>
    <x v="2"/>
    <x v="0"/>
    <n v="1"/>
    <x v="1"/>
    <x v="0"/>
    <d v="2025-06-30T00:00:00"/>
  </r>
  <r>
    <n v="114"/>
    <x v="37"/>
    <n v="3"/>
    <x v="0"/>
    <x v="0"/>
    <n v="19"/>
    <x v="0"/>
    <x v="5"/>
    <x v="1"/>
    <d v="2025-05-12T00:00:00"/>
    <x v="1"/>
    <s v="Mon"/>
    <s v="Jan–Jun 2025"/>
    <x v="2"/>
    <s v="Beginner"/>
    <n v="4"/>
    <n v="0.77083333333333337"/>
    <n v="79"/>
    <x v="2"/>
    <x v="0"/>
    <n v="1"/>
    <x v="1"/>
    <x v="0"/>
    <d v="2025-06-30T00:00:00"/>
  </r>
  <r>
    <n v="115"/>
    <x v="38"/>
    <n v="1"/>
    <x v="1"/>
    <x v="0"/>
    <n v="26"/>
    <x v="2"/>
    <x v="0"/>
    <x v="3"/>
    <d v="2025-02-24T00:00:00"/>
    <x v="4"/>
    <s v="Mon"/>
    <s v="Jan–Jun 2025"/>
    <x v="0"/>
    <s v="Beginner"/>
    <n v="4"/>
    <n v="0.8125"/>
    <n v="59"/>
    <x v="0"/>
    <x v="0"/>
    <n v="1"/>
    <x v="0"/>
    <x v="0"/>
    <d v="2025-06-30T00:00:00"/>
  </r>
  <r>
    <n v="116"/>
    <x v="38"/>
    <n v="2"/>
    <x v="0"/>
    <x v="0"/>
    <n v="26"/>
    <x v="2"/>
    <x v="0"/>
    <x v="3"/>
    <d v="2025-02-24T00:00:00"/>
    <x v="4"/>
    <s v="Mon"/>
    <s v="Jan–Jun 2025"/>
    <x v="1"/>
    <s v="Beginner"/>
    <n v="4"/>
    <n v="0.89583333333333337"/>
    <n v="80"/>
    <x v="2"/>
    <x v="0"/>
    <n v="1"/>
    <x v="0"/>
    <x v="0"/>
    <d v="2025-06-30T00:00:00"/>
  </r>
  <r>
    <n v="117"/>
    <x v="38"/>
    <n v="3"/>
    <x v="0"/>
    <x v="0"/>
    <n v="26"/>
    <x v="2"/>
    <x v="0"/>
    <x v="3"/>
    <d v="2025-02-24T00:00:00"/>
    <x v="4"/>
    <s v="Mon"/>
    <s v="Jan–Jun 2025"/>
    <x v="2"/>
    <s v="Beginner"/>
    <n v="4"/>
    <n v="0.83333333333333337"/>
    <n v="63.5"/>
    <x v="1"/>
    <x v="0"/>
    <n v="1"/>
    <x v="0"/>
    <x v="0"/>
    <d v="2025-06-30T00:00:00"/>
  </r>
  <r>
    <n v="118"/>
    <x v="39"/>
    <n v="1"/>
    <x v="0"/>
    <x v="0"/>
    <n v="33"/>
    <x v="1"/>
    <x v="4"/>
    <x v="3"/>
    <d v="2025-04-15T00:00:00"/>
    <x v="3"/>
    <s v="Tue"/>
    <s v="Jan–Jun 2025"/>
    <x v="0"/>
    <s v="Beginner"/>
    <n v="4"/>
    <n v="0.875"/>
    <n v="69.5"/>
    <x v="1"/>
    <x v="0"/>
    <n v="1"/>
    <x v="1"/>
    <x v="0"/>
    <d v="2025-06-30T00:00:00"/>
  </r>
  <r>
    <n v="119"/>
    <x v="39"/>
    <n v="2"/>
    <x v="0"/>
    <x v="0"/>
    <n v="33"/>
    <x v="1"/>
    <x v="4"/>
    <x v="3"/>
    <d v="2025-04-15T00:00:00"/>
    <x v="3"/>
    <s v="Tue"/>
    <s v="Jan–Jun 2025"/>
    <x v="1"/>
    <s v="Beginner"/>
    <n v="4"/>
    <n v="0.77083333333333337"/>
    <n v="84"/>
    <x v="2"/>
    <x v="0"/>
    <n v="1"/>
    <x v="1"/>
    <x v="0"/>
    <d v="2025-06-30T00:00:00"/>
  </r>
  <r>
    <n v="120"/>
    <x v="39"/>
    <n v="3"/>
    <x v="0"/>
    <x v="0"/>
    <n v="33"/>
    <x v="1"/>
    <x v="4"/>
    <x v="3"/>
    <d v="2025-04-15T00:00:00"/>
    <x v="3"/>
    <s v="Tue"/>
    <s v="Jan–Jun 2025"/>
    <x v="2"/>
    <s v="Beginner"/>
    <n v="4"/>
    <n v="0.875"/>
    <n v="69.5"/>
    <x v="1"/>
    <x v="0"/>
    <n v="1"/>
    <x v="1"/>
    <x v="0"/>
    <d v="2025-06-30T00:00:00"/>
  </r>
  <r>
    <n v="121"/>
    <x v="40"/>
    <n v="1"/>
    <x v="2"/>
    <x v="0"/>
    <n v="21"/>
    <x v="0"/>
    <x v="1"/>
    <x v="3"/>
    <d v="2025-04-01T00:00:00"/>
    <x v="3"/>
    <s v="Tue"/>
    <s v="Jan–Jun 2025"/>
    <x v="0"/>
    <s v="Beginner"/>
    <n v="4"/>
    <n v="0.875"/>
    <n v="67"/>
    <x v="1"/>
    <x v="1"/>
    <n v="0"/>
    <x v="0"/>
    <x v="0"/>
    <d v="2025-06-30T00:00:00"/>
  </r>
  <r>
    <n v="122"/>
    <x v="40"/>
    <n v="2"/>
    <x v="0"/>
    <x v="0"/>
    <n v="21"/>
    <x v="0"/>
    <x v="1"/>
    <x v="3"/>
    <d v="2025-04-01T00:00:00"/>
    <x v="3"/>
    <s v="Tue"/>
    <s v="Jan–Jun 2025"/>
    <x v="1"/>
    <s v="Beginner"/>
    <n v="4"/>
    <n v="0.83333333333333337"/>
    <n v="74"/>
    <x v="1"/>
    <x v="1"/>
    <n v="0"/>
    <x v="0"/>
    <x v="0"/>
    <d v="2025-06-30T00:00:00"/>
  </r>
  <r>
    <n v="123"/>
    <x v="40"/>
    <n v="3"/>
    <x v="0"/>
    <x v="0"/>
    <n v="21"/>
    <x v="0"/>
    <x v="1"/>
    <x v="3"/>
    <d v="2025-04-01T00:00:00"/>
    <x v="3"/>
    <s v="Tue"/>
    <s v="Jan–Jun 2025"/>
    <x v="2"/>
    <s v="Beginner"/>
    <n v="4"/>
    <n v="0.89583333333333337"/>
    <n v="82"/>
    <x v="2"/>
    <x v="1"/>
    <n v="0"/>
    <x v="0"/>
    <x v="0"/>
    <d v="2025-06-30T00:00:00"/>
  </r>
  <r>
    <n v="124"/>
    <x v="41"/>
    <n v="1"/>
    <x v="0"/>
    <x v="1"/>
    <n v="31"/>
    <x v="1"/>
    <x v="3"/>
    <x v="1"/>
    <d v="2025-01-26T00:00:00"/>
    <x v="2"/>
    <s v="Sun"/>
    <s v="Jan–Jun 2025"/>
    <x v="0"/>
    <s v="Beginner"/>
    <n v="4"/>
    <n v="0.75"/>
    <n v="66"/>
    <x v="1"/>
    <x v="0"/>
    <n v="1"/>
    <x v="1"/>
    <x v="0"/>
    <d v="2025-06-30T00:00:00"/>
  </r>
  <r>
    <n v="125"/>
    <x v="41"/>
    <n v="2"/>
    <x v="0"/>
    <x v="1"/>
    <n v="31"/>
    <x v="1"/>
    <x v="3"/>
    <x v="1"/>
    <d v="2025-01-26T00:00:00"/>
    <x v="2"/>
    <s v="Sun"/>
    <s v="Jan–Jun 2025"/>
    <x v="1"/>
    <s v="Beginner"/>
    <n v="4"/>
    <n v="0.83333333333333337"/>
    <n v="74.5"/>
    <x v="1"/>
    <x v="0"/>
    <n v="1"/>
    <x v="1"/>
    <x v="0"/>
    <d v="2025-06-30T00:00:00"/>
  </r>
  <r>
    <n v="126"/>
    <x v="41"/>
    <n v="3"/>
    <x v="0"/>
    <x v="1"/>
    <n v="31"/>
    <x v="1"/>
    <x v="3"/>
    <x v="1"/>
    <d v="2025-01-26T00:00:00"/>
    <x v="2"/>
    <s v="Sun"/>
    <s v="Jan–Jun 2025"/>
    <x v="2"/>
    <s v="Beginner"/>
    <n v="4"/>
    <n v="0.83333333333333337"/>
    <n v="64"/>
    <x v="1"/>
    <x v="0"/>
    <n v="1"/>
    <x v="1"/>
    <x v="0"/>
    <d v="2025-06-30T00:00:00"/>
  </r>
  <r>
    <n v="127"/>
    <x v="42"/>
    <n v="1"/>
    <x v="0"/>
    <x v="0"/>
    <n v="30"/>
    <x v="1"/>
    <x v="0"/>
    <x v="0"/>
    <d v="2025-01-28T00:00:00"/>
    <x v="2"/>
    <s v="Tue"/>
    <s v="Jan–Jun 2025"/>
    <x v="0"/>
    <s v="Beginner"/>
    <n v="4"/>
    <n v="0.77083333333333337"/>
    <n v="76.5"/>
    <x v="1"/>
    <x v="0"/>
    <n v="1"/>
    <x v="1"/>
    <x v="0"/>
    <d v="2025-06-30T00:00:00"/>
  </r>
  <r>
    <n v="128"/>
    <x v="42"/>
    <n v="2"/>
    <x v="0"/>
    <x v="0"/>
    <n v="30"/>
    <x v="1"/>
    <x v="0"/>
    <x v="0"/>
    <d v="2025-01-28T00:00:00"/>
    <x v="2"/>
    <s v="Tue"/>
    <s v="Jan–Jun 2025"/>
    <x v="1"/>
    <s v="Beginner"/>
    <n v="4"/>
    <n v="0.85416666666666663"/>
    <n v="73.5"/>
    <x v="1"/>
    <x v="0"/>
    <n v="1"/>
    <x v="1"/>
    <x v="0"/>
    <d v="2025-06-30T00:00:00"/>
  </r>
  <r>
    <n v="129"/>
    <x v="42"/>
    <n v="3"/>
    <x v="0"/>
    <x v="0"/>
    <n v="30"/>
    <x v="1"/>
    <x v="0"/>
    <x v="0"/>
    <d v="2025-01-28T00:00:00"/>
    <x v="2"/>
    <s v="Tue"/>
    <s v="Jan–Jun 2025"/>
    <x v="2"/>
    <s v="Beginner"/>
    <n v="4"/>
    <n v="0.8125"/>
    <n v="67.5"/>
    <x v="1"/>
    <x v="0"/>
    <n v="1"/>
    <x v="1"/>
    <x v="0"/>
    <d v="2025-06-30T00:00:00"/>
  </r>
  <r>
    <n v="130"/>
    <x v="43"/>
    <n v="1"/>
    <x v="2"/>
    <x v="0"/>
    <n v="24"/>
    <x v="0"/>
    <x v="4"/>
    <x v="3"/>
    <d v="2025-02-05T00:00:00"/>
    <x v="4"/>
    <s v="Wed"/>
    <s v="Jan–Jun 2025"/>
    <x v="0"/>
    <s v="Beginner"/>
    <n v="4"/>
    <n v="0.77083333333333337"/>
    <n v="87"/>
    <x v="2"/>
    <x v="1"/>
    <n v="0"/>
    <x v="0"/>
    <x v="0"/>
    <d v="2025-06-30T00:00:00"/>
  </r>
  <r>
    <n v="131"/>
    <x v="43"/>
    <n v="2"/>
    <x v="2"/>
    <x v="0"/>
    <n v="24"/>
    <x v="0"/>
    <x v="4"/>
    <x v="3"/>
    <d v="2025-02-05T00:00:00"/>
    <x v="4"/>
    <s v="Wed"/>
    <s v="Jan–Jun 2025"/>
    <x v="1"/>
    <s v="Beginner"/>
    <n v="4"/>
    <n v="0.8125"/>
    <n v="57.5"/>
    <x v="0"/>
    <x v="1"/>
    <n v="0"/>
    <x v="0"/>
    <x v="0"/>
    <d v="2025-06-30T00:00:00"/>
  </r>
  <r>
    <n v="132"/>
    <x v="43"/>
    <n v="3"/>
    <x v="0"/>
    <x v="0"/>
    <n v="24"/>
    <x v="0"/>
    <x v="4"/>
    <x v="3"/>
    <d v="2025-02-05T00:00:00"/>
    <x v="4"/>
    <s v="Wed"/>
    <s v="Jan–Jun 2025"/>
    <x v="2"/>
    <s v="Beginner"/>
    <n v="4"/>
    <n v="0.85416666666666663"/>
    <n v="63"/>
    <x v="1"/>
    <x v="1"/>
    <n v="0"/>
    <x v="0"/>
    <x v="0"/>
    <d v="2025-06-30T00:00:00"/>
  </r>
  <r>
    <n v="133"/>
    <x v="44"/>
    <n v="1"/>
    <x v="0"/>
    <x v="1"/>
    <n v="23"/>
    <x v="0"/>
    <x v="5"/>
    <x v="3"/>
    <d v="2025-03-05T00:00:00"/>
    <x v="0"/>
    <s v="Wed"/>
    <s v="Jan–Jun 2025"/>
    <x v="0"/>
    <s v="Beginner"/>
    <n v="4"/>
    <n v="0.83333333333333337"/>
    <n v="80.5"/>
    <x v="2"/>
    <x v="0"/>
    <n v="1"/>
    <x v="1"/>
    <x v="0"/>
    <d v="2025-06-30T00:00:00"/>
  </r>
  <r>
    <n v="134"/>
    <x v="44"/>
    <n v="2"/>
    <x v="2"/>
    <x v="1"/>
    <n v="23"/>
    <x v="0"/>
    <x v="5"/>
    <x v="3"/>
    <d v="2025-03-05T00:00:00"/>
    <x v="0"/>
    <s v="Wed"/>
    <s v="Jan–Jun 2025"/>
    <x v="1"/>
    <s v="Beginner"/>
    <n v="4"/>
    <n v="0.875"/>
    <n v="67.5"/>
    <x v="1"/>
    <x v="0"/>
    <n v="1"/>
    <x v="1"/>
    <x v="0"/>
    <d v="2025-06-30T00:00:00"/>
  </r>
  <r>
    <n v="135"/>
    <x v="44"/>
    <n v="3"/>
    <x v="0"/>
    <x v="1"/>
    <n v="23"/>
    <x v="0"/>
    <x v="5"/>
    <x v="3"/>
    <d v="2025-03-05T00:00:00"/>
    <x v="0"/>
    <s v="Wed"/>
    <s v="Jan–Jun 2025"/>
    <x v="2"/>
    <s v="Beginner"/>
    <n v="4"/>
    <n v="0.77083333333333337"/>
    <n v="71.5"/>
    <x v="1"/>
    <x v="0"/>
    <n v="1"/>
    <x v="1"/>
    <x v="0"/>
    <d v="2025-06-30T00:00:00"/>
  </r>
  <r>
    <n v="136"/>
    <x v="45"/>
    <n v="1"/>
    <x v="0"/>
    <x v="0"/>
    <n v="32"/>
    <x v="1"/>
    <x v="2"/>
    <x v="1"/>
    <d v="2025-01-13T00:00:00"/>
    <x v="2"/>
    <s v="Mon"/>
    <s v="Jan–Jun 2025"/>
    <x v="0"/>
    <s v="Beginner"/>
    <n v="4"/>
    <n v="0.8125"/>
    <n v="54"/>
    <x v="0"/>
    <x v="0"/>
    <n v="1"/>
    <x v="1"/>
    <x v="0"/>
    <d v="2025-06-30T00:00:00"/>
  </r>
  <r>
    <n v="137"/>
    <x v="45"/>
    <n v="2"/>
    <x v="0"/>
    <x v="0"/>
    <n v="32"/>
    <x v="1"/>
    <x v="2"/>
    <x v="1"/>
    <d v="2025-01-13T00:00:00"/>
    <x v="2"/>
    <s v="Mon"/>
    <s v="Jan–Jun 2025"/>
    <x v="1"/>
    <s v="Beginner"/>
    <n v="4"/>
    <n v="0.8125"/>
    <n v="83.5"/>
    <x v="2"/>
    <x v="0"/>
    <n v="1"/>
    <x v="1"/>
    <x v="0"/>
    <d v="2025-06-30T00:00:00"/>
  </r>
  <r>
    <n v="138"/>
    <x v="45"/>
    <n v="3"/>
    <x v="0"/>
    <x v="0"/>
    <n v="32"/>
    <x v="1"/>
    <x v="2"/>
    <x v="1"/>
    <d v="2025-01-13T00:00:00"/>
    <x v="2"/>
    <s v="Mon"/>
    <s v="Jan–Jun 2025"/>
    <x v="2"/>
    <s v="Beginner"/>
    <n v="4"/>
    <n v="0.875"/>
    <n v="69"/>
    <x v="1"/>
    <x v="0"/>
    <n v="1"/>
    <x v="1"/>
    <x v="0"/>
    <d v="2025-06-30T00:00:00"/>
  </r>
  <r>
    <n v="139"/>
    <x v="46"/>
    <n v="1"/>
    <x v="0"/>
    <x v="0"/>
    <n v="20"/>
    <x v="0"/>
    <x v="4"/>
    <x v="2"/>
    <d v="2025-04-15T00:00:00"/>
    <x v="3"/>
    <s v="Tue"/>
    <s v="Jan–Jun 2025"/>
    <x v="0"/>
    <s v="Beginner"/>
    <n v="4"/>
    <n v="0.85416666666666663"/>
    <n v="72"/>
    <x v="1"/>
    <x v="0"/>
    <n v="1"/>
    <x v="1"/>
    <x v="0"/>
    <d v="2025-06-30T00:00:00"/>
  </r>
  <r>
    <n v="140"/>
    <x v="46"/>
    <n v="2"/>
    <x v="0"/>
    <x v="0"/>
    <n v="20"/>
    <x v="0"/>
    <x v="4"/>
    <x v="2"/>
    <d v="2025-04-15T00:00:00"/>
    <x v="3"/>
    <s v="Tue"/>
    <s v="Jan–Jun 2025"/>
    <x v="1"/>
    <s v="Beginner"/>
    <n v="4"/>
    <n v="0.70833333333333337"/>
    <n v="72.5"/>
    <x v="1"/>
    <x v="0"/>
    <n v="1"/>
    <x v="1"/>
    <x v="0"/>
    <d v="2025-06-30T00:00:00"/>
  </r>
  <r>
    <n v="141"/>
    <x v="46"/>
    <n v="3"/>
    <x v="0"/>
    <x v="0"/>
    <n v="20"/>
    <x v="0"/>
    <x v="4"/>
    <x v="2"/>
    <d v="2025-04-15T00:00:00"/>
    <x v="3"/>
    <s v="Tue"/>
    <s v="Jan–Jun 2025"/>
    <x v="2"/>
    <s v="Beginner"/>
    <n v="4"/>
    <n v="0.89583333333333337"/>
    <n v="76"/>
    <x v="1"/>
    <x v="0"/>
    <n v="1"/>
    <x v="1"/>
    <x v="0"/>
    <d v="2025-06-30T00:00:00"/>
  </r>
  <r>
    <n v="142"/>
    <x v="47"/>
    <n v="1"/>
    <x v="0"/>
    <x v="1"/>
    <n v="33"/>
    <x v="1"/>
    <x v="4"/>
    <x v="3"/>
    <d v="2025-01-16T00:00:00"/>
    <x v="2"/>
    <s v="Thu"/>
    <s v="Jan–Jun 2025"/>
    <x v="0"/>
    <s v="Beginner"/>
    <n v="4"/>
    <n v="0.91666666666666663"/>
    <n v="84"/>
    <x v="2"/>
    <x v="0"/>
    <n v="1"/>
    <x v="1"/>
    <x v="0"/>
    <d v="2025-06-30T00:00:00"/>
  </r>
  <r>
    <n v="143"/>
    <x v="47"/>
    <n v="2"/>
    <x v="0"/>
    <x v="1"/>
    <n v="33"/>
    <x v="1"/>
    <x v="4"/>
    <x v="3"/>
    <d v="2025-01-16T00:00:00"/>
    <x v="2"/>
    <s v="Thu"/>
    <s v="Jan–Jun 2025"/>
    <x v="1"/>
    <s v="Beginner"/>
    <n v="4"/>
    <n v="0.875"/>
    <n v="67"/>
    <x v="1"/>
    <x v="0"/>
    <n v="1"/>
    <x v="1"/>
    <x v="0"/>
    <d v="2025-06-30T00:00:00"/>
  </r>
  <r>
    <n v="144"/>
    <x v="47"/>
    <n v="3"/>
    <x v="0"/>
    <x v="1"/>
    <n v="33"/>
    <x v="1"/>
    <x v="4"/>
    <x v="3"/>
    <d v="2025-01-16T00:00:00"/>
    <x v="2"/>
    <s v="Thu"/>
    <s v="Jan–Jun 2025"/>
    <x v="2"/>
    <s v="Beginner"/>
    <n v="4"/>
    <n v="0.85416666666666663"/>
    <n v="77.5"/>
    <x v="1"/>
    <x v="0"/>
    <n v="1"/>
    <x v="1"/>
    <x v="0"/>
    <d v="2025-06-30T00:00:00"/>
  </r>
  <r>
    <n v="145"/>
    <x v="48"/>
    <n v="1"/>
    <x v="0"/>
    <x v="0"/>
    <n v="30"/>
    <x v="1"/>
    <x v="1"/>
    <x v="3"/>
    <d v="2025-03-09T00:00:00"/>
    <x v="0"/>
    <s v="Sun"/>
    <s v="Jan–Jun 2025"/>
    <x v="0"/>
    <s v="Beginner"/>
    <n v="4"/>
    <n v="0.77083333333333337"/>
    <n v="74.5"/>
    <x v="1"/>
    <x v="0"/>
    <n v="1"/>
    <x v="1"/>
    <x v="0"/>
    <d v="2025-06-30T00:00:00"/>
  </r>
  <r>
    <n v="146"/>
    <x v="48"/>
    <n v="2"/>
    <x v="0"/>
    <x v="0"/>
    <n v="30"/>
    <x v="1"/>
    <x v="1"/>
    <x v="3"/>
    <d v="2025-03-09T00:00:00"/>
    <x v="0"/>
    <s v="Sun"/>
    <s v="Jan–Jun 2025"/>
    <x v="1"/>
    <s v="Beginner"/>
    <n v="4"/>
    <n v="0.8125"/>
    <n v="76.5"/>
    <x v="1"/>
    <x v="0"/>
    <n v="1"/>
    <x v="1"/>
    <x v="0"/>
    <d v="2025-06-30T00:00:00"/>
  </r>
  <r>
    <n v="147"/>
    <x v="48"/>
    <n v="3"/>
    <x v="0"/>
    <x v="0"/>
    <n v="30"/>
    <x v="1"/>
    <x v="1"/>
    <x v="3"/>
    <d v="2025-03-09T00:00:00"/>
    <x v="0"/>
    <s v="Sun"/>
    <s v="Jan–Jun 2025"/>
    <x v="2"/>
    <s v="Beginner"/>
    <n v="4"/>
    <n v="0.77083333333333337"/>
    <n v="58.5"/>
    <x v="0"/>
    <x v="0"/>
    <n v="1"/>
    <x v="1"/>
    <x v="0"/>
    <d v="2025-06-30T00:00:00"/>
  </r>
  <r>
    <n v="148"/>
    <x v="49"/>
    <n v="1"/>
    <x v="0"/>
    <x v="1"/>
    <n v="27"/>
    <x v="2"/>
    <x v="3"/>
    <x v="3"/>
    <d v="2025-02-09T00:00:00"/>
    <x v="4"/>
    <s v="Sun"/>
    <s v="Jan–Jun 2025"/>
    <x v="0"/>
    <s v="Beginner"/>
    <n v="4"/>
    <n v="0.875"/>
    <n v="64"/>
    <x v="1"/>
    <x v="0"/>
    <n v="1"/>
    <x v="1"/>
    <x v="1"/>
    <d v="2025-06-30T00:00:00"/>
  </r>
  <r>
    <n v="149"/>
    <x v="49"/>
    <n v="2"/>
    <x v="2"/>
    <x v="1"/>
    <n v="27"/>
    <x v="2"/>
    <x v="3"/>
    <x v="3"/>
    <d v="2025-02-09T00:00:00"/>
    <x v="4"/>
    <s v="Sun"/>
    <s v="Jan–Jun 2025"/>
    <x v="1"/>
    <s v="Beginner"/>
    <n v="4"/>
    <n v="0.875"/>
    <n v="55.5"/>
    <x v="0"/>
    <x v="0"/>
    <n v="1"/>
    <x v="1"/>
    <x v="1"/>
    <d v="2025-06-30T00:00:00"/>
  </r>
  <r>
    <n v="150"/>
    <x v="49"/>
    <n v="3"/>
    <x v="0"/>
    <x v="1"/>
    <n v="27"/>
    <x v="2"/>
    <x v="3"/>
    <x v="3"/>
    <d v="2025-02-09T00:00:00"/>
    <x v="4"/>
    <s v="Sun"/>
    <s v="Jan–Jun 2025"/>
    <x v="2"/>
    <s v="Beginner"/>
    <n v="4"/>
    <n v="0.89583333333333337"/>
    <n v="72.5"/>
    <x v="1"/>
    <x v="0"/>
    <n v="1"/>
    <x v="1"/>
    <x v="1"/>
    <d v="2025-06-30T00:00:00"/>
  </r>
  <r>
    <n v="151"/>
    <x v="50"/>
    <n v="1"/>
    <x v="0"/>
    <x v="0"/>
    <n v="27"/>
    <x v="2"/>
    <x v="4"/>
    <x v="1"/>
    <d v="2025-05-29T00:00:00"/>
    <x v="1"/>
    <s v="Thu"/>
    <s v="Jan–Jun 2025"/>
    <x v="0"/>
    <s v="Beginner"/>
    <n v="4"/>
    <n v="0.85416666666666663"/>
    <n v="73"/>
    <x v="1"/>
    <x v="0"/>
    <n v="1"/>
    <x v="1"/>
    <x v="0"/>
    <d v="2025-06-30T00:00:00"/>
  </r>
  <r>
    <n v="152"/>
    <x v="50"/>
    <n v="2"/>
    <x v="0"/>
    <x v="0"/>
    <n v="27"/>
    <x v="2"/>
    <x v="4"/>
    <x v="1"/>
    <d v="2025-05-29T00:00:00"/>
    <x v="1"/>
    <s v="Thu"/>
    <s v="Jan–Jun 2025"/>
    <x v="1"/>
    <s v="Beginner"/>
    <n v="4"/>
    <n v="0.83333333333333337"/>
    <n v="59"/>
    <x v="0"/>
    <x v="0"/>
    <n v="1"/>
    <x v="1"/>
    <x v="0"/>
    <d v="2025-06-30T00:00:00"/>
  </r>
  <r>
    <n v="153"/>
    <x v="50"/>
    <n v="3"/>
    <x v="0"/>
    <x v="0"/>
    <n v="27"/>
    <x v="2"/>
    <x v="4"/>
    <x v="1"/>
    <d v="2025-05-29T00:00:00"/>
    <x v="1"/>
    <s v="Thu"/>
    <s v="Jan–Jun 2025"/>
    <x v="2"/>
    <s v="Beginner"/>
    <n v="4"/>
    <n v="0.79166666666666663"/>
    <n v="78.5"/>
    <x v="1"/>
    <x v="0"/>
    <n v="1"/>
    <x v="1"/>
    <x v="0"/>
    <d v="2025-06-30T00:00:00"/>
  </r>
  <r>
    <n v="154"/>
    <x v="51"/>
    <n v="1"/>
    <x v="0"/>
    <x v="0"/>
    <n v="28"/>
    <x v="2"/>
    <x v="1"/>
    <x v="1"/>
    <d v="2025-05-30T00:00:00"/>
    <x v="1"/>
    <s v="Fri"/>
    <s v="Jan–Jun 2025"/>
    <x v="0"/>
    <s v="Beginner"/>
    <n v="4"/>
    <n v="0.77083333333333337"/>
    <n v="64.5"/>
    <x v="1"/>
    <x v="1"/>
    <n v="0"/>
    <x v="0"/>
    <x v="0"/>
    <d v="2025-06-30T00:00:00"/>
  </r>
  <r>
    <n v="155"/>
    <x v="51"/>
    <n v="2"/>
    <x v="2"/>
    <x v="0"/>
    <n v="28"/>
    <x v="2"/>
    <x v="1"/>
    <x v="1"/>
    <d v="2025-05-30T00:00:00"/>
    <x v="1"/>
    <s v="Fri"/>
    <s v="Jan–Jun 2025"/>
    <x v="1"/>
    <s v="Beginner"/>
    <n v="4"/>
    <n v="0.72916666666666663"/>
    <n v="80.5"/>
    <x v="2"/>
    <x v="1"/>
    <n v="0"/>
    <x v="0"/>
    <x v="0"/>
    <d v="2025-06-30T00:00:00"/>
  </r>
  <r>
    <n v="156"/>
    <x v="51"/>
    <n v="3"/>
    <x v="2"/>
    <x v="0"/>
    <n v="28"/>
    <x v="2"/>
    <x v="1"/>
    <x v="1"/>
    <d v="2025-05-30T00:00:00"/>
    <x v="1"/>
    <s v="Fri"/>
    <s v="Jan–Jun 2025"/>
    <x v="2"/>
    <s v="Beginner"/>
    <n v="4"/>
    <n v="0.83333333333333337"/>
    <n v="84"/>
    <x v="2"/>
    <x v="1"/>
    <n v="0"/>
    <x v="0"/>
    <x v="0"/>
    <d v="2025-06-30T00:00:00"/>
  </r>
  <r>
    <n v="157"/>
    <x v="52"/>
    <n v="1"/>
    <x v="0"/>
    <x v="1"/>
    <n v="34"/>
    <x v="1"/>
    <x v="2"/>
    <x v="2"/>
    <d v="2025-01-15T00:00:00"/>
    <x v="2"/>
    <s v="Wed"/>
    <s v="Jan–Jun 2025"/>
    <x v="0"/>
    <s v="Beginner"/>
    <n v="4"/>
    <n v="0.91666666666666663"/>
    <n v="72.5"/>
    <x v="1"/>
    <x v="0"/>
    <n v="1"/>
    <x v="1"/>
    <x v="0"/>
    <d v="2025-06-30T00:00:00"/>
  </r>
  <r>
    <n v="158"/>
    <x v="52"/>
    <n v="2"/>
    <x v="2"/>
    <x v="1"/>
    <n v="34"/>
    <x v="1"/>
    <x v="2"/>
    <x v="2"/>
    <d v="2025-01-15T00:00:00"/>
    <x v="2"/>
    <s v="Wed"/>
    <s v="Jan–Jun 2025"/>
    <x v="1"/>
    <s v="Beginner"/>
    <n v="4"/>
    <n v="0.875"/>
    <n v="63.5"/>
    <x v="1"/>
    <x v="0"/>
    <n v="1"/>
    <x v="1"/>
    <x v="0"/>
    <d v="2025-06-30T00:00:00"/>
  </r>
  <r>
    <n v="159"/>
    <x v="52"/>
    <n v="3"/>
    <x v="2"/>
    <x v="1"/>
    <n v="34"/>
    <x v="1"/>
    <x v="2"/>
    <x v="2"/>
    <d v="2025-01-15T00:00:00"/>
    <x v="2"/>
    <s v="Wed"/>
    <s v="Jan–Jun 2025"/>
    <x v="2"/>
    <s v="Beginner"/>
    <n v="4"/>
    <n v="0.875"/>
    <n v="77.5"/>
    <x v="1"/>
    <x v="0"/>
    <n v="1"/>
    <x v="1"/>
    <x v="0"/>
    <d v="2025-06-30T00:00:00"/>
  </r>
  <r>
    <n v="160"/>
    <x v="53"/>
    <n v="1"/>
    <x v="0"/>
    <x v="0"/>
    <n v="23"/>
    <x v="0"/>
    <x v="1"/>
    <x v="1"/>
    <d v="2025-03-02T00:00:00"/>
    <x v="0"/>
    <s v="Sun"/>
    <s v="Jan–Jun 2025"/>
    <x v="0"/>
    <s v="Beginner"/>
    <n v="4"/>
    <n v="0.91666666666666663"/>
    <n v="66.5"/>
    <x v="1"/>
    <x v="1"/>
    <n v="0"/>
    <x v="0"/>
    <x v="0"/>
    <d v="2025-06-30T00:00:00"/>
  </r>
  <r>
    <n v="161"/>
    <x v="53"/>
    <n v="2"/>
    <x v="0"/>
    <x v="0"/>
    <n v="23"/>
    <x v="0"/>
    <x v="1"/>
    <x v="1"/>
    <d v="2025-03-02T00:00:00"/>
    <x v="0"/>
    <s v="Sun"/>
    <s v="Jan–Jun 2025"/>
    <x v="1"/>
    <s v="Beginner"/>
    <n v="4"/>
    <n v="0.875"/>
    <n v="52.5"/>
    <x v="0"/>
    <x v="1"/>
    <n v="0"/>
    <x v="0"/>
    <x v="0"/>
    <d v="2025-06-30T00:00:00"/>
  </r>
  <r>
    <n v="162"/>
    <x v="53"/>
    <n v="3"/>
    <x v="0"/>
    <x v="0"/>
    <n v="23"/>
    <x v="0"/>
    <x v="1"/>
    <x v="1"/>
    <d v="2025-03-02T00:00:00"/>
    <x v="0"/>
    <s v="Sun"/>
    <s v="Jan–Jun 2025"/>
    <x v="2"/>
    <s v="Beginner"/>
    <n v="4"/>
    <n v="0.79166666666666663"/>
    <n v="80"/>
    <x v="2"/>
    <x v="1"/>
    <n v="0"/>
    <x v="0"/>
    <x v="0"/>
    <d v="2025-06-30T00:00:00"/>
  </r>
  <r>
    <n v="163"/>
    <x v="54"/>
    <n v="1"/>
    <x v="0"/>
    <x v="1"/>
    <n v="21"/>
    <x v="0"/>
    <x v="2"/>
    <x v="2"/>
    <d v="2025-05-29T00:00:00"/>
    <x v="1"/>
    <s v="Thu"/>
    <s v="Jan–Jun 2025"/>
    <x v="0"/>
    <s v="Beginner"/>
    <n v="4"/>
    <n v="0.83333333333333337"/>
    <n v="76"/>
    <x v="1"/>
    <x v="0"/>
    <n v="1"/>
    <x v="1"/>
    <x v="0"/>
    <d v="2025-06-30T00:00:00"/>
  </r>
  <r>
    <n v="164"/>
    <x v="54"/>
    <n v="2"/>
    <x v="1"/>
    <x v="1"/>
    <n v="21"/>
    <x v="0"/>
    <x v="2"/>
    <x v="2"/>
    <d v="2025-05-29T00:00:00"/>
    <x v="1"/>
    <s v="Thu"/>
    <s v="Jan–Jun 2025"/>
    <x v="1"/>
    <s v="Beginner"/>
    <n v="4"/>
    <n v="0.77083333333333337"/>
    <n v="79.5"/>
    <x v="2"/>
    <x v="0"/>
    <n v="1"/>
    <x v="1"/>
    <x v="0"/>
    <d v="2025-06-30T00:00:00"/>
  </r>
  <r>
    <n v="165"/>
    <x v="54"/>
    <n v="3"/>
    <x v="1"/>
    <x v="1"/>
    <n v="21"/>
    <x v="0"/>
    <x v="2"/>
    <x v="2"/>
    <d v="2025-05-29T00:00:00"/>
    <x v="1"/>
    <s v="Thu"/>
    <s v="Jan–Jun 2025"/>
    <x v="2"/>
    <s v="Beginner"/>
    <n v="4"/>
    <n v="0.875"/>
    <n v="55"/>
    <x v="0"/>
    <x v="0"/>
    <n v="1"/>
    <x v="1"/>
    <x v="0"/>
    <d v="2025-06-30T00:00:00"/>
  </r>
  <r>
    <n v="166"/>
    <x v="55"/>
    <n v="1"/>
    <x v="0"/>
    <x v="0"/>
    <n v="20"/>
    <x v="0"/>
    <x v="3"/>
    <x v="0"/>
    <d v="2025-03-08T00:00:00"/>
    <x v="0"/>
    <s v="Sat"/>
    <s v="Jan–Jun 2025"/>
    <x v="0"/>
    <s v="Beginner"/>
    <n v="4"/>
    <n v="0.875"/>
    <n v="59"/>
    <x v="0"/>
    <x v="0"/>
    <n v="1"/>
    <x v="1"/>
    <x v="0"/>
    <d v="2025-06-30T00:00:00"/>
  </r>
  <r>
    <n v="167"/>
    <x v="55"/>
    <n v="2"/>
    <x v="1"/>
    <x v="0"/>
    <n v="20"/>
    <x v="0"/>
    <x v="3"/>
    <x v="0"/>
    <d v="2025-03-08T00:00:00"/>
    <x v="0"/>
    <s v="Sat"/>
    <s v="Jan–Jun 2025"/>
    <x v="1"/>
    <s v="Beginner"/>
    <n v="4"/>
    <n v="0.75"/>
    <n v="66.5"/>
    <x v="1"/>
    <x v="0"/>
    <n v="1"/>
    <x v="1"/>
    <x v="0"/>
    <d v="2025-06-30T00:00:00"/>
  </r>
  <r>
    <n v="168"/>
    <x v="55"/>
    <n v="3"/>
    <x v="0"/>
    <x v="0"/>
    <n v="20"/>
    <x v="0"/>
    <x v="3"/>
    <x v="0"/>
    <d v="2025-03-08T00:00:00"/>
    <x v="0"/>
    <s v="Sat"/>
    <s v="Jan–Jun 2025"/>
    <x v="2"/>
    <s v="Beginner"/>
    <n v="4"/>
    <n v="0.89583333333333337"/>
    <n v="88.5"/>
    <x v="2"/>
    <x v="0"/>
    <n v="1"/>
    <x v="1"/>
    <x v="0"/>
    <d v="2025-06-30T00:00:00"/>
  </r>
  <r>
    <n v="169"/>
    <x v="56"/>
    <n v="1"/>
    <x v="0"/>
    <x v="0"/>
    <n v="28"/>
    <x v="2"/>
    <x v="4"/>
    <x v="0"/>
    <d v="2025-04-12T00:00:00"/>
    <x v="3"/>
    <s v="Sat"/>
    <s v="Jan–Jun 2025"/>
    <x v="0"/>
    <s v="Beginner"/>
    <n v="4"/>
    <n v="0.91666666666666663"/>
    <n v="46.5"/>
    <x v="0"/>
    <x v="0"/>
    <n v="1"/>
    <x v="1"/>
    <x v="1"/>
    <d v="2025-06-30T00:00:00"/>
  </r>
  <r>
    <n v="170"/>
    <x v="56"/>
    <n v="2"/>
    <x v="2"/>
    <x v="0"/>
    <n v="28"/>
    <x v="2"/>
    <x v="4"/>
    <x v="0"/>
    <d v="2025-04-12T00:00:00"/>
    <x v="3"/>
    <s v="Sat"/>
    <s v="Jan–Jun 2025"/>
    <x v="1"/>
    <s v="Beginner"/>
    <n v="4"/>
    <n v="0.79166666666666663"/>
    <n v="80.5"/>
    <x v="2"/>
    <x v="0"/>
    <n v="1"/>
    <x v="1"/>
    <x v="1"/>
    <d v="2025-06-30T00:00:00"/>
  </r>
  <r>
    <n v="171"/>
    <x v="56"/>
    <n v="3"/>
    <x v="2"/>
    <x v="0"/>
    <n v="28"/>
    <x v="2"/>
    <x v="4"/>
    <x v="0"/>
    <d v="2025-04-12T00:00:00"/>
    <x v="3"/>
    <s v="Sat"/>
    <s v="Jan–Jun 2025"/>
    <x v="2"/>
    <s v="Beginner"/>
    <n v="4"/>
    <n v="0.875"/>
    <n v="77"/>
    <x v="1"/>
    <x v="0"/>
    <n v="1"/>
    <x v="1"/>
    <x v="1"/>
    <d v="2025-06-30T00:00:00"/>
  </r>
  <r>
    <n v="172"/>
    <x v="57"/>
    <n v="1"/>
    <x v="1"/>
    <x v="0"/>
    <n v="27"/>
    <x v="2"/>
    <x v="3"/>
    <x v="0"/>
    <d v="2025-01-19T00:00:00"/>
    <x v="2"/>
    <s v="Sun"/>
    <s v="Jan–Jun 2025"/>
    <x v="0"/>
    <s v="Beginner"/>
    <n v="4"/>
    <n v="0.8125"/>
    <n v="65.5"/>
    <x v="1"/>
    <x v="0"/>
    <n v="1"/>
    <x v="1"/>
    <x v="0"/>
    <d v="2025-06-30T00:00:00"/>
  </r>
  <r>
    <n v="173"/>
    <x v="57"/>
    <n v="2"/>
    <x v="0"/>
    <x v="0"/>
    <n v="27"/>
    <x v="2"/>
    <x v="3"/>
    <x v="0"/>
    <d v="2025-01-19T00:00:00"/>
    <x v="2"/>
    <s v="Sun"/>
    <s v="Jan–Jun 2025"/>
    <x v="1"/>
    <s v="Beginner"/>
    <n v="4"/>
    <n v="0.70833333333333337"/>
    <n v="71.5"/>
    <x v="1"/>
    <x v="0"/>
    <n v="1"/>
    <x v="1"/>
    <x v="0"/>
    <d v="2025-06-30T00:00:00"/>
  </r>
  <r>
    <n v="174"/>
    <x v="57"/>
    <n v="3"/>
    <x v="0"/>
    <x v="0"/>
    <n v="27"/>
    <x v="2"/>
    <x v="3"/>
    <x v="0"/>
    <d v="2025-01-19T00:00:00"/>
    <x v="2"/>
    <s v="Sun"/>
    <s v="Jan–Jun 2025"/>
    <x v="2"/>
    <s v="Beginner"/>
    <n v="4"/>
    <n v="0.875"/>
    <n v="46.5"/>
    <x v="0"/>
    <x v="0"/>
    <n v="1"/>
    <x v="1"/>
    <x v="0"/>
    <d v="2025-06-30T00:00:00"/>
  </r>
  <r>
    <n v="175"/>
    <x v="58"/>
    <n v="1"/>
    <x v="1"/>
    <x v="0"/>
    <n v="32"/>
    <x v="1"/>
    <x v="2"/>
    <x v="1"/>
    <d v="2025-01-19T00:00:00"/>
    <x v="2"/>
    <s v="Sun"/>
    <s v="Jan–Jun 2025"/>
    <x v="0"/>
    <s v="Beginner"/>
    <n v="4"/>
    <n v="0.875"/>
    <n v="85"/>
    <x v="2"/>
    <x v="0"/>
    <n v="1"/>
    <x v="0"/>
    <x v="0"/>
    <d v="2025-06-30T00:00:00"/>
  </r>
  <r>
    <n v="176"/>
    <x v="58"/>
    <n v="2"/>
    <x v="0"/>
    <x v="0"/>
    <n v="32"/>
    <x v="1"/>
    <x v="2"/>
    <x v="1"/>
    <d v="2025-01-19T00:00:00"/>
    <x v="2"/>
    <s v="Sun"/>
    <s v="Jan–Jun 2025"/>
    <x v="1"/>
    <s v="Beginner"/>
    <n v="4"/>
    <n v="0.83333333333333337"/>
    <n v="72"/>
    <x v="1"/>
    <x v="0"/>
    <n v="1"/>
    <x v="0"/>
    <x v="0"/>
    <d v="2025-06-30T00:00:00"/>
  </r>
  <r>
    <n v="177"/>
    <x v="58"/>
    <n v="3"/>
    <x v="2"/>
    <x v="0"/>
    <n v="32"/>
    <x v="1"/>
    <x v="2"/>
    <x v="1"/>
    <d v="2025-01-19T00:00:00"/>
    <x v="2"/>
    <s v="Sun"/>
    <s v="Jan–Jun 2025"/>
    <x v="2"/>
    <s v="Beginner"/>
    <n v="4"/>
    <n v="0.85416666666666663"/>
    <n v="64"/>
    <x v="1"/>
    <x v="0"/>
    <n v="1"/>
    <x v="0"/>
    <x v="0"/>
    <d v="2025-06-30T00:00:00"/>
  </r>
  <r>
    <n v="178"/>
    <x v="59"/>
    <n v="1"/>
    <x v="1"/>
    <x v="0"/>
    <n v="34"/>
    <x v="1"/>
    <x v="5"/>
    <x v="2"/>
    <d v="2025-03-31T00:00:00"/>
    <x v="0"/>
    <s v="Mon"/>
    <s v="Jan–Jun 2025"/>
    <x v="0"/>
    <s v="Beginner"/>
    <n v="4"/>
    <n v="0.83333333333333337"/>
    <n v="68.5"/>
    <x v="1"/>
    <x v="0"/>
    <n v="1"/>
    <x v="0"/>
    <x v="0"/>
    <d v="2025-06-30T00:00:00"/>
  </r>
  <r>
    <n v="179"/>
    <x v="59"/>
    <n v="2"/>
    <x v="0"/>
    <x v="0"/>
    <n v="34"/>
    <x v="1"/>
    <x v="5"/>
    <x v="2"/>
    <d v="2025-03-31T00:00:00"/>
    <x v="0"/>
    <s v="Mon"/>
    <s v="Jan–Jun 2025"/>
    <x v="1"/>
    <s v="Beginner"/>
    <n v="4"/>
    <n v="0.91666666666666663"/>
    <n v="72.5"/>
    <x v="1"/>
    <x v="0"/>
    <n v="1"/>
    <x v="0"/>
    <x v="0"/>
    <d v="2025-06-30T00:00:00"/>
  </r>
  <r>
    <n v="180"/>
    <x v="59"/>
    <n v="3"/>
    <x v="2"/>
    <x v="0"/>
    <n v="34"/>
    <x v="1"/>
    <x v="5"/>
    <x v="2"/>
    <d v="2025-03-31T00:00:00"/>
    <x v="0"/>
    <s v="Mon"/>
    <s v="Jan–Jun 2025"/>
    <x v="2"/>
    <s v="Beginner"/>
    <n v="4"/>
    <n v="0.85416666666666663"/>
    <n v="58.5"/>
    <x v="0"/>
    <x v="0"/>
    <n v="1"/>
    <x v="0"/>
    <x v="0"/>
    <d v="2025-06-30T00:00:00"/>
  </r>
  <r>
    <n v="181"/>
    <x v="60"/>
    <n v="1"/>
    <x v="0"/>
    <x v="0"/>
    <n v="25"/>
    <x v="2"/>
    <x v="5"/>
    <x v="0"/>
    <d v="2025-02-10T00:00:00"/>
    <x v="4"/>
    <s v="Mon"/>
    <s v="Jan–Jun 2025"/>
    <x v="0"/>
    <s v="Beginner"/>
    <n v="4"/>
    <n v="0.875"/>
    <n v="66.5"/>
    <x v="1"/>
    <x v="0"/>
    <n v="1"/>
    <x v="1"/>
    <x v="0"/>
    <d v="2025-06-30T00:00:00"/>
  </r>
  <r>
    <n v="182"/>
    <x v="60"/>
    <n v="2"/>
    <x v="0"/>
    <x v="0"/>
    <n v="25"/>
    <x v="2"/>
    <x v="5"/>
    <x v="0"/>
    <d v="2025-02-10T00:00:00"/>
    <x v="4"/>
    <s v="Mon"/>
    <s v="Jan–Jun 2025"/>
    <x v="1"/>
    <s v="Beginner"/>
    <n v="4"/>
    <n v="0.8125"/>
    <n v="64.5"/>
    <x v="1"/>
    <x v="0"/>
    <n v="1"/>
    <x v="1"/>
    <x v="0"/>
    <d v="2025-06-30T00:00:00"/>
  </r>
  <r>
    <n v="183"/>
    <x v="60"/>
    <n v="3"/>
    <x v="0"/>
    <x v="0"/>
    <n v="25"/>
    <x v="2"/>
    <x v="5"/>
    <x v="0"/>
    <d v="2025-02-10T00:00:00"/>
    <x v="4"/>
    <s v="Mon"/>
    <s v="Jan–Jun 2025"/>
    <x v="2"/>
    <s v="Beginner"/>
    <n v="4"/>
    <n v="0.79166666666666663"/>
    <n v="71"/>
    <x v="1"/>
    <x v="0"/>
    <n v="1"/>
    <x v="1"/>
    <x v="0"/>
    <d v="2025-06-30T00:00:00"/>
  </r>
  <r>
    <n v="184"/>
    <x v="61"/>
    <n v="1"/>
    <x v="0"/>
    <x v="1"/>
    <n v="35"/>
    <x v="1"/>
    <x v="0"/>
    <x v="0"/>
    <d v="2025-05-16T00:00:00"/>
    <x v="1"/>
    <s v="Fri"/>
    <s v="Jan–Jun 2025"/>
    <x v="0"/>
    <s v="Beginner"/>
    <n v="4"/>
    <n v="0.79166666666666663"/>
    <n v="74"/>
    <x v="1"/>
    <x v="0"/>
    <n v="1"/>
    <x v="1"/>
    <x v="0"/>
    <d v="2025-06-30T00:00:00"/>
  </r>
  <r>
    <n v="185"/>
    <x v="61"/>
    <n v="2"/>
    <x v="0"/>
    <x v="1"/>
    <n v="35"/>
    <x v="1"/>
    <x v="0"/>
    <x v="0"/>
    <d v="2025-05-16T00:00:00"/>
    <x v="1"/>
    <s v="Fri"/>
    <s v="Jan–Jun 2025"/>
    <x v="1"/>
    <s v="Beginner"/>
    <n v="4"/>
    <n v="0.875"/>
    <n v="63.5"/>
    <x v="1"/>
    <x v="0"/>
    <n v="1"/>
    <x v="1"/>
    <x v="0"/>
    <d v="2025-06-30T00:00:00"/>
  </r>
  <r>
    <n v="186"/>
    <x v="61"/>
    <n v="3"/>
    <x v="0"/>
    <x v="1"/>
    <n v="35"/>
    <x v="1"/>
    <x v="0"/>
    <x v="0"/>
    <d v="2025-05-16T00:00:00"/>
    <x v="1"/>
    <s v="Fri"/>
    <s v="Jan–Jun 2025"/>
    <x v="2"/>
    <s v="Beginner"/>
    <n v="4"/>
    <n v="0.66666666666666663"/>
    <n v="80"/>
    <x v="2"/>
    <x v="0"/>
    <n v="1"/>
    <x v="1"/>
    <x v="0"/>
    <d v="2025-06-30T00:00:00"/>
  </r>
  <r>
    <n v="187"/>
    <x v="62"/>
    <n v="1"/>
    <x v="0"/>
    <x v="0"/>
    <n v="35"/>
    <x v="1"/>
    <x v="5"/>
    <x v="1"/>
    <d v="2025-02-04T00:00:00"/>
    <x v="4"/>
    <s v="Tue"/>
    <s v="Jan–Jun 2025"/>
    <x v="0"/>
    <s v="Beginner"/>
    <n v="4"/>
    <n v="0.77083333333333337"/>
    <n v="82.5"/>
    <x v="2"/>
    <x v="1"/>
    <n v="0"/>
    <x v="0"/>
    <x v="0"/>
    <d v="2025-06-30T00:00:00"/>
  </r>
  <r>
    <n v="188"/>
    <x v="62"/>
    <n v="2"/>
    <x v="2"/>
    <x v="0"/>
    <n v="35"/>
    <x v="1"/>
    <x v="5"/>
    <x v="1"/>
    <d v="2025-02-04T00:00:00"/>
    <x v="4"/>
    <s v="Tue"/>
    <s v="Jan–Jun 2025"/>
    <x v="1"/>
    <s v="Beginner"/>
    <n v="4"/>
    <n v="0.77083333333333337"/>
    <n v="83.5"/>
    <x v="2"/>
    <x v="1"/>
    <n v="0"/>
    <x v="0"/>
    <x v="0"/>
    <d v="2025-06-30T00:00:00"/>
  </r>
  <r>
    <n v="189"/>
    <x v="62"/>
    <n v="3"/>
    <x v="0"/>
    <x v="0"/>
    <n v="35"/>
    <x v="1"/>
    <x v="5"/>
    <x v="1"/>
    <d v="2025-02-04T00:00:00"/>
    <x v="4"/>
    <s v="Tue"/>
    <s v="Jan–Jun 2025"/>
    <x v="2"/>
    <s v="Beginner"/>
    <n v="4"/>
    <n v="0.79166666666666663"/>
    <n v="80.5"/>
    <x v="2"/>
    <x v="1"/>
    <n v="0"/>
    <x v="0"/>
    <x v="0"/>
    <d v="2025-06-30T00:00:00"/>
  </r>
  <r>
    <n v="190"/>
    <x v="63"/>
    <n v="1"/>
    <x v="0"/>
    <x v="1"/>
    <n v="21"/>
    <x v="0"/>
    <x v="1"/>
    <x v="2"/>
    <d v="2025-03-11T00:00:00"/>
    <x v="0"/>
    <s v="Tue"/>
    <s v="Jan–Jun 2025"/>
    <x v="0"/>
    <s v="Beginner"/>
    <n v="4"/>
    <n v="0.8125"/>
    <n v="91"/>
    <x v="2"/>
    <x v="0"/>
    <n v="1"/>
    <x v="1"/>
    <x v="0"/>
    <d v="2025-06-30T00:00:00"/>
  </r>
  <r>
    <n v="191"/>
    <x v="63"/>
    <n v="2"/>
    <x v="0"/>
    <x v="1"/>
    <n v="21"/>
    <x v="0"/>
    <x v="1"/>
    <x v="2"/>
    <d v="2025-03-11T00:00:00"/>
    <x v="0"/>
    <s v="Tue"/>
    <s v="Jan–Jun 2025"/>
    <x v="1"/>
    <s v="Beginner"/>
    <n v="4"/>
    <n v="0.72916666666666663"/>
    <n v="57"/>
    <x v="0"/>
    <x v="0"/>
    <n v="1"/>
    <x v="1"/>
    <x v="0"/>
    <d v="2025-06-30T00:00:00"/>
  </r>
  <r>
    <n v="192"/>
    <x v="63"/>
    <n v="3"/>
    <x v="0"/>
    <x v="1"/>
    <n v="21"/>
    <x v="0"/>
    <x v="1"/>
    <x v="2"/>
    <d v="2025-03-11T00:00:00"/>
    <x v="0"/>
    <s v="Tue"/>
    <s v="Jan–Jun 2025"/>
    <x v="2"/>
    <s v="Beginner"/>
    <n v="4"/>
    <n v="0.83333333333333337"/>
    <n v="98"/>
    <x v="2"/>
    <x v="0"/>
    <n v="1"/>
    <x v="1"/>
    <x v="0"/>
    <d v="2025-06-30T00:00:00"/>
  </r>
  <r>
    <n v="193"/>
    <x v="64"/>
    <n v="1"/>
    <x v="0"/>
    <x v="1"/>
    <n v="24"/>
    <x v="0"/>
    <x v="0"/>
    <x v="0"/>
    <d v="2025-02-22T00:00:00"/>
    <x v="4"/>
    <s v="Sat"/>
    <s v="Jan–Jun 2025"/>
    <x v="0"/>
    <s v="Beginner"/>
    <n v="4"/>
    <n v="0.83333333333333337"/>
    <n v="70"/>
    <x v="1"/>
    <x v="1"/>
    <n v="0"/>
    <x v="0"/>
    <x v="0"/>
    <d v="2025-06-30T00:00:00"/>
  </r>
  <r>
    <n v="194"/>
    <x v="64"/>
    <n v="2"/>
    <x v="0"/>
    <x v="1"/>
    <n v="24"/>
    <x v="0"/>
    <x v="0"/>
    <x v="0"/>
    <d v="2025-02-22T00:00:00"/>
    <x v="4"/>
    <s v="Sat"/>
    <s v="Jan–Jun 2025"/>
    <x v="1"/>
    <s v="Beginner"/>
    <n v="4"/>
    <n v="0.70833333333333337"/>
    <n v="75.5"/>
    <x v="1"/>
    <x v="1"/>
    <n v="0"/>
    <x v="0"/>
    <x v="0"/>
    <d v="2025-06-30T00:00:00"/>
  </r>
  <r>
    <n v="195"/>
    <x v="64"/>
    <n v="3"/>
    <x v="0"/>
    <x v="1"/>
    <n v="24"/>
    <x v="0"/>
    <x v="0"/>
    <x v="0"/>
    <d v="2025-02-22T00:00:00"/>
    <x v="4"/>
    <s v="Sat"/>
    <s v="Jan–Jun 2025"/>
    <x v="2"/>
    <s v="Beginner"/>
    <n v="4"/>
    <n v="0.8125"/>
    <n v="72.5"/>
    <x v="1"/>
    <x v="1"/>
    <n v="0"/>
    <x v="0"/>
    <x v="0"/>
    <d v="2025-06-30T00:00:00"/>
  </r>
  <r>
    <n v="196"/>
    <x v="65"/>
    <n v="1"/>
    <x v="2"/>
    <x v="1"/>
    <n v="34"/>
    <x v="1"/>
    <x v="3"/>
    <x v="0"/>
    <d v="2025-01-14T00:00:00"/>
    <x v="2"/>
    <s v="Tue"/>
    <s v="Jan–Jun 2025"/>
    <x v="0"/>
    <s v="Beginner"/>
    <n v="4"/>
    <n v="0.72916666666666663"/>
    <n v="50.5"/>
    <x v="0"/>
    <x v="0"/>
    <n v="1"/>
    <x v="1"/>
    <x v="0"/>
    <d v="2025-06-30T00:00:00"/>
  </r>
  <r>
    <n v="197"/>
    <x v="65"/>
    <n v="2"/>
    <x v="0"/>
    <x v="1"/>
    <n v="34"/>
    <x v="1"/>
    <x v="3"/>
    <x v="0"/>
    <d v="2025-01-14T00:00:00"/>
    <x v="2"/>
    <s v="Tue"/>
    <s v="Jan–Jun 2025"/>
    <x v="1"/>
    <s v="Beginner"/>
    <n v="4"/>
    <n v="0.83333333333333337"/>
    <n v="59.5"/>
    <x v="0"/>
    <x v="0"/>
    <n v="1"/>
    <x v="1"/>
    <x v="0"/>
    <d v="2025-06-30T00:00:00"/>
  </r>
  <r>
    <n v="198"/>
    <x v="65"/>
    <n v="3"/>
    <x v="0"/>
    <x v="1"/>
    <n v="34"/>
    <x v="1"/>
    <x v="3"/>
    <x v="0"/>
    <d v="2025-01-14T00:00:00"/>
    <x v="2"/>
    <s v="Tue"/>
    <s v="Jan–Jun 2025"/>
    <x v="2"/>
    <s v="Beginner"/>
    <n v="4"/>
    <n v="0.83333333333333337"/>
    <n v="73.5"/>
    <x v="1"/>
    <x v="0"/>
    <n v="1"/>
    <x v="1"/>
    <x v="0"/>
    <d v="2025-06-30T00:00:00"/>
  </r>
  <r>
    <n v="199"/>
    <x v="66"/>
    <n v="1"/>
    <x v="0"/>
    <x v="0"/>
    <n v="31"/>
    <x v="1"/>
    <x v="5"/>
    <x v="1"/>
    <d v="2025-01-01T00:00:00"/>
    <x v="2"/>
    <s v="Wed"/>
    <s v="Jan–Jun 2025"/>
    <x v="0"/>
    <s v="Beginner"/>
    <n v="4"/>
    <n v="0.8125"/>
    <n v="72"/>
    <x v="1"/>
    <x v="0"/>
    <n v="1"/>
    <x v="0"/>
    <x v="0"/>
    <d v="2025-06-30T00:00:00"/>
  </r>
  <r>
    <n v="200"/>
    <x v="66"/>
    <n v="2"/>
    <x v="1"/>
    <x v="0"/>
    <n v="31"/>
    <x v="1"/>
    <x v="5"/>
    <x v="1"/>
    <d v="2025-01-01T00:00:00"/>
    <x v="2"/>
    <s v="Wed"/>
    <s v="Jan–Jun 2025"/>
    <x v="1"/>
    <s v="Beginner"/>
    <n v="4"/>
    <n v="0.83333333333333337"/>
    <n v="88"/>
    <x v="2"/>
    <x v="0"/>
    <n v="1"/>
    <x v="0"/>
    <x v="0"/>
    <d v="2025-06-30T00:00:00"/>
  </r>
  <r>
    <n v="201"/>
    <x v="66"/>
    <n v="3"/>
    <x v="2"/>
    <x v="0"/>
    <n v="31"/>
    <x v="1"/>
    <x v="5"/>
    <x v="1"/>
    <d v="2025-01-01T00:00:00"/>
    <x v="2"/>
    <s v="Wed"/>
    <s v="Jan–Jun 2025"/>
    <x v="2"/>
    <s v="Beginner"/>
    <n v="4"/>
    <n v="0.72916666666666663"/>
    <n v="90.5"/>
    <x v="2"/>
    <x v="0"/>
    <n v="1"/>
    <x v="0"/>
    <x v="0"/>
    <d v="2025-06-30T00:00:00"/>
  </r>
  <r>
    <n v="202"/>
    <x v="67"/>
    <n v="1"/>
    <x v="0"/>
    <x v="1"/>
    <n v="22"/>
    <x v="0"/>
    <x v="0"/>
    <x v="0"/>
    <d v="2025-02-11T00:00:00"/>
    <x v="4"/>
    <s v="Tue"/>
    <s v="Jan–Jun 2025"/>
    <x v="0"/>
    <s v="Beginner"/>
    <n v="4"/>
    <n v="0.8125"/>
    <n v="72.5"/>
    <x v="1"/>
    <x v="1"/>
    <n v="0"/>
    <x v="0"/>
    <x v="0"/>
    <d v="2025-06-30T00:00:00"/>
  </r>
  <r>
    <n v="203"/>
    <x v="67"/>
    <n v="2"/>
    <x v="2"/>
    <x v="1"/>
    <n v="22"/>
    <x v="0"/>
    <x v="0"/>
    <x v="0"/>
    <d v="2025-02-11T00:00:00"/>
    <x v="4"/>
    <s v="Tue"/>
    <s v="Jan–Jun 2025"/>
    <x v="1"/>
    <s v="Beginner"/>
    <n v="4"/>
    <n v="0.8125"/>
    <n v="70"/>
    <x v="1"/>
    <x v="1"/>
    <n v="0"/>
    <x v="0"/>
    <x v="0"/>
    <d v="2025-06-30T00:00:00"/>
  </r>
  <r>
    <n v="204"/>
    <x v="67"/>
    <n v="3"/>
    <x v="0"/>
    <x v="1"/>
    <n v="22"/>
    <x v="0"/>
    <x v="0"/>
    <x v="0"/>
    <d v="2025-02-11T00:00:00"/>
    <x v="4"/>
    <s v="Tue"/>
    <s v="Jan–Jun 2025"/>
    <x v="2"/>
    <s v="Beginner"/>
    <n v="4"/>
    <n v="0.89583333333333337"/>
    <n v="72"/>
    <x v="1"/>
    <x v="1"/>
    <n v="0"/>
    <x v="0"/>
    <x v="0"/>
    <d v="2025-06-30T00:00:00"/>
  </r>
  <r>
    <n v="205"/>
    <x v="68"/>
    <n v="1"/>
    <x v="2"/>
    <x v="1"/>
    <n v="35"/>
    <x v="1"/>
    <x v="0"/>
    <x v="3"/>
    <d v="2025-05-24T00:00:00"/>
    <x v="1"/>
    <s v="Sat"/>
    <s v="Jan–Jun 2025"/>
    <x v="0"/>
    <s v="Beginner"/>
    <n v="4"/>
    <n v="0.83333333333333337"/>
    <n v="81"/>
    <x v="2"/>
    <x v="0"/>
    <n v="1"/>
    <x v="1"/>
    <x v="0"/>
    <d v="2025-06-30T00:00:00"/>
  </r>
  <r>
    <n v="206"/>
    <x v="68"/>
    <n v="2"/>
    <x v="1"/>
    <x v="1"/>
    <n v="35"/>
    <x v="1"/>
    <x v="0"/>
    <x v="3"/>
    <d v="2025-05-24T00:00:00"/>
    <x v="1"/>
    <s v="Sat"/>
    <s v="Jan–Jun 2025"/>
    <x v="1"/>
    <s v="Beginner"/>
    <n v="4"/>
    <n v="0.79166666666666663"/>
    <n v="63"/>
    <x v="1"/>
    <x v="0"/>
    <n v="1"/>
    <x v="1"/>
    <x v="0"/>
    <d v="2025-06-30T00:00:00"/>
  </r>
  <r>
    <n v="207"/>
    <x v="68"/>
    <n v="3"/>
    <x v="0"/>
    <x v="1"/>
    <n v="35"/>
    <x v="1"/>
    <x v="0"/>
    <x v="3"/>
    <d v="2025-05-24T00:00:00"/>
    <x v="1"/>
    <s v="Sat"/>
    <s v="Jan–Jun 2025"/>
    <x v="2"/>
    <s v="Beginner"/>
    <n v="4"/>
    <n v="0.875"/>
    <n v="70"/>
    <x v="1"/>
    <x v="0"/>
    <n v="1"/>
    <x v="1"/>
    <x v="0"/>
    <d v="2025-06-30T00:00:00"/>
  </r>
  <r>
    <n v="208"/>
    <x v="69"/>
    <n v="1"/>
    <x v="0"/>
    <x v="0"/>
    <n v="21"/>
    <x v="0"/>
    <x v="1"/>
    <x v="2"/>
    <d v="2025-05-20T00:00:00"/>
    <x v="1"/>
    <s v="Tue"/>
    <s v="Jan–Jun 2025"/>
    <x v="0"/>
    <s v="Beginner"/>
    <n v="4"/>
    <n v="0.89583333333333337"/>
    <n v="57.5"/>
    <x v="0"/>
    <x v="0"/>
    <n v="1"/>
    <x v="1"/>
    <x v="0"/>
    <d v="2025-06-30T00:00:00"/>
  </r>
  <r>
    <n v="209"/>
    <x v="69"/>
    <n v="2"/>
    <x v="0"/>
    <x v="0"/>
    <n v="21"/>
    <x v="0"/>
    <x v="1"/>
    <x v="2"/>
    <d v="2025-05-20T00:00:00"/>
    <x v="1"/>
    <s v="Tue"/>
    <s v="Jan–Jun 2025"/>
    <x v="1"/>
    <s v="Beginner"/>
    <n v="4"/>
    <n v="0.89583333333333337"/>
    <n v="78"/>
    <x v="1"/>
    <x v="0"/>
    <n v="1"/>
    <x v="1"/>
    <x v="0"/>
    <d v="2025-06-30T00:00:00"/>
  </r>
  <r>
    <n v="210"/>
    <x v="69"/>
    <n v="3"/>
    <x v="0"/>
    <x v="0"/>
    <n v="21"/>
    <x v="0"/>
    <x v="1"/>
    <x v="2"/>
    <d v="2025-05-20T00:00:00"/>
    <x v="1"/>
    <s v="Tue"/>
    <s v="Jan–Jun 2025"/>
    <x v="2"/>
    <s v="Beginner"/>
    <n v="4"/>
    <n v="0.875"/>
    <n v="72.5"/>
    <x v="1"/>
    <x v="0"/>
    <n v="1"/>
    <x v="1"/>
    <x v="0"/>
    <d v="2025-06-30T00:00:00"/>
  </r>
  <r>
    <n v="211"/>
    <x v="70"/>
    <n v="1"/>
    <x v="0"/>
    <x v="0"/>
    <n v="29"/>
    <x v="2"/>
    <x v="2"/>
    <x v="2"/>
    <d v="2025-04-21T00:00:00"/>
    <x v="3"/>
    <s v="Mon"/>
    <s v="Jan–Jun 2025"/>
    <x v="0"/>
    <s v="Beginner"/>
    <n v="4"/>
    <n v="0.79166666666666663"/>
    <n v="71.5"/>
    <x v="1"/>
    <x v="0"/>
    <n v="1"/>
    <x v="1"/>
    <x v="0"/>
    <d v="2025-06-30T00:00:00"/>
  </r>
  <r>
    <n v="212"/>
    <x v="70"/>
    <n v="2"/>
    <x v="2"/>
    <x v="0"/>
    <n v="29"/>
    <x v="2"/>
    <x v="2"/>
    <x v="2"/>
    <d v="2025-04-21T00:00:00"/>
    <x v="3"/>
    <s v="Mon"/>
    <s v="Jan–Jun 2025"/>
    <x v="1"/>
    <s v="Beginner"/>
    <n v="4"/>
    <n v="0.83333333333333337"/>
    <n v="55"/>
    <x v="0"/>
    <x v="0"/>
    <n v="1"/>
    <x v="1"/>
    <x v="0"/>
    <d v="2025-06-30T00:00:00"/>
  </r>
  <r>
    <n v="213"/>
    <x v="70"/>
    <n v="3"/>
    <x v="0"/>
    <x v="0"/>
    <n v="29"/>
    <x v="2"/>
    <x v="2"/>
    <x v="2"/>
    <d v="2025-04-21T00:00:00"/>
    <x v="3"/>
    <s v="Mon"/>
    <s v="Jan–Jun 2025"/>
    <x v="2"/>
    <s v="Beginner"/>
    <n v="4"/>
    <n v="0.75"/>
    <n v="59.5"/>
    <x v="0"/>
    <x v="0"/>
    <n v="1"/>
    <x v="1"/>
    <x v="0"/>
    <d v="2025-06-30T00:00:00"/>
  </r>
  <r>
    <n v="214"/>
    <x v="71"/>
    <n v="1"/>
    <x v="2"/>
    <x v="0"/>
    <n v="19"/>
    <x v="0"/>
    <x v="5"/>
    <x v="0"/>
    <d v="2025-01-11T00:00:00"/>
    <x v="2"/>
    <s v="Sat"/>
    <s v="Jan–Jun 2025"/>
    <x v="0"/>
    <s v="Beginner"/>
    <n v="4"/>
    <n v="0.875"/>
    <n v="50.5"/>
    <x v="0"/>
    <x v="0"/>
    <n v="1"/>
    <x v="1"/>
    <x v="0"/>
    <d v="2025-06-30T00:00:00"/>
  </r>
  <r>
    <n v="215"/>
    <x v="71"/>
    <n v="2"/>
    <x v="0"/>
    <x v="0"/>
    <n v="19"/>
    <x v="0"/>
    <x v="5"/>
    <x v="0"/>
    <d v="2025-01-11T00:00:00"/>
    <x v="2"/>
    <s v="Sat"/>
    <s v="Jan–Jun 2025"/>
    <x v="1"/>
    <s v="Beginner"/>
    <n v="4"/>
    <n v="0.8125"/>
    <n v="64"/>
    <x v="1"/>
    <x v="0"/>
    <n v="1"/>
    <x v="1"/>
    <x v="0"/>
    <d v="2025-06-30T00:00:00"/>
  </r>
  <r>
    <n v="216"/>
    <x v="71"/>
    <n v="3"/>
    <x v="0"/>
    <x v="0"/>
    <n v="19"/>
    <x v="0"/>
    <x v="5"/>
    <x v="0"/>
    <d v="2025-01-11T00:00:00"/>
    <x v="2"/>
    <s v="Sat"/>
    <s v="Jan–Jun 2025"/>
    <x v="2"/>
    <s v="Beginner"/>
    <n v="4"/>
    <n v="0.875"/>
    <n v="51"/>
    <x v="0"/>
    <x v="0"/>
    <n v="1"/>
    <x v="1"/>
    <x v="0"/>
    <d v="2025-06-30T00:00:00"/>
  </r>
  <r>
    <n v="217"/>
    <x v="72"/>
    <n v="1"/>
    <x v="0"/>
    <x v="1"/>
    <n v="24"/>
    <x v="0"/>
    <x v="0"/>
    <x v="2"/>
    <d v="2025-01-27T00:00:00"/>
    <x v="2"/>
    <s v="Mon"/>
    <s v="Jan–Jun 2025"/>
    <x v="0"/>
    <s v="Beginner"/>
    <n v="4"/>
    <n v="0.8125"/>
    <n v="68"/>
    <x v="1"/>
    <x v="1"/>
    <n v="0"/>
    <x v="0"/>
    <x v="0"/>
    <d v="2025-06-30T00:00:00"/>
  </r>
  <r>
    <n v="218"/>
    <x v="72"/>
    <n v="2"/>
    <x v="2"/>
    <x v="1"/>
    <n v="24"/>
    <x v="0"/>
    <x v="0"/>
    <x v="2"/>
    <d v="2025-01-27T00:00:00"/>
    <x v="2"/>
    <s v="Mon"/>
    <s v="Jan–Jun 2025"/>
    <x v="1"/>
    <s v="Beginner"/>
    <n v="4"/>
    <n v="0.8125"/>
    <n v="91"/>
    <x v="2"/>
    <x v="1"/>
    <n v="0"/>
    <x v="0"/>
    <x v="0"/>
    <d v="2025-06-30T00:00:00"/>
  </r>
  <r>
    <n v="219"/>
    <x v="72"/>
    <n v="3"/>
    <x v="0"/>
    <x v="1"/>
    <n v="24"/>
    <x v="0"/>
    <x v="0"/>
    <x v="2"/>
    <d v="2025-01-27T00:00:00"/>
    <x v="2"/>
    <s v="Mon"/>
    <s v="Jan–Jun 2025"/>
    <x v="2"/>
    <s v="Beginner"/>
    <n v="4"/>
    <n v="0.875"/>
    <n v="54"/>
    <x v="0"/>
    <x v="1"/>
    <n v="0"/>
    <x v="0"/>
    <x v="0"/>
    <d v="2025-06-30T00:00:00"/>
  </r>
  <r>
    <n v="220"/>
    <x v="73"/>
    <n v="1"/>
    <x v="0"/>
    <x v="1"/>
    <n v="35"/>
    <x v="1"/>
    <x v="3"/>
    <x v="2"/>
    <d v="2025-03-02T00:00:00"/>
    <x v="0"/>
    <s v="Sun"/>
    <s v="Jan–Jun 2025"/>
    <x v="0"/>
    <s v="Beginner"/>
    <n v="4"/>
    <n v="0.79166666666666663"/>
    <n v="88.5"/>
    <x v="2"/>
    <x v="0"/>
    <n v="1"/>
    <x v="0"/>
    <x v="0"/>
    <d v="2025-06-30T00:00:00"/>
  </r>
  <r>
    <n v="221"/>
    <x v="73"/>
    <n v="2"/>
    <x v="0"/>
    <x v="1"/>
    <n v="35"/>
    <x v="1"/>
    <x v="3"/>
    <x v="2"/>
    <d v="2025-03-02T00:00:00"/>
    <x v="0"/>
    <s v="Sun"/>
    <s v="Jan–Jun 2025"/>
    <x v="1"/>
    <s v="Beginner"/>
    <n v="4"/>
    <n v="0.89583333333333337"/>
    <n v="82"/>
    <x v="2"/>
    <x v="0"/>
    <n v="1"/>
    <x v="0"/>
    <x v="0"/>
    <d v="2025-06-30T00:00:00"/>
  </r>
  <r>
    <n v="222"/>
    <x v="73"/>
    <n v="3"/>
    <x v="2"/>
    <x v="1"/>
    <n v="35"/>
    <x v="1"/>
    <x v="3"/>
    <x v="2"/>
    <d v="2025-03-02T00:00:00"/>
    <x v="0"/>
    <s v="Sun"/>
    <s v="Jan–Jun 2025"/>
    <x v="2"/>
    <s v="Beginner"/>
    <n v="4"/>
    <n v="0.85416666666666663"/>
    <n v="47.5"/>
    <x v="0"/>
    <x v="0"/>
    <n v="1"/>
    <x v="0"/>
    <x v="0"/>
    <d v="2025-06-30T00:00:00"/>
  </r>
  <r>
    <n v="223"/>
    <x v="74"/>
    <n v="1"/>
    <x v="2"/>
    <x v="0"/>
    <n v="23"/>
    <x v="0"/>
    <x v="3"/>
    <x v="1"/>
    <d v="2025-02-15T00:00:00"/>
    <x v="4"/>
    <s v="Sat"/>
    <s v="Jan–Jun 2025"/>
    <x v="0"/>
    <s v="Beginner"/>
    <n v="4"/>
    <n v="0.79166666666666663"/>
    <n v="81"/>
    <x v="2"/>
    <x v="1"/>
    <n v="0"/>
    <x v="0"/>
    <x v="0"/>
    <d v="2025-06-30T00:00:00"/>
  </r>
  <r>
    <n v="224"/>
    <x v="74"/>
    <n v="2"/>
    <x v="0"/>
    <x v="0"/>
    <n v="23"/>
    <x v="0"/>
    <x v="3"/>
    <x v="1"/>
    <d v="2025-02-15T00:00:00"/>
    <x v="4"/>
    <s v="Sat"/>
    <s v="Jan–Jun 2025"/>
    <x v="1"/>
    <s v="Beginner"/>
    <n v="4"/>
    <n v="0.91666666666666663"/>
    <n v="95.5"/>
    <x v="2"/>
    <x v="1"/>
    <n v="0"/>
    <x v="0"/>
    <x v="0"/>
    <d v="2025-06-30T00:00:00"/>
  </r>
  <r>
    <n v="225"/>
    <x v="74"/>
    <n v="3"/>
    <x v="0"/>
    <x v="0"/>
    <n v="23"/>
    <x v="0"/>
    <x v="3"/>
    <x v="1"/>
    <d v="2025-02-15T00:00:00"/>
    <x v="4"/>
    <s v="Sat"/>
    <s v="Jan–Jun 2025"/>
    <x v="2"/>
    <s v="Beginner"/>
    <n v="4"/>
    <n v="0.8125"/>
    <n v="68.5"/>
    <x v="1"/>
    <x v="1"/>
    <n v="0"/>
    <x v="0"/>
    <x v="0"/>
    <d v="2025-06-30T00:00:00"/>
  </r>
  <r>
    <n v="226"/>
    <x v="75"/>
    <n v="1"/>
    <x v="0"/>
    <x v="1"/>
    <n v="31"/>
    <x v="1"/>
    <x v="0"/>
    <x v="2"/>
    <d v="2025-03-10T00:00:00"/>
    <x v="0"/>
    <s v="Mon"/>
    <s v="Jan–Jun 2025"/>
    <x v="0"/>
    <s v="Beginner"/>
    <n v="4"/>
    <n v="0.83333333333333337"/>
    <n v="50.5"/>
    <x v="0"/>
    <x v="0"/>
    <n v="1"/>
    <x v="1"/>
    <x v="1"/>
    <d v="2025-06-30T00:00:00"/>
  </r>
  <r>
    <n v="227"/>
    <x v="75"/>
    <n v="2"/>
    <x v="0"/>
    <x v="1"/>
    <n v="31"/>
    <x v="1"/>
    <x v="0"/>
    <x v="2"/>
    <d v="2025-03-10T00:00:00"/>
    <x v="0"/>
    <s v="Mon"/>
    <s v="Jan–Jun 2025"/>
    <x v="1"/>
    <s v="Beginner"/>
    <n v="4"/>
    <n v="0.77083333333333337"/>
    <n v="77"/>
    <x v="1"/>
    <x v="0"/>
    <n v="1"/>
    <x v="1"/>
    <x v="1"/>
    <d v="2025-06-30T00:00:00"/>
  </r>
  <r>
    <n v="228"/>
    <x v="75"/>
    <n v="3"/>
    <x v="0"/>
    <x v="1"/>
    <n v="31"/>
    <x v="1"/>
    <x v="0"/>
    <x v="2"/>
    <d v="2025-03-10T00:00:00"/>
    <x v="0"/>
    <s v="Mon"/>
    <s v="Jan–Jun 2025"/>
    <x v="2"/>
    <s v="Beginner"/>
    <n v="4"/>
    <n v="0.79166666666666663"/>
    <n v="67.5"/>
    <x v="1"/>
    <x v="0"/>
    <n v="1"/>
    <x v="1"/>
    <x v="1"/>
    <d v="2025-06-30T00:00:00"/>
  </r>
  <r>
    <n v="229"/>
    <x v="76"/>
    <n v="1"/>
    <x v="0"/>
    <x v="0"/>
    <n v="21"/>
    <x v="0"/>
    <x v="3"/>
    <x v="1"/>
    <d v="2025-05-01T00:00:00"/>
    <x v="1"/>
    <s v="Thu"/>
    <s v="Jan–Jun 2025"/>
    <x v="0"/>
    <s v="Beginner"/>
    <n v="4"/>
    <n v="0.89583333333333337"/>
    <n v="72"/>
    <x v="1"/>
    <x v="0"/>
    <n v="1"/>
    <x v="1"/>
    <x v="1"/>
    <d v="2025-06-30T00:00:00"/>
  </r>
  <r>
    <n v="230"/>
    <x v="76"/>
    <n v="2"/>
    <x v="0"/>
    <x v="0"/>
    <n v="21"/>
    <x v="0"/>
    <x v="3"/>
    <x v="1"/>
    <d v="2025-05-01T00:00:00"/>
    <x v="1"/>
    <s v="Thu"/>
    <s v="Jan–Jun 2025"/>
    <x v="1"/>
    <s v="Beginner"/>
    <n v="4"/>
    <n v="0.79166666666666663"/>
    <n v="74"/>
    <x v="1"/>
    <x v="0"/>
    <n v="1"/>
    <x v="1"/>
    <x v="1"/>
    <d v="2025-06-30T00:00:00"/>
  </r>
  <r>
    <n v="231"/>
    <x v="76"/>
    <n v="3"/>
    <x v="0"/>
    <x v="0"/>
    <n v="21"/>
    <x v="0"/>
    <x v="3"/>
    <x v="1"/>
    <d v="2025-05-01T00:00:00"/>
    <x v="1"/>
    <s v="Thu"/>
    <s v="Jan–Jun 2025"/>
    <x v="2"/>
    <s v="Beginner"/>
    <n v="4"/>
    <n v="0.85416666666666663"/>
    <n v="69.5"/>
    <x v="1"/>
    <x v="0"/>
    <n v="1"/>
    <x v="1"/>
    <x v="1"/>
    <d v="2025-06-30T00:00:00"/>
  </r>
  <r>
    <n v="232"/>
    <x v="77"/>
    <n v="1"/>
    <x v="0"/>
    <x v="0"/>
    <n v="24"/>
    <x v="0"/>
    <x v="3"/>
    <x v="0"/>
    <d v="2025-03-20T00:00:00"/>
    <x v="0"/>
    <s v="Thu"/>
    <s v="Jan–Jun 2025"/>
    <x v="0"/>
    <s v="Beginner"/>
    <n v="4"/>
    <n v="0.83333333333333337"/>
    <n v="64.5"/>
    <x v="1"/>
    <x v="0"/>
    <n v="1"/>
    <x v="1"/>
    <x v="1"/>
    <d v="2025-06-30T00:00:00"/>
  </r>
  <r>
    <n v="233"/>
    <x v="77"/>
    <n v="2"/>
    <x v="0"/>
    <x v="0"/>
    <n v="24"/>
    <x v="0"/>
    <x v="3"/>
    <x v="0"/>
    <d v="2025-03-20T00:00:00"/>
    <x v="0"/>
    <s v="Thu"/>
    <s v="Jan–Jun 2025"/>
    <x v="1"/>
    <s v="Beginner"/>
    <n v="4"/>
    <n v="0.79166666666666663"/>
    <n v="71"/>
    <x v="1"/>
    <x v="0"/>
    <n v="1"/>
    <x v="1"/>
    <x v="1"/>
    <d v="2025-06-30T00:00:00"/>
  </r>
  <r>
    <n v="234"/>
    <x v="77"/>
    <n v="3"/>
    <x v="1"/>
    <x v="0"/>
    <n v="24"/>
    <x v="0"/>
    <x v="3"/>
    <x v="0"/>
    <d v="2025-03-20T00:00:00"/>
    <x v="0"/>
    <s v="Thu"/>
    <s v="Jan–Jun 2025"/>
    <x v="2"/>
    <s v="Beginner"/>
    <n v="4"/>
    <n v="0.75"/>
    <n v="65"/>
    <x v="1"/>
    <x v="0"/>
    <n v="1"/>
    <x v="1"/>
    <x v="1"/>
    <d v="2025-06-30T00:00:00"/>
  </r>
  <r>
    <n v="235"/>
    <x v="78"/>
    <n v="1"/>
    <x v="2"/>
    <x v="0"/>
    <n v="25"/>
    <x v="2"/>
    <x v="1"/>
    <x v="2"/>
    <d v="2025-04-13T00:00:00"/>
    <x v="3"/>
    <s v="Sun"/>
    <s v="Jan–Jun 2025"/>
    <x v="0"/>
    <s v="Beginner"/>
    <n v="4"/>
    <n v="0.79166666666666663"/>
    <n v="69.5"/>
    <x v="1"/>
    <x v="0"/>
    <n v="1"/>
    <x v="0"/>
    <x v="1"/>
    <d v="2025-06-30T00:00:00"/>
  </r>
  <r>
    <n v="236"/>
    <x v="78"/>
    <n v="2"/>
    <x v="1"/>
    <x v="0"/>
    <n v="25"/>
    <x v="2"/>
    <x v="1"/>
    <x v="2"/>
    <d v="2025-04-13T00:00:00"/>
    <x v="3"/>
    <s v="Sun"/>
    <s v="Jan–Jun 2025"/>
    <x v="1"/>
    <s v="Beginner"/>
    <n v="4"/>
    <n v="0.85416666666666663"/>
    <n v="66.5"/>
    <x v="1"/>
    <x v="0"/>
    <n v="1"/>
    <x v="0"/>
    <x v="1"/>
    <d v="2025-06-30T00:00:00"/>
  </r>
  <r>
    <n v="237"/>
    <x v="78"/>
    <n v="3"/>
    <x v="0"/>
    <x v="0"/>
    <n v="25"/>
    <x v="2"/>
    <x v="1"/>
    <x v="2"/>
    <d v="2025-04-13T00:00:00"/>
    <x v="3"/>
    <s v="Sun"/>
    <s v="Jan–Jun 2025"/>
    <x v="2"/>
    <s v="Beginner"/>
    <n v="4"/>
    <n v="0.85416666666666663"/>
    <n v="69.5"/>
    <x v="1"/>
    <x v="0"/>
    <n v="1"/>
    <x v="0"/>
    <x v="1"/>
    <d v="2025-06-30T00:00:00"/>
  </r>
  <r>
    <n v="238"/>
    <x v="79"/>
    <n v="1"/>
    <x v="0"/>
    <x v="1"/>
    <n v="26"/>
    <x v="2"/>
    <x v="1"/>
    <x v="0"/>
    <d v="2025-03-31T00:00:00"/>
    <x v="0"/>
    <s v="Mon"/>
    <s v="Jan–Jun 2025"/>
    <x v="0"/>
    <s v="Beginner"/>
    <n v="4"/>
    <n v="0.75"/>
    <n v="65"/>
    <x v="1"/>
    <x v="1"/>
    <n v="0"/>
    <x v="0"/>
    <x v="0"/>
    <d v="2025-06-30T00:00:00"/>
  </r>
  <r>
    <n v="239"/>
    <x v="79"/>
    <n v="2"/>
    <x v="0"/>
    <x v="1"/>
    <n v="26"/>
    <x v="2"/>
    <x v="1"/>
    <x v="0"/>
    <d v="2025-03-31T00:00:00"/>
    <x v="0"/>
    <s v="Mon"/>
    <s v="Jan–Jun 2025"/>
    <x v="1"/>
    <s v="Beginner"/>
    <n v="4"/>
    <n v="0.8125"/>
    <n v="66"/>
    <x v="1"/>
    <x v="1"/>
    <n v="0"/>
    <x v="0"/>
    <x v="0"/>
    <d v="2025-06-30T00:00:00"/>
  </r>
  <r>
    <n v="240"/>
    <x v="79"/>
    <n v="3"/>
    <x v="1"/>
    <x v="1"/>
    <n v="26"/>
    <x v="2"/>
    <x v="1"/>
    <x v="0"/>
    <d v="2025-03-31T00:00:00"/>
    <x v="0"/>
    <s v="Mon"/>
    <s v="Jan–Jun 2025"/>
    <x v="2"/>
    <s v="Beginner"/>
    <n v="4"/>
    <n v="0.77083333333333337"/>
    <n v="75.5"/>
    <x v="1"/>
    <x v="1"/>
    <n v="0"/>
    <x v="0"/>
    <x v="0"/>
    <d v="2025-06-30T00:00:00"/>
  </r>
  <r>
    <n v="241"/>
    <x v="80"/>
    <n v="1"/>
    <x v="1"/>
    <x v="1"/>
    <n v="35"/>
    <x v="1"/>
    <x v="5"/>
    <x v="1"/>
    <d v="2025-01-30T00:00:00"/>
    <x v="2"/>
    <s v="Thu"/>
    <s v="Jan–Jun 2025"/>
    <x v="0"/>
    <s v="Beginner"/>
    <n v="4"/>
    <n v="0.83333333333333337"/>
    <n v="86"/>
    <x v="2"/>
    <x v="0"/>
    <n v="1"/>
    <x v="1"/>
    <x v="1"/>
    <d v="2025-06-30T00:00:00"/>
  </r>
  <r>
    <n v="242"/>
    <x v="80"/>
    <n v="2"/>
    <x v="0"/>
    <x v="1"/>
    <n v="35"/>
    <x v="1"/>
    <x v="5"/>
    <x v="1"/>
    <d v="2025-01-30T00:00:00"/>
    <x v="2"/>
    <s v="Thu"/>
    <s v="Jan–Jun 2025"/>
    <x v="1"/>
    <s v="Beginner"/>
    <n v="4"/>
    <n v="0.89583333333333337"/>
    <n v="57"/>
    <x v="0"/>
    <x v="0"/>
    <n v="1"/>
    <x v="1"/>
    <x v="1"/>
    <d v="2025-06-30T00:00:00"/>
  </r>
  <r>
    <n v="243"/>
    <x v="80"/>
    <n v="3"/>
    <x v="2"/>
    <x v="1"/>
    <n v="35"/>
    <x v="1"/>
    <x v="5"/>
    <x v="1"/>
    <d v="2025-01-30T00:00:00"/>
    <x v="2"/>
    <s v="Thu"/>
    <s v="Jan–Jun 2025"/>
    <x v="2"/>
    <s v="Beginner"/>
    <n v="4"/>
    <n v="0.9375"/>
    <n v="80.5"/>
    <x v="2"/>
    <x v="0"/>
    <n v="1"/>
    <x v="1"/>
    <x v="1"/>
    <d v="2025-06-30T00:00:00"/>
  </r>
  <r>
    <n v="244"/>
    <x v="81"/>
    <n v="1"/>
    <x v="0"/>
    <x v="1"/>
    <n v="23"/>
    <x v="0"/>
    <x v="2"/>
    <x v="0"/>
    <d v="2025-01-10T00:00:00"/>
    <x v="2"/>
    <s v="Fri"/>
    <s v="Jan–Jun 2025"/>
    <x v="0"/>
    <s v="Beginner"/>
    <n v="4"/>
    <n v="0.91666666666666663"/>
    <n v="87"/>
    <x v="2"/>
    <x v="0"/>
    <n v="1"/>
    <x v="1"/>
    <x v="1"/>
    <d v="2025-06-30T00:00:00"/>
  </r>
  <r>
    <n v="245"/>
    <x v="81"/>
    <n v="2"/>
    <x v="0"/>
    <x v="1"/>
    <n v="23"/>
    <x v="0"/>
    <x v="2"/>
    <x v="0"/>
    <d v="2025-01-10T00:00:00"/>
    <x v="2"/>
    <s v="Fri"/>
    <s v="Jan–Jun 2025"/>
    <x v="1"/>
    <s v="Beginner"/>
    <n v="4"/>
    <n v="0.875"/>
    <n v="81.5"/>
    <x v="2"/>
    <x v="0"/>
    <n v="1"/>
    <x v="1"/>
    <x v="1"/>
    <d v="2025-06-30T00:00:00"/>
  </r>
  <r>
    <n v="246"/>
    <x v="81"/>
    <n v="3"/>
    <x v="0"/>
    <x v="1"/>
    <n v="23"/>
    <x v="0"/>
    <x v="2"/>
    <x v="0"/>
    <d v="2025-01-10T00:00:00"/>
    <x v="2"/>
    <s v="Fri"/>
    <s v="Jan–Jun 2025"/>
    <x v="2"/>
    <s v="Beginner"/>
    <n v="4"/>
    <n v="0.83333333333333337"/>
    <n v="66.5"/>
    <x v="1"/>
    <x v="0"/>
    <n v="1"/>
    <x v="1"/>
    <x v="1"/>
    <d v="2025-06-30T00:00:00"/>
  </r>
  <r>
    <n v="247"/>
    <x v="82"/>
    <n v="1"/>
    <x v="0"/>
    <x v="0"/>
    <n v="31"/>
    <x v="1"/>
    <x v="5"/>
    <x v="0"/>
    <d v="2025-04-22T00:00:00"/>
    <x v="3"/>
    <s v="Tue"/>
    <s v="Jan–Jun 2025"/>
    <x v="0"/>
    <s v="Beginner"/>
    <n v="4"/>
    <n v="0.8125"/>
    <n v="78"/>
    <x v="1"/>
    <x v="0"/>
    <n v="1"/>
    <x v="1"/>
    <x v="1"/>
    <d v="2025-06-30T00:00:00"/>
  </r>
  <r>
    <n v="248"/>
    <x v="82"/>
    <n v="2"/>
    <x v="2"/>
    <x v="0"/>
    <n v="31"/>
    <x v="1"/>
    <x v="5"/>
    <x v="0"/>
    <d v="2025-04-22T00:00:00"/>
    <x v="3"/>
    <s v="Tue"/>
    <s v="Jan–Jun 2025"/>
    <x v="1"/>
    <s v="Beginner"/>
    <n v="4"/>
    <n v="0.91666666666666663"/>
    <n v="75.5"/>
    <x v="1"/>
    <x v="0"/>
    <n v="1"/>
    <x v="1"/>
    <x v="1"/>
    <d v="2025-06-30T00:00:00"/>
  </r>
  <r>
    <n v="249"/>
    <x v="82"/>
    <n v="3"/>
    <x v="0"/>
    <x v="0"/>
    <n v="31"/>
    <x v="1"/>
    <x v="5"/>
    <x v="0"/>
    <d v="2025-04-22T00:00:00"/>
    <x v="3"/>
    <s v="Tue"/>
    <s v="Jan–Jun 2025"/>
    <x v="2"/>
    <s v="Beginner"/>
    <n v="4"/>
    <n v="0.75"/>
    <n v="90.5"/>
    <x v="2"/>
    <x v="0"/>
    <n v="1"/>
    <x v="1"/>
    <x v="1"/>
    <d v="2025-06-30T00:00:00"/>
  </r>
  <r>
    <n v="250"/>
    <x v="83"/>
    <n v="1"/>
    <x v="2"/>
    <x v="0"/>
    <n v="30"/>
    <x v="1"/>
    <x v="2"/>
    <x v="2"/>
    <d v="2025-03-07T00:00:00"/>
    <x v="0"/>
    <s v="Fri"/>
    <s v="Jan–Jun 2025"/>
    <x v="0"/>
    <s v="Beginner"/>
    <n v="4"/>
    <n v="0.875"/>
    <n v="83"/>
    <x v="2"/>
    <x v="0"/>
    <n v="1"/>
    <x v="1"/>
    <x v="0"/>
    <d v="2025-06-30T00:00:00"/>
  </r>
  <r>
    <n v="251"/>
    <x v="83"/>
    <n v="2"/>
    <x v="0"/>
    <x v="0"/>
    <n v="30"/>
    <x v="1"/>
    <x v="2"/>
    <x v="2"/>
    <d v="2025-03-07T00:00:00"/>
    <x v="0"/>
    <s v="Fri"/>
    <s v="Jan–Jun 2025"/>
    <x v="1"/>
    <s v="Beginner"/>
    <n v="4"/>
    <n v="0.77083333333333337"/>
    <n v="60"/>
    <x v="1"/>
    <x v="0"/>
    <n v="1"/>
    <x v="1"/>
    <x v="0"/>
    <d v="2025-06-30T00:00:00"/>
  </r>
  <r>
    <n v="252"/>
    <x v="83"/>
    <n v="3"/>
    <x v="2"/>
    <x v="0"/>
    <n v="30"/>
    <x v="1"/>
    <x v="2"/>
    <x v="2"/>
    <d v="2025-03-07T00:00:00"/>
    <x v="0"/>
    <s v="Fri"/>
    <s v="Jan–Jun 2025"/>
    <x v="2"/>
    <s v="Beginner"/>
    <n v="4"/>
    <n v="0.77083333333333337"/>
    <n v="74"/>
    <x v="1"/>
    <x v="0"/>
    <n v="1"/>
    <x v="1"/>
    <x v="0"/>
    <d v="2025-06-30T00:00:00"/>
  </r>
  <r>
    <n v="253"/>
    <x v="84"/>
    <n v="1"/>
    <x v="2"/>
    <x v="0"/>
    <n v="31"/>
    <x v="1"/>
    <x v="1"/>
    <x v="2"/>
    <d v="2025-04-04T00:00:00"/>
    <x v="3"/>
    <s v="Fri"/>
    <s v="Jan–Jun 2025"/>
    <x v="0"/>
    <s v="Beginner"/>
    <n v="4"/>
    <n v="0.89583333333333337"/>
    <n v="77.5"/>
    <x v="1"/>
    <x v="0"/>
    <n v="1"/>
    <x v="1"/>
    <x v="1"/>
    <d v="2025-06-30T00:00:00"/>
  </r>
  <r>
    <n v="254"/>
    <x v="84"/>
    <n v="2"/>
    <x v="1"/>
    <x v="0"/>
    <n v="31"/>
    <x v="1"/>
    <x v="1"/>
    <x v="2"/>
    <d v="2025-04-04T00:00:00"/>
    <x v="3"/>
    <s v="Fri"/>
    <s v="Jan–Jun 2025"/>
    <x v="1"/>
    <s v="Beginner"/>
    <n v="4"/>
    <n v="0.6875"/>
    <n v="91.5"/>
    <x v="2"/>
    <x v="0"/>
    <n v="1"/>
    <x v="1"/>
    <x v="1"/>
    <d v="2025-06-30T00:00:00"/>
  </r>
  <r>
    <n v="255"/>
    <x v="84"/>
    <n v="3"/>
    <x v="0"/>
    <x v="0"/>
    <n v="31"/>
    <x v="1"/>
    <x v="1"/>
    <x v="2"/>
    <d v="2025-04-04T00:00:00"/>
    <x v="3"/>
    <s v="Fri"/>
    <s v="Jan–Jun 2025"/>
    <x v="2"/>
    <s v="Beginner"/>
    <n v="4"/>
    <n v="0.75"/>
    <n v="77.5"/>
    <x v="1"/>
    <x v="0"/>
    <n v="1"/>
    <x v="1"/>
    <x v="1"/>
    <d v="2025-06-30T00:00:00"/>
  </r>
  <r>
    <n v="256"/>
    <x v="85"/>
    <n v="1"/>
    <x v="1"/>
    <x v="1"/>
    <n v="20"/>
    <x v="0"/>
    <x v="0"/>
    <x v="0"/>
    <d v="2025-03-22T00:00:00"/>
    <x v="0"/>
    <s v="Sat"/>
    <s v="Jan–Jun 2025"/>
    <x v="0"/>
    <s v="Beginner"/>
    <n v="4"/>
    <n v="0.83333333333333337"/>
    <n v="59.5"/>
    <x v="0"/>
    <x v="0"/>
    <n v="1"/>
    <x v="1"/>
    <x v="0"/>
    <d v="2025-06-30T00:00:00"/>
  </r>
  <r>
    <n v="257"/>
    <x v="85"/>
    <n v="2"/>
    <x v="0"/>
    <x v="1"/>
    <n v="20"/>
    <x v="0"/>
    <x v="0"/>
    <x v="0"/>
    <d v="2025-03-22T00:00:00"/>
    <x v="0"/>
    <s v="Sat"/>
    <s v="Jan–Jun 2025"/>
    <x v="1"/>
    <s v="Beginner"/>
    <n v="4"/>
    <n v="0.89583333333333337"/>
    <n v="61.5"/>
    <x v="1"/>
    <x v="0"/>
    <n v="1"/>
    <x v="1"/>
    <x v="0"/>
    <d v="2025-06-30T00:00:00"/>
  </r>
  <r>
    <n v="258"/>
    <x v="85"/>
    <n v="3"/>
    <x v="0"/>
    <x v="1"/>
    <n v="20"/>
    <x v="0"/>
    <x v="0"/>
    <x v="0"/>
    <d v="2025-03-22T00:00:00"/>
    <x v="0"/>
    <s v="Sat"/>
    <s v="Jan–Jun 2025"/>
    <x v="2"/>
    <s v="Beginner"/>
    <n v="4"/>
    <n v="0.83333333333333337"/>
    <n v="72"/>
    <x v="1"/>
    <x v="0"/>
    <n v="1"/>
    <x v="1"/>
    <x v="0"/>
    <d v="2025-06-30T00:00:00"/>
  </r>
  <r>
    <n v="259"/>
    <x v="86"/>
    <n v="1"/>
    <x v="0"/>
    <x v="0"/>
    <n v="27"/>
    <x v="2"/>
    <x v="2"/>
    <x v="0"/>
    <d v="2025-04-15T00:00:00"/>
    <x v="3"/>
    <s v="Tue"/>
    <s v="Jan–Jun 2025"/>
    <x v="0"/>
    <s v="Beginner"/>
    <n v="4"/>
    <n v="0.72916666666666663"/>
    <n v="70"/>
    <x v="1"/>
    <x v="1"/>
    <n v="0"/>
    <x v="0"/>
    <x v="0"/>
    <d v="2025-06-30T00:00:00"/>
  </r>
  <r>
    <n v="260"/>
    <x v="86"/>
    <n v="2"/>
    <x v="0"/>
    <x v="0"/>
    <n v="27"/>
    <x v="2"/>
    <x v="2"/>
    <x v="0"/>
    <d v="2025-04-15T00:00:00"/>
    <x v="3"/>
    <s v="Tue"/>
    <s v="Jan–Jun 2025"/>
    <x v="1"/>
    <s v="Beginner"/>
    <n v="4"/>
    <n v="0.83333333333333337"/>
    <n v="51"/>
    <x v="0"/>
    <x v="1"/>
    <n v="0"/>
    <x v="0"/>
    <x v="0"/>
    <d v="2025-06-30T00:00:00"/>
  </r>
  <r>
    <n v="261"/>
    <x v="86"/>
    <n v="3"/>
    <x v="0"/>
    <x v="0"/>
    <n v="27"/>
    <x v="2"/>
    <x v="2"/>
    <x v="0"/>
    <d v="2025-04-15T00:00:00"/>
    <x v="3"/>
    <s v="Tue"/>
    <s v="Jan–Jun 2025"/>
    <x v="2"/>
    <s v="Beginner"/>
    <n v="4"/>
    <n v="0.89583333333333337"/>
    <n v="75"/>
    <x v="1"/>
    <x v="1"/>
    <n v="0"/>
    <x v="0"/>
    <x v="0"/>
    <d v="2025-06-30T00:00:00"/>
  </r>
  <r>
    <n v="262"/>
    <x v="87"/>
    <n v="1"/>
    <x v="1"/>
    <x v="1"/>
    <n v="30"/>
    <x v="1"/>
    <x v="0"/>
    <x v="0"/>
    <d v="2025-05-22T00:00:00"/>
    <x v="1"/>
    <s v="Thu"/>
    <s v="Jan–Jun 2025"/>
    <x v="0"/>
    <s v="Beginner"/>
    <n v="4"/>
    <n v="0.72916666666666663"/>
    <n v="78.5"/>
    <x v="1"/>
    <x v="0"/>
    <n v="1"/>
    <x v="0"/>
    <x v="1"/>
    <d v="2025-06-30T00:00:00"/>
  </r>
  <r>
    <n v="263"/>
    <x v="87"/>
    <n v="2"/>
    <x v="2"/>
    <x v="1"/>
    <n v="30"/>
    <x v="1"/>
    <x v="0"/>
    <x v="0"/>
    <d v="2025-05-22T00:00:00"/>
    <x v="1"/>
    <s v="Thu"/>
    <s v="Jan–Jun 2025"/>
    <x v="1"/>
    <s v="Beginner"/>
    <n v="4"/>
    <n v="0.91666666666666663"/>
    <n v="67.5"/>
    <x v="1"/>
    <x v="0"/>
    <n v="1"/>
    <x v="0"/>
    <x v="1"/>
    <d v="2025-06-30T00:00:00"/>
  </r>
  <r>
    <n v="264"/>
    <x v="87"/>
    <n v="3"/>
    <x v="0"/>
    <x v="1"/>
    <n v="30"/>
    <x v="1"/>
    <x v="0"/>
    <x v="0"/>
    <d v="2025-05-22T00:00:00"/>
    <x v="1"/>
    <s v="Thu"/>
    <s v="Jan–Jun 2025"/>
    <x v="2"/>
    <s v="Beginner"/>
    <n v="4"/>
    <n v="0.8125"/>
    <n v="74.5"/>
    <x v="1"/>
    <x v="0"/>
    <n v="1"/>
    <x v="0"/>
    <x v="1"/>
    <d v="2025-06-30T00:00:00"/>
  </r>
  <r>
    <n v="265"/>
    <x v="88"/>
    <n v="1"/>
    <x v="2"/>
    <x v="0"/>
    <n v="24"/>
    <x v="0"/>
    <x v="3"/>
    <x v="3"/>
    <d v="2025-02-14T00:00:00"/>
    <x v="4"/>
    <s v="Fri"/>
    <s v="Jan–Jun 2025"/>
    <x v="0"/>
    <s v="Beginner"/>
    <n v="4"/>
    <n v="0.85416666666666663"/>
    <n v="88.5"/>
    <x v="2"/>
    <x v="0"/>
    <n v="1"/>
    <x v="1"/>
    <x v="1"/>
    <d v="2025-06-30T00:00:00"/>
  </r>
  <r>
    <n v="266"/>
    <x v="88"/>
    <n v="2"/>
    <x v="0"/>
    <x v="0"/>
    <n v="24"/>
    <x v="0"/>
    <x v="3"/>
    <x v="3"/>
    <d v="2025-02-14T00:00:00"/>
    <x v="4"/>
    <s v="Fri"/>
    <s v="Jan–Jun 2025"/>
    <x v="1"/>
    <s v="Beginner"/>
    <n v="4"/>
    <n v="0.77083333333333337"/>
    <n v="66.5"/>
    <x v="1"/>
    <x v="0"/>
    <n v="1"/>
    <x v="1"/>
    <x v="1"/>
    <d v="2025-06-30T00:00:00"/>
  </r>
  <r>
    <n v="267"/>
    <x v="88"/>
    <n v="3"/>
    <x v="0"/>
    <x v="0"/>
    <n v="24"/>
    <x v="0"/>
    <x v="3"/>
    <x v="3"/>
    <d v="2025-02-14T00:00:00"/>
    <x v="4"/>
    <s v="Fri"/>
    <s v="Jan–Jun 2025"/>
    <x v="2"/>
    <s v="Beginner"/>
    <n v="4"/>
    <n v="0.9375"/>
    <n v="62"/>
    <x v="1"/>
    <x v="0"/>
    <n v="1"/>
    <x v="1"/>
    <x v="1"/>
    <d v="2025-06-30T00:00:00"/>
  </r>
  <r>
    <n v="268"/>
    <x v="89"/>
    <n v="1"/>
    <x v="0"/>
    <x v="1"/>
    <n v="30"/>
    <x v="1"/>
    <x v="2"/>
    <x v="1"/>
    <d v="2025-03-19T00:00:00"/>
    <x v="0"/>
    <s v="Wed"/>
    <s v="Jan–Jun 2025"/>
    <x v="0"/>
    <s v="Beginner"/>
    <n v="4"/>
    <n v="0.875"/>
    <n v="76"/>
    <x v="1"/>
    <x v="0"/>
    <n v="1"/>
    <x v="1"/>
    <x v="0"/>
    <d v="2025-06-30T00:00:00"/>
  </r>
  <r>
    <n v="269"/>
    <x v="89"/>
    <n v="2"/>
    <x v="0"/>
    <x v="1"/>
    <n v="30"/>
    <x v="1"/>
    <x v="2"/>
    <x v="1"/>
    <d v="2025-03-19T00:00:00"/>
    <x v="0"/>
    <s v="Wed"/>
    <s v="Jan–Jun 2025"/>
    <x v="1"/>
    <s v="Beginner"/>
    <n v="4"/>
    <n v="0.77083333333333337"/>
    <n v="65.5"/>
    <x v="1"/>
    <x v="0"/>
    <n v="1"/>
    <x v="1"/>
    <x v="0"/>
    <d v="2025-06-30T00:00:00"/>
  </r>
  <r>
    <n v="270"/>
    <x v="89"/>
    <n v="3"/>
    <x v="2"/>
    <x v="1"/>
    <n v="30"/>
    <x v="1"/>
    <x v="2"/>
    <x v="1"/>
    <d v="2025-03-19T00:00:00"/>
    <x v="0"/>
    <s v="Wed"/>
    <s v="Jan–Jun 2025"/>
    <x v="2"/>
    <s v="Beginner"/>
    <n v="4"/>
    <n v="0.89583333333333337"/>
    <n v="63"/>
    <x v="1"/>
    <x v="0"/>
    <n v="1"/>
    <x v="1"/>
    <x v="0"/>
    <d v="2025-06-30T00:00:00"/>
  </r>
  <r>
    <n v="271"/>
    <x v="90"/>
    <n v="1"/>
    <x v="0"/>
    <x v="1"/>
    <n v="24"/>
    <x v="0"/>
    <x v="3"/>
    <x v="0"/>
    <d v="2025-04-30T00:00:00"/>
    <x v="3"/>
    <s v="Wed"/>
    <s v="Jan–Jun 2025"/>
    <x v="0"/>
    <s v="Beginner"/>
    <n v="4"/>
    <n v="0.89583333333333337"/>
    <n v="56.5"/>
    <x v="0"/>
    <x v="0"/>
    <n v="1"/>
    <x v="1"/>
    <x v="0"/>
    <d v="2025-06-30T00:00:00"/>
  </r>
  <r>
    <n v="272"/>
    <x v="90"/>
    <n v="2"/>
    <x v="2"/>
    <x v="1"/>
    <n v="24"/>
    <x v="0"/>
    <x v="3"/>
    <x v="0"/>
    <d v="2025-04-30T00:00:00"/>
    <x v="3"/>
    <s v="Wed"/>
    <s v="Jan–Jun 2025"/>
    <x v="1"/>
    <s v="Beginner"/>
    <n v="4"/>
    <n v="0.875"/>
    <n v="57.5"/>
    <x v="0"/>
    <x v="0"/>
    <n v="1"/>
    <x v="1"/>
    <x v="0"/>
    <d v="2025-06-30T00:00:00"/>
  </r>
  <r>
    <n v="273"/>
    <x v="90"/>
    <n v="3"/>
    <x v="2"/>
    <x v="1"/>
    <n v="24"/>
    <x v="0"/>
    <x v="3"/>
    <x v="0"/>
    <d v="2025-04-30T00:00:00"/>
    <x v="3"/>
    <s v="Wed"/>
    <s v="Jan–Jun 2025"/>
    <x v="2"/>
    <s v="Beginner"/>
    <n v="4"/>
    <n v="0.8125"/>
    <n v="62"/>
    <x v="1"/>
    <x v="0"/>
    <n v="1"/>
    <x v="1"/>
    <x v="0"/>
    <d v="2025-06-30T00:00:00"/>
  </r>
  <r>
    <n v="274"/>
    <x v="91"/>
    <n v="1"/>
    <x v="0"/>
    <x v="1"/>
    <n v="32"/>
    <x v="1"/>
    <x v="0"/>
    <x v="2"/>
    <d v="2025-05-11T00:00:00"/>
    <x v="1"/>
    <s v="Sun"/>
    <s v="Jan–Jun 2025"/>
    <x v="0"/>
    <s v="Beginner"/>
    <n v="4"/>
    <n v="0.72916666666666663"/>
    <n v="77"/>
    <x v="1"/>
    <x v="1"/>
    <n v="0"/>
    <x v="0"/>
    <x v="0"/>
    <d v="2025-06-30T00:00:00"/>
  </r>
  <r>
    <n v="275"/>
    <x v="91"/>
    <n v="2"/>
    <x v="0"/>
    <x v="1"/>
    <n v="32"/>
    <x v="1"/>
    <x v="0"/>
    <x v="2"/>
    <d v="2025-05-11T00:00:00"/>
    <x v="1"/>
    <s v="Sun"/>
    <s v="Jan–Jun 2025"/>
    <x v="1"/>
    <s v="Beginner"/>
    <n v="4"/>
    <n v="0.8125"/>
    <n v="63"/>
    <x v="1"/>
    <x v="1"/>
    <n v="0"/>
    <x v="0"/>
    <x v="0"/>
    <d v="2025-06-30T00:00:00"/>
  </r>
  <r>
    <n v="276"/>
    <x v="91"/>
    <n v="3"/>
    <x v="2"/>
    <x v="1"/>
    <n v="32"/>
    <x v="1"/>
    <x v="0"/>
    <x v="2"/>
    <d v="2025-05-11T00:00:00"/>
    <x v="1"/>
    <s v="Sun"/>
    <s v="Jan–Jun 2025"/>
    <x v="2"/>
    <s v="Beginner"/>
    <n v="4"/>
    <n v="0.89583333333333337"/>
    <n v="88.5"/>
    <x v="2"/>
    <x v="1"/>
    <n v="0"/>
    <x v="0"/>
    <x v="0"/>
    <d v="2025-06-30T00:00:00"/>
  </r>
  <r>
    <n v="277"/>
    <x v="92"/>
    <n v="1"/>
    <x v="0"/>
    <x v="1"/>
    <n v="23"/>
    <x v="0"/>
    <x v="0"/>
    <x v="1"/>
    <d v="2025-03-14T00:00:00"/>
    <x v="0"/>
    <s v="Fri"/>
    <s v="Jan–Jun 2025"/>
    <x v="0"/>
    <s v="Beginner"/>
    <n v="4"/>
    <n v="0.8125"/>
    <n v="51"/>
    <x v="0"/>
    <x v="0"/>
    <n v="1"/>
    <x v="0"/>
    <x v="1"/>
    <d v="2025-06-30T00:00:00"/>
  </r>
  <r>
    <n v="278"/>
    <x v="92"/>
    <n v="2"/>
    <x v="1"/>
    <x v="1"/>
    <n v="23"/>
    <x v="0"/>
    <x v="0"/>
    <x v="1"/>
    <d v="2025-03-14T00:00:00"/>
    <x v="0"/>
    <s v="Fri"/>
    <s v="Jan–Jun 2025"/>
    <x v="1"/>
    <s v="Beginner"/>
    <n v="4"/>
    <n v="0.875"/>
    <n v="68"/>
    <x v="1"/>
    <x v="0"/>
    <n v="1"/>
    <x v="0"/>
    <x v="1"/>
    <d v="2025-06-30T00:00:00"/>
  </r>
  <r>
    <n v="279"/>
    <x v="92"/>
    <n v="3"/>
    <x v="0"/>
    <x v="1"/>
    <n v="23"/>
    <x v="0"/>
    <x v="0"/>
    <x v="1"/>
    <d v="2025-03-14T00:00:00"/>
    <x v="0"/>
    <s v="Fri"/>
    <s v="Jan–Jun 2025"/>
    <x v="2"/>
    <s v="Beginner"/>
    <n v="4"/>
    <n v="0.89583333333333337"/>
    <n v="69.5"/>
    <x v="1"/>
    <x v="0"/>
    <n v="1"/>
    <x v="0"/>
    <x v="1"/>
    <d v="2025-06-30T00:00:00"/>
  </r>
  <r>
    <n v="280"/>
    <x v="93"/>
    <n v="1"/>
    <x v="1"/>
    <x v="1"/>
    <n v="20"/>
    <x v="0"/>
    <x v="4"/>
    <x v="0"/>
    <d v="2025-02-27T00:00:00"/>
    <x v="4"/>
    <s v="Thu"/>
    <s v="Jan–Jun 2025"/>
    <x v="0"/>
    <s v="Beginner"/>
    <n v="4"/>
    <n v="0.85416666666666663"/>
    <n v="73.5"/>
    <x v="1"/>
    <x v="1"/>
    <n v="0"/>
    <x v="0"/>
    <x v="0"/>
    <d v="2025-06-30T00:00:00"/>
  </r>
  <r>
    <n v="281"/>
    <x v="93"/>
    <n v="2"/>
    <x v="1"/>
    <x v="1"/>
    <n v="20"/>
    <x v="0"/>
    <x v="4"/>
    <x v="0"/>
    <d v="2025-02-27T00:00:00"/>
    <x v="4"/>
    <s v="Thu"/>
    <s v="Jan–Jun 2025"/>
    <x v="1"/>
    <s v="Beginner"/>
    <n v="4"/>
    <n v="0.875"/>
    <n v="74.5"/>
    <x v="1"/>
    <x v="1"/>
    <n v="0"/>
    <x v="0"/>
    <x v="0"/>
    <d v="2025-06-30T00:00:00"/>
  </r>
  <r>
    <n v="282"/>
    <x v="93"/>
    <n v="3"/>
    <x v="0"/>
    <x v="1"/>
    <n v="20"/>
    <x v="0"/>
    <x v="4"/>
    <x v="0"/>
    <d v="2025-02-27T00:00:00"/>
    <x v="4"/>
    <s v="Thu"/>
    <s v="Jan–Jun 2025"/>
    <x v="2"/>
    <s v="Beginner"/>
    <n v="4"/>
    <n v="0.89583333333333337"/>
    <n v="59"/>
    <x v="0"/>
    <x v="1"/>
    <n v="0"/>
    <x v="0"/>
    <x v="0"/>
    <d v="2025-06-30T00:00:00"/>
  </r>
  <r>
    <n v="283"/>
    <x v="94"/>
    <n v="1"/>
    <x v="1"/>
    <x v="0"/>
    <n v="22"/>
    <x v="0"/>
    <x v="1"/>
    <x v="1"/>
    <d v="2025-03-04T00:00:00"/>
    <x v="0"/>
    <s v="Tue"/>
    <s v="Jan–Jun 2025"/>
    <x v="0"/>
    <s v="Beginner"/>
    <n v="4"/>
    <n v="0.8125"/>
    <n v="68"/>
    <x v="1"/>
    <x v="1"/>
    <n v="0"/>
    <x v="0"/>
    <x v="0"/>
    <d v="2025-06-30T00:00:00"/>
  </r>
  <r>
    <n v="284"/>
    <x v="94"/>
    <n v="2"/>
    <x v="0"/>
    <x v="0"/>
    <n v="22"/>
    <x v="0"/>
    <x v="1"/>
    <x v="1"/>
    <d v="2025-03-04T00:00:00"/>
    <x v="0"/>
    <s v="Tue"/>
    <s v="Jan–Jun 2025"/>
    <x v="1"/>
    <s v="Beginner"/>
    <n v="4"/>
    <n v="0.8125"/>
    <n v="48"/>
    <x v="0"/>
    <x v="1"/>
    <n v="0"/>
    <x v="0"/>
    <x v="0"/>
    <d v="2025-06-30T00:00:00"/>
  </r>
  <r>
    <n v="285"/>
    <x v="94"/>
    <n v="3"/>
    <x v="0"/>
    <x v="0"/>
    <n v="22"/>
    <x v="0"/>
    <x v="1"/>
    <x v="1"/>
    <d v="2025-03-04T00:00:00"/>
    <x v="0"/>
    <s v="Tue"/>
    <s v="Jan–Jun 2025"/>
    <x v="2"/>
    <s v="Beginner"/>
    <n v="4"/>
    <n v="0.83333333333333337"/>
    <n v="55.5"/>
    <x v="0"/>
    <x v="1"/>
    <n v="0"/>
    <x v="0"/>
    <x v="0"/>
    <d v="2025-06-30T00:00:00"/>
  </r>
  <r>
    <n v="286"/>
    <x v="95"/>
    <n v="1"/>
    <x v="0"/>
    <x v="1"/>
    <n v="20"/>
    <x v="0"/>
    <x v="3"/>
    <x v="3"/>
    <d v="2025-05-28T00:00:00"/>
    <x v="1"/>
    <s v="Wed"/>
    <s v="Jan–Jun 2025"/>
    <x v="0"/>
    <s v="Beginner"/>
    <n v="4"/>
    <n v="0.85416666666666663"/>
    <n v="63"/>
    <x v="1"/>
    <x v="0"/>
    <n v="1"/>
    <x v="1"/>
    <x v="1"/>
    <d v="2025-06-30T00:00:00"/>
  </r>
  <r>
    <n v="287"/>
    <x v="95"/>
    <n v="2"/>
    <x v="0"/>
    <x v="1"/>
    <n v="20"/>
    <x v="0"/>
    <x v="3"/>
    <x v="3"/>
    <d v="2025-05-28T00:00:00"/>
    <x v="1"/>
    <s v="Wed"/>
    <s v="Jan–Jun 2025"/>
    <x v="1"/>
    <s v="Beginner"/>
    <n v="4"/>
    <n v="0.79166666666666663"/>
    <n v="81"/>
    <x v="2"/>
    <x v="0"/>
    <n v="1"/>
    <x v="1"/>
    <x v="1"/>
    <d v="2025-06-30T00:00:00"/>
  </r>
  <r>
    <n v="288"/>
    <x v="95"/>
    <n v="3"/>
    <x v="1"/>
    <x v="1"/>
    <n v="20"/>
    <x v="0"/>
    <x v="3"/>
    <x v="3"/>
    <d v="2025-05-28T00:00:00"/>
    <x v="1"/>
    <s v="Wed"/>
    <s v="Jan–Jun 2025"/>
    <x v="2"/>
    <s v="Beginner"/>
    <n v="4"/>
    <n v="0.75"/>
    <n v="83.5"/>
    <x v="2"/>
    <x v="0"/>
    <n v="1"/>
    <x v="1"/>
    <x v="1"/>
    <d v="2025-06-30T00:00:00"/>
  </r>
  <r>
    <n v="289"/>
    <x v="96"/>
    <n v="1"/>
    <x v="0"/>
    <x v="0"/>
    <n v="30"/>
    <x v="1"/>
    <x v="3"/>
    <x v="3"/>
    <d v="2025-03-04T00:00:00"/>
    <x v="0"/>
    <s v="Tue"/>
    <s v="Jan–Jun 2025"/>
    <x v="0"/>
    <s v="Beginner"/>
    <n v="4"/>
    <n v="0.8125"/>
    <n v="71"/>
    <x v="1"/>
    <x v="1"/>
    <n v="0"/>
    <x v="0"/>
    <x v="0"/>
    <d v="2025-06-30T00:00:00"/>
  </r>
  <r>
    <n v="290"/>
    <x v="96"/>
    <n v="2"/>
    <x v="2"/>
    <x v="0"/>
    <n v="30"/>
    <x v="1"/>
    <x v="3"/>
    <x v="3"/>
    <d v="2025-03-04T00:00:00"/>
    <x v="0"/>
    <s v="Tue"/>
    <s v="Jan–Jun 2025"/>
    <x v="1"/>
    <s v="Beginner"/>
    <n v="4"/>
    <n v="0.875"/>
    <n v="86"/>
    <x v="2"/>
    <x v="1"/>
    <n v="0"/>
    <x v="0"/>
    <x v="0"/>
    <d v="2025-06-30T00:00:00"/>
  </r>
  <r>
    <n v="291"/>
    <x v="96"/>
    <n v="3"/>
    <x v="0"/>
    <x v="0"/>
    <n v="30"/>
    <x v="1"/>
    <x v="3"/>
    <x v="3"/>
    <d v="2025-03-04T00:00:00"/>
    <x v="0"/>
    <s v="Tue"/>
    <s v="Jan–Jun 2025"/>
    <x v="2"/>
    <s v="Beginner"/>
    <n v="4"/>
    <n v="0.79166666666666663"/>
    <n v="64"/>
    <x v="1"/>
    <x v="1"/>
    <n v="0"/>
    <x v="0"/>
    <x v="0"/>
    <d v="2025-06-30T00:00:00"/>
  </r>
  <r>
    <n v="292"/>
    <x v="97"/>
    <n v="1"/>
    <x v="0"/>
    <x v="0"/>
    <n v="18"/>
    <x v="0"/>
    <x v="1"/>
    <x v="3"/>
    <d v="2025-02-26T00:00:00"/>
    <x v="4"/>
    <s v="Wed"/>
    <s v="Jan–Jun 2025"/>
    <x v="0"/>
    <s v="Beginner"/>
    <n v="4"/>
    <n v="0.875"/>
    <n v="91"/>
    <x v="2"/>
    <x v="1"/>
    <n v="0"/>
    <x v="0"/>
    <x v="0"/>
    <d v="2025-06-30T00:00:00"/>
  </r>
  <r>
    <n v="293"/>
    <x v="97"/>
    <n v="2"/>
    <x v="0"/>
    <x v="0"/>
    <n v="18"/>
    <x v="0"/>
    <x v="1"/>
    <x v="3"/>
    <d v="2025-02-26T00:00:00"/>
    <x v="4"/>
    <s v="Wed"/>
    <s v="Jan–Jun 2025"/>
    <x v="1"/>
    <s v="Beginner"/>
    <n v="4"/>
    <n v="0.79166666666666663"/>
    <n v="51"/>
    <x v="0"/>
    <x v="1"/>
    <n v="0"/>
    <x v="0"/>
    <x v="0"/>
    <d v="2025-06-30T00:00:00"/>
  </r>
  <r>
    <n v="294"/>
    <x v="97"/>
    <n v="3"/>
    <x v="0"/>
    <x v="0"/>
    <n v="18"/>
    <x v="0"/>
    <x v="1"/>
    <x v="3"/>
    <d v="2025-02-26T00:00:00"/>
    <x v="4"/>
    <s v="Wed"/>
    <s v="Jan–Jun 2025"/>
    <x v="2"/>
    <s v="Beginner"/>
    <n v="4"/>
    <n v="0.8125"/>
    <n v="79"/>
    <x v="2"/>
    <x v="1"/>
    <n v="0"/>
    <x v="0"/>
    <x v="0"/>
    <d v="2025-06-30T00:00:00"/>
  </r>
  <r>
    <n v="295"/>
    <x v="98"/>
    <n v="1"/>
    <x v="0"/>
    <x v="0"/>
    <n v="34"/>
    <x v="1"/>
    <x v="3"/>
    <x v="1"/>
    <d v="2025-05-23T00:00:00"/>
    <x v="1"/>
    <s v="Fri"/>
    <s v="Jan–Jun 2025"/>
    <x v="0"/>
    <s v="Beginner"/>
    <n v="4"/>
    <n v="0.79166666666666663"/>
    <n v="72.5"/>
    <x v="1"/>
    <x v="0"/>
    <n v="1"/>
    <x v="1"/>
    <x v="0"/>
    <d v="2025-06-30T00:00:00"/>
  </r>
  <r>
    <n v="296"/>
    <x v="98"/>
    <n v="2"/>
    <x v="0"/>
    <x v="0"/>
    <n v="34"/>
    <x v="1"/>
    <x v="3"/>
    <x v="1"/>
    <d v="2025-05-23T00:00:00"/>
    <x v="1"/>
    <s v="Fri"/>
    <s v="Jan–Jun 2025"/>
    <x v="1"/>
    <s v="Beginner"/>
    <n v="4"/>
    <n v="0.79166666666666663"/>
    <n v="76"/>
    <x v="1"/>
    <x v="0"/>
    <n v="1"/>
    <x v="1"/>
    <x v="0"/>
    <d v="2025-06-30T00:00:00"/>
  </r>
  <r>
    <n v="297"/>
    <x v="98"/>
    <n v="3"/>
    <x v="0"/>
    <x v="0"/>
    <n v="34"/>
    <x v="1"/>
    <x v="3"/>
    <x v="1"/>
    <d v="2025-05-23T00:00:00"/>
    <x v="1"/>
    <s v="Fri"/>
    <s v="Jan–Jun 2025"/>
    <x v="2"/>
    <s v="Beginner"/>
    <n v="4"/>
    <n v="0.89583333333333337"/>
    <n v="96.5"/>
    <x v="2"/>
    <x v="0"/>
    <n v="1"/>
    <x v="1"/>
    <x v="0"/>
    <d v="2025-06-30T00:00:00"/>
  </r>
  <r>
    <n v="298"/>
    <x v="99"/>
    <n v="1"/>
    <x v="1"/>
    <x v="0"/>
    <n v="21"/>
    <x v="0"/>
    <x v="3"/>
    <x v="2"/>
    <d v="2025-04-29T00:00:00"/>
    <x v="3"/>
    <s v="Tue"/>
    <s v="Jan–Jun 2025"/>
    <x v="0"/>
    <s v="Beginner"/>
    <n v="4"/>
    <n v="0.91666666666666663"/>
    <n v="91.5"/>
    <x v="2"/>
    <x v="0"/>
    <n v="1"/>
    <x v="1"/>
    <x v="1"/>
    <d v="2025-06-30T00:00:00"/>
  </r>
  <r>
    <n v="299"/>
    <x v="99"/>
    <n v="2"/>
    <x v="0"/>
    <x v="0"/>
    <n v="21"/>
    <x v="0"/>
    <x v="3"/>
    <x v="2"/>
    <d v="2025-04-29T00:00:00"/>
    <x v="3"/>
    <s v="Tue"/>
    <s v="Jan–Jun 2025"/>
    <x v="1"/>
    <s v="Beginner"/>
    <n v="4"/>
    <n v="0.83333333333333337"/>
    <n v="89"/>
    <x v="2"/>
    <x v="0"/>
    <n v="1"/>
    <x v="1"/>
    <x v="1"/>
    <d v="2025-06-30T00:00:00"/>
  </r>
  <r>
    <n v="300"/>
    <x v="99"/>
    <n v="3"/>
    <x v="2"/>
    <x v="0"/>
    <n v="21"/>
    <x v="0"/>
    <x v="3"/>
    <x v="2"/>
    <d v="2025-04-29T00:00:00"/>
    <x v="3"/>
    <s v="Tue"/>
    <s v="Jan–Jun 2025"/>
    <x v="2"/>
    <s v="Beginner"/>
    <n v="4"/>
    <n v="0.85416666666666663"/>
    <n v="71"/>
    <x v="1"/>
    <x v="0"/>
    <n v="1"/>
    <x v="1"/>
    <x v="1"/>
    <d v="2025-06-30T00:00:00"/>
  </r>
  <r>
    <n v="301"/>
    <x v="100"/>
    <n v="1"/>
    <x v="1"/>
    <x v="1"/>
    <n v="32"/>
    <x v="1"/>
    <x v="2"/>
    <x v="3"/>
    <d v="2025-05-21T00:00:00"/>
    <x v="1"/>
    <s v="Wed"/>
    <s v="Jan–Jun 2025"/>
    <x v="0"/>
    <s v="Beginner"/>
    <n v="4"/>
    <n v="0.79166666666666663"/>
    <n v="66.5"/>
    <x v="1"/>
    <x v="0"/>
    <n v="1"/>
    <x v="1"/>
    <x v="0"/>
    <d v="2025-06-30T00:00:00"/>
  </r>
  <r>
    <n v="302"/>
    <x v="100"/>
    <n v="2"/>
    <x v="0"/>
    <x v="1"/>
    <n v="32"/>
    <x v="1"/>
    <x v="2"/>
    <x v="3"/>
    <d v="2025-05-21T00:00:00"/>
    <x v="1"/>
    <s v="Wed"/>
    <s v="Jan–Jun 2025"/>
    <x v="1"/>
    <s v="Beginner"/>
    <n v="4"/>
    <n v="0.6875"/>
    <n v="71.5"/>
    <x v="1"/>
    <x v="0"/>
    <n v="1"/>
    <x v="1"/>
    <x v="0"/>
    <d v="2025-06-30T00:00:00"/>
  </r>
  <r>
    <n v="303"/>
    <x v="100"/>
    <n v="3"/>
    <x v="0"/>
    <x v="1"/>
    <n v="32"/>
    <x v="1"/>
    <x v="2"/>
    <x v="3"/>
    <d v="2025-05-21T00:00:00"/>
    <x v="1"/>
    <s v="Wed"/>
    <s v="Jan–Jun 2025"/>
    <x v="2"/>
    <s v="Beginner"/>
    <n v="4"/>
    <n v="0.77083333333333337"/>
    <n v="76.5"/>
    <x v="1"/>
    <x v="0"/>
    <n v="1"/>
    <x v="1"/>
    <x v="0"/>
    <d v="2025-06-30T00:00:00"/>
  </r>
  <r>
    <n v="304"/>
    <x v="101"/>
    <n v="1"/>
    <x v="0"/>
    <x v="1"/>
    <n v="23"/>
    <x v="0"/>
    <x v="0"/>
    <x v="3"/>
    <d v="2025-04-26T00:00:00"/>
    <x v="3"/>
    <s v="Sat"/>
    <s v="Jan–Jun 2025"/>
    <x v="0"/>
    <s v="Beginner"/>
    <n v="4"/>
    <n v="0.83333333333333337"/>
    <n v="73.5"/>
    <x v="1"/>
    <x v="0"/>
    <n v="1"/>
    <x v="0"/>
    <x v="0"/>
    <d v="2025-06-30T00:00:00"/>
  </r>
  <r>
    <n v="305"/>
    <x v="101"/>
    <n v="2"/>
    <x v="0"/>
    <x v="1"/>
    <n v="23"/>
    <x v="0"/>
    <x v="0"/>
    <x v="3"/>
    <d v="2025-04-26T00:00:00"/>
    <x v="3"/>
    <s v="Sat"/>
    <s v="Jan–Jun 2025"/>
    <x v="1"/>
    <s v="Beginner"/>
    <n v="4"/>
    <n v="0.83333333333333337"/>
    <n v="64.5"/>
    <x v="1"/>
    <x v="0"/>
    <n v="1"/>
    <x v="0"/>
    <x v="0"/>
    <d v="2025-06-30T00:00:00"/>
  </r>
  <r>
    <n v="306"/>
    <x v="101"/>
    <n v="3"/>
    <x v="0"/>
    <x v="1"/>
    <n v="23"/>
    <x v="0"/>
    <x v="0"/>
    <x v="3"/>
    <d v="2025-04-26T00:00:00"/>
    <x v="3"/>
    <s v="Sat"/>
    <s v="Jan–Jun 2025"/>
    <x v="2"/>
    <s v="Beginner"/>
    <n v="4"/>
    <n v="0.75"/>
    <n v="70"/>
    <x v="1"/>
    <x v="0"/>
    <n v="1"/>
    <x v="0"/>
    <x v="0"/>
    <d v="2025-06-30T00:00:00"/>
  </r>
  <r>
    <n v="307"/>
    <x v="102"/>
    <n v="1"/>
    <x v="0"/>
    <x v="1"/>
    <n v="25"/>
    <x v="2"/>
    <x v="0"/>
    <x v="0"/>
    <d v="2025-05-14T00:00:00"/>
    <x v="1"/>
    <s v="Wed"/>
    <s v="Jan–Jun 2025"/>
    <x v="0"/>
    <s v="Beginner"/>
    <n v="4"/>
    <n v="0.8125"/>
    <n v="81"/>
    <x v="2"/>
    <x v="0"/>
    <n v="1"/>
    <x v="0"/>
    <x v="0"/>
    <d v="2025-06-30T00:00:00"/>
  </r>
  <r>
    <n v="308"/>
    <x v="102"/>
    <n v="2"/>
    <x v="1"/>
    <x v="1"/>
    <n v="25"/>
    <x v="2"/>
    <x v="0"/>
    <x v="0"/>
    <d v="2025-05-14T00:00:00"/>
    <x v="1"/>
    <s v="Wed"/>
    <s v="Jan–Jun 2025"/>
    <x v="1"/>
    <s v="Beginner"/>
    <n v="4"/>
    <n v="0.89583333333333337"/>
    <n v="72.5"/>
    <x v="1"/>
    <x v="0"/>
    <n v="1"/>
    <x v="0"/>
    <x v="0"/>
    <d v="2025-06-30T00:00:00"/>
  </r>
  <r>
    <n v="309"/>
    <x v="102"/>
    <n v="3"/>
    <x v="0"/>
    <x v="1"/>
    <n v="25"/>
    <x v="2"/>
    <x v="0"/>
    <x v="0"/>
    <d v="2025-05-14T00:00:00"/>
    <x v="1"/>
    <s v="Wed"/>
    <s v="Jan–Jun 2025"/>
    <x v="2"/>
    <s v="Beginner"/>
    <n v="4"/>
    <n v="0.8125"/>
    <n v="82.5"/>
    <x v="2"/>
    <x v="0"/>
    <n v="1"/>
    <x v="0"/>
    <x v="0"/>
    <d v="2025-06-30T00:00:00"/>
  </r>
  <r>
    <n v="310"/>
    <x v="103"/>
    <n v="1"/>
    <x v="0"/>
    <x v="1"/>
    <n v="25"/>
    <x v="2"/>
    <x v="5"/>
    <x v="3"/>
    <d v="2025-01-20T00:00:00"/>
    <x v="2"/>
    <s v="Mon"/>
    <s v="Jan–Jun 2025"/>
    <x v="0"/>
    <s v="Beginner"/>
    <n v="4"/>
    <n v="0.875"/>
    <n v="72.5"/>
    <x v="1"/>
    <x v="1"/>
    <n v="0"/>
    <x v="0"/>
    <x v="0"/>
    <d v="2025-06-30T00:00:00"/>
  </r>
  <r>
    <n v="311"/>
    <x v="103"/>
    <n v="2"/>
    <x v="0"/>
    <x v="1"/>
    <n v="25"/>
    <x v="2"/>
    <x v="5"/>
    <x v="3"/>
    <d v="2025-01-20T00:00:00"/>
    <x v="2"/>
    <s v="Mon"/>
    <s v="Jan–Jun 2025"/>
    <x v="1"/>
    <s v="Beginner"/>
    <n v="4"/>
    <n v="0.77083333333333337"/>
    <n v="64.5"/>
    <x v="1"/>
    <x v="1"/>
    <n v="0"/>
    <x v="0"/>
    <x v="0"/>
    <d v="2025-06-30T00:00:00"/>
  </r>
  <r>
    <n v="312"/>
    <x v="103"/>
    <n v="3"/>
    <x v="0"/>
    <x v="1"/>
    <n v="25"/>
    <x v="2"/>
    <x v="5"/>
    <x v="3"/>
    <d v="2025-01-20T00:00:00"/>
    <x v="2"/>
    <s v="Mon"/>
    <s v="Jan–Jun 2025"/>
    <x v="2"/>
    <s v="Beginner"/>
    <n v="4"/>
    <n v="0.85416666666666663"/>
    <n v="52.5"/>
    <x v="0"/>
    <x v="1"/>
    <n v="0"/>
    <x v="0"/>
    <x v="0"/>
    <d v="2025-06-30T00:00:00"/>
  </r>
  <r>
    <n v="313"/>
    <x v="104"/>
    <n v="1"/>
    <x v="0"/>
    <x v="1"/>
    <n v="25"/>
    <x v="2"/>
    <x v="5"/>
    <x v="0"/>
    <d v="2025-03-23T00:00:00"/>
    <x v="0"/>
    <s v="Sun"/>
    <s v="Jan–Jun 2025"/>
    <x v="0"/>
    <s v="Beginner"/>
    <n v="4"/>
    <n v="0.83333333333333337"/>
    <n v="76.5"/>
    <x v="1"/>
    <x v="0"/>
    <n v="1"/>
    <x v="0"/>
    <x v="0"/>
    <d v="2025-06-30T00:00:00"/>
  </r>
  <r>
    <n v="314"/>
    <x v="104"/>
    <n v="2"/>
    <x v="2"/>
    <x v="1"/>
    <n v="25"/>
    <x v="2"/>
    <x v="5"/>
    <x v="0"/>
    <d v="2025-03-23T00:00:00"/>
    <x v="0"/>
    <s v="Sun"/>
    <s v="Jan–Jun 2025"/>
    <x v="1"/>
    <s v="Beginner"/>
    <n v="4"/>
    <n v="0.75"/>
    <n v="94"/>
    <x v="2"/>
    <x v="0"/>
    <n v="1"/>
    <x v="0"/>
    <x v="0"/>
    <d v="2025-06-30T00:00:00"/>
  </r>
  <r>
    <n v="315"/>
    <x v="104"/>
    <n v="3"/>
    <x v="0"/>
    <x v="1"/>
    <n v="25"/>
    <x v="2"/>
    <x v="5"/>
    <x v="0"/>
    <d v="2025-03-23T00:00:00"/>
    <x v="0"/>
    <s v="Sun"/>
    <s v="Jan–Jun 2025"/>
    <x v="2"/>
    <s v="Beginner"/>
    <n v="4"/>
    <n v="0.83333333333333337"/>
    <n v="60.5"/>
    <x v="1"/>
    <x v="0"/>
    <n v="1"/>
    <x v="0"/>
    <x v="0"/>
    <d v="2025-06-30T00:00:00"/>
  </r>
  <r>
    <n v="316"/>
    <x v="105"/>
    <n v="1"/>
    <x v="0"/>
    <x v="0"/>
    <n v="22"/>
    <x v="0"/>
    <x v="4"/>
    <x v="2"/>
    <d v="2025-04-09T00:00:00"/>
    <x v="3"/>
    <s v="Wed"/>
    <s v="Jan–Jun 2025"/>
    <x v="0"/>
    <s v="Beginner"/>
    <n v="4"/>
    <n v="0.83333333333333337"/>
    <n v="72.5"/>
    <x v="1"/>
    <x v="0"/>
    <n v="1"/>
    <x v="0"/>
    <x v="0"/>
    <d v="2025-06-30T00:00:00"/>
  </r>
  <r>
    <n v="317"/>
    <x v="105"/>
    <n v="2"/>
    <x v="2"/>
    <x v="0"/>
    <n v="22"/>
    <x v="0"/>
    <x v="4"/>
    <x v="2"/>
    <d v="2025-04-09T00:00:00"/>
    <x v="3"/>
    <s v="Wed"/>
    <s v="Jan–Jun 2025"/>
    <x v="1"/>
    <s v="Beginner"/>
    <n v="4"/>
    <n v="0.75"/>
    <n v="71.5"/>
    <x v="1"/>
    <x v="0"/>
    <n v="1"/>
    <x v="0"/>
    <x v="0"/>
    <d v="2025-06-30T00:00:00"/>
  </r>
  <r>
    <n v="318"/>
    <x v="105"/>
    <n v="3"/>
    <x v="0"/>
    <x v="0"/>
    <n v="22"/>
    <x v="0"/>
    <x v="4"/>
    <x v="2"/>
    <d v="2025-04-09T00:00:00"/>
    <x v="3"/>
    <s v="Wed"/>
    <s v="Jan–Jun 2025"/>
    <x v="2"/>
    <s v="Beginner"/>
    <n v="4"/>
    <n v="0.79166666666666663"/>
    <n v="53"/>
    <x v="0"/>
    <x v="0"/>
    <n v="1"/>
    <x v="0"/>
    <x v="0"/>
    <d v="2025-06-30T00:00:00"/>
  </r>
  <r>
    <n v="319"/>
    <x v="106"/>
    <n v="1"/>
    <x v="2"/>
    <x v="0"/>
    <n v="24"/>
    <x v="0"/>
    <x v="1"/>
    <x v="3"/>
    <d v="2025-04-15T00:00:00"/>
    <x v="3"/>
    <s v="Tue"/>
    <s v="Jan–Jun 2025"/>
    <x v="0"/>
    <s v="Beginner"/>
    <n v="4"/>
    <n v="0.89583333333333337"/>
    <n v="56.5"/>
    <x v="0"/>
    <x v="1"/>
    <n v="0"/>
    <x v="0"/>
    <x v="0"/>
    <d v="2025-06-30T00:00:00"/>
  </r>
  <r>
    <n v="320"/>
    <x v="106"/>
    <n v="2"/>
    <x v="1"/>
    <x v="0"/>
    <n v="24"/>
    <x v="0"/>
    <x v="1"/>
    <x v="3"/>
    <d v="2025-04-15T00:00:00"/>
    <x v="3"/>
    <s v="Tue"/>
    <s v="Jan–Jun 2025"/>
    <x v="1"/>
    <s v="Beginner"/>
    <n v="4"/>
    <n v="0.79166666666666663"/>
    <n v="88"/>
    <x v="2"/>
    <x v="1"/>
    <n v="0"/>
    <x v="0"/>
    <x v="0"/>
    <d v="2025-06-30T00:00:00"/>
  </r>
  <r>
    <n v="321"/>
    <x v="106"/>
    <n v="3"/>
    <x v="0"/>
    <x v="0"/>
    <n v="24"/>
    <x v="0"/>
    <x v="1"/>
    <x v="3"/>
    <d v="2025-04-15T00:00:00"/>
    <x v="3"/>
    <s v="Tue"/>
    <s v="Jan–Jun 2025"/>
    <x v="2"/>
    <s v="Beginner"/>
    <n v="4"/>
    <n v="0.8125"/>
    <n v="48.5"/>
    <x v="0"/>
    <x v="1"/>
    <n v="0"/>
    <x v="0"/>
    <x v="0"/>
    <d v="2025-06-30T00:00:00"/>
  </r>
  <r>
    <n v="322"/>
    <x v="107"/>
    <n v="1"/>
    <x v="0"/>
    <x v="1"/>
    <n v="35"/>
    <x v="1"/>
    <x v="3"/>
    <x v="3"/>
    <d v="2025-01-16T00:00:00"/>
    <x v="2"/>
    <s v="Thu"/>
    <s v="Jan–Jun 2025"/>
    <x v="0"/>
    <s v="Beginner"/>
    <n v="4"/>
    <n v="0.75"/>
    <n v="77.5"/>
    <x v="1"/>
    <x v="1"/>
    <n v="0"/>
    <x v="0"/>
    <x v="0"/>
    <d v="2025-06-30T00:00:00"/>
  </r>
  <r>
    <n v="323"/>
    <x v="107"/>
    <n v="2"/>
    <x v="0"/>
    <x v="1"/>
    <n v="35"/>
    <x v="1"/>
    <x v="3"/>
    <x v="3"/>
    <d v="2025-01-16T00:00:00"/>
    <x v="2"/>
    <s v="Thu"/>
    <s v="Jan–Jun 2025"/>
    <x v="1"/>
    <s v="Beginner"/>
    <n v="4"/>
    <n v="0.875"/>
    <n v="59"/>
    <x v="0"/>
    <x v="1"/>
    <n v="0"/>
    <x v="0"/>
    <x v="0"/>
    <d v="2025-06-30T00:00:00"/>
  </r>
  <r>
    <n v="324"/>
    <x v="107"/>
    <n v="3"/>
    <x v="2"/>
    <x v="1"/>
    <n v="35"/>
    <x v="1"/>
    <x v="3"/>
    <x v="3"/>
    <d v="2025-01-16T00:00:00"/>
    <x v="2"/>
    <s v="Thu"/>
    <s v="Jan–Jun 2025"/>
    <x v="2"/>
    <s v="Beginner"/>
    <n v="4"/>
    <n v="0.875"/>
    <n v="87.5"/>
    <x v="2"/>
    <x v="1"/>
    <n v="0"/>
    <x v="0"/>
    <x v="0"/>
    <d v="2025-06-30T00:00:00"/>
  </r>
  <r>
    <n v="325"/>
    <x v="108"/>
    <n v="1"/>
    <x v="0"/>
    <x v="0"/>
    <n v="31"/>
    <x v="1"/>
    <x v="3"/>
    <x v="1"/>
    <d v="2025-05-28T00:00:00"/>
    <x v="1"/>
    <s v="Wed"/>
    <s v="Jan–Jun 2025"/>
    <x v="0"/>
    <s v="Beginner"/>
    <n v="4"/>
    <n v="0.85416666666666663"/>
    <n v="85.5"/>
    <x v="2"/>
    <x v="1"/>
    <n v="0"/>
    <x v="0"/>
    <x v="0"/>
    <d v="2025-06-30T00:00:00"/>
  </r>
  <r>
    <n v="326"/>
    <x v="108"/>
    <n v="2"/>
    <x v="2"/>
    <x v="0"/>
    <n v="31"/>
    <x v="1"/>
    <x v="3"/>
    <x v="1"/>
    <d v="2025-05-28T00:00:00"/>
    <x v="1"/>
    <s v="Wed"/>
    <s v="Jan–Jun 2025"/>
    <x v="1"/>
    <s v="Beginner"/>
    <n v="4"/>
    <n v="0.83333333333333337"/>
    <n v="58"/>
    <x v="0"/>
    <x v="1"/>
    <n v="0"/>
    <x v="0"/>
    <x v="0"/>
    <d v="2025-06-30T00:00:00"/>
  </r>
  <r>
    <n v="327"/>
    <x v="108"/>
    <n v="3"/>
    <x v="0"/>
    <x v="0"/>
    <n v="31"/>
    <x v="1"/>
    <x v="3"/>
    <x v="1"/>
    <d v="2025-05-28T00:00:00"/>
    <x v="1"/>
    <s v="Wed"/>
    <s v="Jan–Jun 2025"/>
    <x v="2"/>
    <s v="Beginner"/>
    <n v="4"/>
    <n v="0.85416666666666663"/>
    <n v="63"/>
    <x v="1"/>
    <x v="1"/>
    <n v="0"/>
    <x v="0"/>
    <x v="0"/>
    <d v="2025-06-30T00:00:00"/>
  </r>
  <r>
    <n v="328"/>
    <x v="109"/>
    <n v="1"/>
    <x v="1"/>
    <x v="1"/>
    <n v="33"/>
    <x v="1"/>
    <x v="1"/>
    <x v="0"/>
    <d v="2025-03-18T00:00:00"/>
    <x v="0"/>
    <s v="Tue"/>
    <s v="Jan–Jun 2025"/>
    <x v="0"/>
    <s v="Beginner"/>
    <n v="4"/>
    <n v="0.85416666666666663"/>
    <n v="59"/>
    <x v="0"/>
    <x v="0"/>
    <n v="1"/>
    <x v="1"/>
    <x v="0"/>
    <d v="2025-06-30T00:00:00"/>
  </r>
  <r>
    <n v="329"/>
    <x v="109"/>
    <n v="2"/>
    <x v="0"/>
    <x v="1"/>
    <n v="33"/>
    <x v="1"/>
    <x v="1"/>
    <x v="0"/>
    <d v="2025-03-18T00:00:00"/>
    <x v="0"/>
    <s v="Tue"/>
    <s v="Jan–Jun 2025"/>
    <x v="1"/>
    <s v="Beginner"/>
    <n v="4"/>
    <n v="0.91666666666666663"/>
    <n v="63"/>
    <x v="1"/>
    <x v="0"/>
    <n v="1"/>
    <x v="1"/>
    <x v="0"/>
    <d v="2025-06-30T00:00:00"/>
  </r>
  <r>
    <n v="330"/>
    <x v="109"/>
    <n v="3"/>
    <x v="0"/>
    <x v="1"/>
    <n v="33"/>
    <x v="1"/>
    <x v="1"/>
    <x v="0"/>
    <d v="2025-03-18T00:00:00"/>
    <x v="0"/>
    <s v="Tue"/>
    <s v="Jan–Jun 2025"/>
    <x v="2"/>
    <s v="Beginner"/>
    <n v="4"/>
    <n v="0.89583333333333337"/>
    <n v="77.5"/>
    <x v="1"/>
    <x v="0"/>
    <n v="1"/>
    <x v="1"/>
    <x v="0"/>
    <d v="2025-06-30T00:00:00"/>
  </r>
  <r>
    <n v="331"/>
    <x v="110"/>
    <n v="1"/>
    <x v="0"/>
    <x v="1"/>
    <n v="31"/>
    <x v="1"/>
    <x v="2"/>
    <x v="2"/>
    <d v="2025-05-05T00:00:00"/>
    <x v="1"/>
    <s v="Mon"/>
    <s v="Jan–Jun 2025"/>
    <x v="0"/>
    <s v="Beginner"/>
    <n v="4"/>
    <n v="0.8125"/>
    <n v="75.5"/>
    <x v="1"/>
    <x v="0"/>
    <n v="1"/>
    <x v="0"/>
    <x v="0"/>
    <d v="2025-06-30T00:00:00"/>
  </r>
  <r>
    <n v="332"/>
    <x v="110"/>
    <n v="2"/>
    <x v="0"/>
    <x v="1"/>
    <n v="31"/>
    <x v="1"/>
    <x v="2"/>
    <x v="2"/>
    <d v="2025-05-05T00:00:00"/>
    <x v="1"/>
    <s v="Mon"/>
    <s v="Jan–Jun 2025"/>
    <x v="1"/>
    <s v="Beginner"/>
    <n v="4"/>
    <n v="0.72916666666666663"/>
    <n v="48"/>
    <x v="0"/>
    <x v="0"/>
    <n v="1"/>
    <x v="0"/>
    <x v="0"/>
    <d v="2025-06-30T00:00:00"/>
  </r>
  <r>
    <n v="333"/>
    <x v="110"/>
    <n v="3"/>
    <x v="2"/>
    <x v="1"/>
    <n v="31"/>
    <x v="1"/>
    <x v="2"/>
    <x v="2"/>
    <d v="2025-05-05T00:00:00"/>
    <x v="1"/>
    <s v="Mon"/>
    <s v="Jan–Jun 2025"/>
    <x v="2"/>
    <s v="Beginner"/>
    <n v="4"/>
    <n v="0.83333333333333337"/>
    <n v="86.5"/>
    <x v="2"/>
    <x v="0"/>
    <n v="1"/>
    <x v="0"/>
    <x v="0"/>
    <d v="2025-06-30T00:00:00"/>
  </r>
  <r>
    <n v="334"/>
    <x v="111"/>
    <n v="1"/>
    <x v="1"/>
    <x v="0"/>
    <n v="26"/>
    <x v="2"/>
    <x v="3"/>
    <x v="3"/>
    <d v="2025-01-08T00:00:00"/>
    <x v="2"/>
    <s v="Wed"/>
    <s v="Jan–Jun 2025"/>
    <x v="0"/>
    <s v="Beginner"/>
    <n v="4"/>
    <n v="0.83333333333333337"/>
    <n v="58"/>
    <x v="0"/>
    <x v="0"/>
    <n v="1"/>
    <x v="1"/>
    <x v="0"/>
    <d v="2025-06-30T00:00:00"/>
  </r>
  <r>
    <n v="335"/>
    <x v="111"/>
    <n v="2"/>
    <x v="0"/>
    <x v="0"/>
    <n v="26"/>
    <x v="2"/>
    <x v="3"/>
    <x v="3"/>
    <d v="2025-01-08T00:00:00"/>
    <x v="2"/>
    <s v="Wed"/>
    <s v="Jan–Jun 2025"/>
    <x v="1"/>
    <s v="Beginner"/>
    <n v="4"/>
    <n v="0.8125"/>
    <n v="65.5"/>
    <x v="1"/>
    <x v="0"/>
    <n v="1"/>
    <x v="1"/>
    <x v="0"/>
    <d v="2025-06-30T00:00:00"/>
  </r>
  <r>
    <n v="336"/>
    <x v="111"/>
    <n v="3"/>
    <x v="2"/>
    <x v="0"/>
    <n v="26"/>
    <x v="2"/>
    <x v="3"/>
    <x v="3"/>
    <d v="2025-01-08T00:00:00"/>
    <x v="2"/>
    <s v="Wed"/>
    <s v="Jan–Jun 2025"/>
    <x v="2"/>
    <s v="Beginner"/>
    <n v="4"/>
    <n v="0.79166666666666663"/>
    <n v="80.5"/>
    <x v="2"/>
    <x v="0"/>
    <n v="1"/>
    <x v="1"/>
    <x v="0"/>
    <d v="2025-06-30T00:00:00"/>
  </r>
  <r>
    <n v="337"/>
    <x v="112"/>
    <n v="1"/>
    <x v="0"/>
    <x v="1"/>
    <n v="28"/>
    <x v="2"/>
    <x v="0"/>
    <x v="3"/>
    <d v="2025-02-12T00:00:00"/>
    <x v="4"/>
    <s v="Wed"/>
    <s v="Jan–Jun 2025"/>
    <x v="0"/>
    <s v="Beginner"/>
    <n v="4"/>
    <n v="0.83333333333333337"/>
    <n v="71.5"/>
    <x v="1"/>
    <x v="0"/>
    <n v="1"/>
    <x v="1"/>
    <x v="0"/>
    <d v="2025-06-30T00:00:00"/>
  </r>
  <r>
    <n v="338"/>
    <x v="112"/>
    <n v="2"/>
    <x v="2"/>
    <x v="1"/>
    <n v="28"/>
    <x v="2"/>
    <x v="0"/>
    <x v="3"/>
    <d v="2025-02-12T00:00:00"/>
    <x v="4"/>
    <s v="Wed"/>
    <s v="Jan–Jun 2025"/>
    <x v="1"/>
    <s v="Beginner"/>
    <n v="4"/>
    <n v="0.89583333333333337"/>
    <n v="77.5"/>
    <x v="1"/>
    <x v="0"/>
    <n v="1"/>
    <x v="1"/>
    <x v="0"/>
    <d v="2025-06-30T00:00:00"/>
  </r>
  <r>
    <n v="339"/>
    <x v="112"/>
    <n v="3"/>
    <x v="0"/>
    <x v="1"/>
    <n v="28"/>
    <x v="2"/>
    <x v="0"/>
    <x v="3"/>
    <d v="2025-02-12T00:00:00"/>
    <x v="4"/>
    <s v="Wed"/>
    <s v="Jan–Jun 2025"/>
    <x v="2"/>
    <s v="Beginner"/>
    <n v="4"/>
    <n v="0.875"/>
    <n v="96"/>
    <x v="2"/>
    <x v="0"/>
    <n v="1"/>
    <x v="1"/>
    <x v="0"/>
    <d v="2025-06-30T00:00:00"/>
  </r>
  <r>
    <n v="340"/>
    <x v="113"/>
    <n v="1"/>
    <x v="2"/>
    <x v="1"/>
    <n v="22"/>
    <x v="0"/>
    <x v="2"/>
    <x v="1"/>
    <d v="2025-04-11T00:00:00"/>
    <x v="3"/>
    <s v="Fri"/>
    <s v="Jan–Jun 2025"/>
    <x v="0"/>
    <s v="Beginner"/>
    <n v="4"/>
    <n v="0.875"/>
    <n v="72"/>
    <x v="1"/>
    <x v="0"/>
    <n v="1"/>
    <x v="0"/>
    <x v="1"/>
    <d v="2025-06-30T00:00:00"/>
  </r>
  <r>
    <n v="341"/>
    <x v="113"/>
    <n v="2"/>
    <x v="0"/>
    <x v="1"/>
    <n v="22"/>
    <x v="0"/>
    <x v="2"/>
    <x v="1"/>
    <d v="2025-04-11T00:00:00"/>
    <x v="3"/>
    <s v="Fri"/>
    <s v="Jan–Jun 2025"/>
    <x v="1"/>
    <s v="Beginner"/>
    <n v="4"/>
    <n v="0.77083333333333337"/>
    <n v="49"/>
    <x v="0"/>
    <x v="0"/>
    <n v="1"/>
    <x v="0"/>
    <x v="1"/>
    <d v="2025-06-30T00:00:00"/>
  </r>
  <r>
    <n v="342"/>
    <x v="113"/>
    <n v="3"/>
    <x v="0"/>
    <x v="1"/>
    <n v="22"/>
    <x v="0"/>
    <x v="2"/>
    <x v="1"/>
    <d v="2025-04-11T00:00:00"/>
    <x v="3"/>
    <s v="Fri"/>
    <s v="Jan–Jun 2025"/>
    <x v="2"/>
    <s v="Beginner"/>
    <n v="4"/>
    <n v="0.85416666666666663"/>
    <n v="78"/>
    <x v="1"/>
    <x v="0"/>
    <n v="1"/>
    <x v="0"/>
    <x v="1"/>
    <d v="2025-06-30T00:00:00"/>
  </r>
  <r>
    <n v="343"/>
    <x v="114"/>
    <n v="1"/>
    <x v="0"/>
    <x v="0"/>
    <n v="20"/>
    <x v="0"/>
    <x v="0"/>
    <x v="3"/>
    <d v="2025-02-04T00:00:00"/>
    <x v="4"/>
    <s v="Tue"/>
    <s v="Jan–Jun 2025"/>
    <x v="0"/>
    <s v="Beginner"/>
    <n v="4"/>
    <n v="0.77083333333333337"/>
    <n v="76"/>
    <x v="1"/>
    <x v="0"/>
    <n v="1"/>
    <x v="0"/>
    <x v="1"/>
    <d v="2025-06-30T00:00:00"/>
  </r>
  <r>
    <n v="344"/>
    <x v="114"/>
    <n v="2"/>
    <x v="0"/>
    <x v="0"/>
    <n v="20"/>
    <x v="0"/>
    <x v="0"/>
    <x v="3"/>
    <d v="2025-02-04T00:00:00"/>
    <x v="4"/>
    <s v="Tue"/>
    <s v="Jan–Jun 2025"/>
    <x v="1"/>
    <s v="Beginner"/>
    <n v="4"/>
    <n v="0.8125"/>
    <n v="82.5"/>
    <x v="2"/>
    <x v="0"/>
    <n v="1"/>
    <x v="0"/>
    <x v="1"/>
    <d v="2025-06-30T00:00:00"/>
  </r>
  <r>
    <n v="345"/>
    <x v="114"/>
    <n v="3"/>
    <x v="0"/>
    <x v="0"/>
    <n v="20"/>
    <x v="0"/>
    <x v="0"/>
    <x v="3"/>
    <d v="2025-02-04T00:00:00"/>
    <x v="4"/>
    <s v="Tue"/>
    <s v="Jan–Jun 2025"/>
    <x v="2"/>
    <s v="Beginner"/>
    <n v="4"/>
    <n v="0.83333333333333337"/>
    <n v="87.5"/>
    <x v="2"/>
    <x v="0"/>
    <n v="1"/>
    <x v="0"/>
    <x v="1"/>
    <d v="2025-06-30T00:00:00"/>
  </r>
  <r>
    <n v="346"/>
    <x v="115"/>
    <n v="1"/>
    <x v="0"/>
    <x v="1"/>
    <n v="23"/>
    <x v="0"/>
    <x v="1"/>
    <x v="0"/>
    <d v="2025-04-08T00:00:00"/>
    <x v="3"/>
    <s v="Tue"/>
    <s v="Jan–Jun 2025"/>
    <x v="0"/>
    <s v="Beginner"/>
    <n v="4"/>
    <n v="0.8125"/>
    <n v="80"/>
    <x v="2"/>
    <x v="1"/>
    <n v="0"/>
    <x v="0"/>
    <x v="0"/>
    <d v="2025-06-30T00:00:00"/>
  </r>
  <r>
    <n v="347"/>
    <x v="115"/>
    <n v="2"/>
    <x v="0"/>
    <x v="1"/>
    <n v="23"/>
    <x v="0"/>
    <x v="1"/>
    <x v="0"/>
    <d v="2025-04-08T00:00:00"/>
    <x v="3"/>
    <s v="Tue"/>
    <s v="Jan–Jun 2025"/>
    <x v="1"/>
    <s v="Beginner"/>
    <n v="4"/>
    <n v="0.85416666666666663"/>
    <n v="76"/>
    <x v="1"/>
    <x v="1"/>
    <n v="0"/>
    <x v="0"/>
    <x v="0"/>
    <d v="2025-06-30T00:00:00"/>
  </r>
  <r>
    <n v="348"/>
    <x v="115"/>
    <n v="3"/>
    <x v="0"/>
    <x v="1"/>
    <n v="23"/>
    <x v="0"/>
    <x v="1"/>
    <x v="0"/>
    <d v="2025-04-08T00:00:00"/>
    <x v="3"/>
    <s v="Tue"/>
    <s v="Jan–Jun 2025"/>
    <x v="2"/>
    <s v="Beginner"/>
    <n v="4"/>
    <n v="0.83333333333333337"/>
    <n v="75.5"/>
    <x v="1"/>
    <x v="1"/>
    <n v="0"/>
    <x v="0"/>
    <x v="0"/>
    <d v="2025-06-30T00:00:00"/>
  </r>
  <r>
    <n v="349"/>
    <x v="116"/>
    <n v="1"/>
    <x v="0"/>
    <x v="1"/>
    <n v="24"/>
    <x v="0"/>
    <x v="3"/>
    <x v="0"/>
    <d v="2025-03-28T00:00:00"/>
    <x v="0"/>
    <s v="Fri"/>
    <s v="Jan–Jun 2025"/>
    <x v="0"/>
    <s v="Beginner"/>
    <n v="4"/>
    <n v="0.8125"/>
    <n v="59"/>
    <x v="0"/>
    <x v="1"/>
    <n v="0"/>
    <x v="0"/>
    <x v="0"/>
    <d v="2025-06-30T00:00:00"/>
  </r>
  <r>
    <n v="350"/>
    <x v="116"/>
    <n v="2"/>
    <x v="0"/>
    <x v="1"/>
    <n v="24"/>
    <x v="0"/>
    <x v="3"/>
    <x v="0"/>
    <d v="2025-03-28T00:00:00"/>
    <x v="0"/>
    <s v="Fri"/>
    <s v="Jan–Jun 2025"/>
    <x v="1"/>
    <s v="Beginner"/>
    <n v="4"/>
    <n v="0.8125"/>
    <n v="83.5"/>
    <x v="2"/>
    <x v="1"/>
    <n v="0"/>
    <x v="0"/>
    <x v="0"/>
    <d v="2025-06-30T00:00:00"/>
  </r>
  <r>
    <n v="351"/>
    <x v="116"/>
    <n v="3"/>
    <x v="0"/>
    <x v="1"/>
    <n v="24"/>
    <x v="0"/>
    <x v="3"/>
    <x v="0"/>
    <d v="2025-03-28T00:00:00"/>
    <x v="0"/>
    <s v="Fri"/>
    <s v="Jan–Jun 2025"/>
    <x v="2"/>
    <s v="Beginner"/>
    <n v="4"/>
    <n v="0.75"/>
    <n v="65"/>
    <x v="1"/>
    <x v="1"/>
    <n v="0"/>
    <x v="0"/>
    <x v="0"/>
    <d v="2025-06-30T00:00:00"/>
  </r>
  <r>
    <n v="352"/>
    <x v="117"/>
    <n v="1"/>
    <x v="0"/>
    <x v="1"/>
    <n v="26"/>
    <x v="2"/>
    <x v="3"/>
    <x v="0"/>
    <d v="2025-01-21T00:00:00"/>
    <x v="2"/>
    <s v="Tue"/>
    <s v="Jan–Jun 2025"/>
    <x v="0"/>
    <s v="Beginner"/>
    <n v="4"/>
    <n v="0.79166666666666663"/>
    <n v="62.5"/>
    <x v="1"/>
    <x v="1"/>
    <n v="0"/>
    <x v="0"/>
    <x v="0"/>
    <d v="2025-06-30T00:00:00"/>
  </r>
  <r>
    <n v="353"/>
    <x v="117"/>
    <n v="2"/>
    <x v="0"/>
    <x v="1"/>
    <n v="26"/>
    <x v="2"/>
    <x v="3"/>
    <x v="0"/>
    <d v="2025-01-21T00:00:00"/>
    <x v="2"/>
    <s v="Tue"/>
    <s v="Jan–Jun 2025"/>
    <x v="1"/>
    <s v="Beginner"/>
    <n v="4"/>
    <n v="0.91666666666666663"/>
    <n v="67"/>
    <x v="1"/>
    <x v="1"/>
    <n v="0"/>
    <x v="0"/>
    <x v="0"/>
    <d v="2025-06-30T00:00:00"/>
  </r>
  <r>
    <n v="354"/>
    <x v="117"/>
    <n v="3"/>
    <x v="1"/>
    <x v="1"/>
    <n v="26"/>
    <x v="2"/>
    <x v="3"/>
    <x v="0"/>
    <d v="2025-01-21T00:00:00"/>
    <x v="2"/>
    <s v="Tue"/>
    <s v="Jan–Jun 2025"/>
    <x v="2"/>
    <s v="Beginner"/>
    <n v="4"/>
    <n v="0.875"/>
    <n v="73.5"/>
    <x v="1"/>
    <x v="1"/>
    <n v="0"/>
    <x v="0"/>
    <x v="0"/>
    <d v="2025-06-30T00:00:00"/>
  </r>
  <r>
    <n v="355"/>
    <x v="118"/>
    <n v="1"/>
    <x v="0"/>
    <x v="1"/>
    <n v="18"/>
    <x v="0"/>
    <x v="0"/>
    <x v="1"/>
    <d v="2025-03-31T00:00:00"/>
    <x v="0"/>
    <s v="Mon"/>
    <s v="Jan–Jun 2025"/>
    <x v="0"/>
    <s v="Beginner"/>
    <n v="4"/>
    <n v="0.85416666666666663"/>
    <n v="98"/>
    <x v="2"/>
    <x v="0"/>
    <n v="1"/>
    <x v="1"/>
    <x v="0"/>
    <d v="2025-06-30T00:00:00"/>
  </r>
  <r>
    <n v="356"/>
    <x v="118"/>
    <n v="2"/>
    <x v="2"/>
    <x v="1"/>
    <n v="18"/>
    <x v="0"/>
    <x v="0"/>
    <x v="1"/>
    <d v="2025-03-31T00:00:00"/>
    <x v="0"/>
    <s v="Mon"/>
    <s v="Jan–Jun 2025"/>
    <x v="1"/>
    <s v="Beginner"/>
    <n v="4"/>
    <n v="0.79166666666666663"/>
    <n v="60.5"/>
    <x v="1"/>
    <x v="0"/>
    <n v="1"/>
    <x v="1"/>
    <x v="0"/>
    <d v="2025-06-30T00:00:00"/>
  </r>
  <r>
    <n v="357"/>
    <x v="118"/>
    <n v="3"/>
    <x v="0"/>
    <x v="1"/>
    <n v="18"/>
    <x v="0"/>
    <x v="0"/>
    <x v="1"/>
    <d v="2025-03-31T00:00:00"/>
    <x v="0"/>
    <s v="Mon"/>
    <s v="Jan–Jun 2025"/>
    <x v="2"/>
    <s v="Beginner"/>
    <n v="4"/>
    <n v="0.72916666666666663"/>
    <n v="52.5"/>
    <x v="0"/>
    <x v="0"/>
    <n v="1"/>
    <x v="1"/>
    <x v="0"/>
    <d v="2025-06-30T00:00:00"/>
  </r>
  <r>
    <n v="358"/>
    <x v="119"/>
    <n v="1"/>
    <x v="2"/>
    <x v="0"/>
    <n v="20"/>
    <x v="0"/>
    <x v="0"/>
    <x v="1"/>
    <d v="2025-01-08T00:00:00"/>
    <x v="2"/>
    <s v="Wed"/>
    <s v="Jan–Jun 2025"/>
    <x v="0"/>
    <s v="Beginner"/>
    <n v="4"/>
    <n v="0.77083333333333337"/>
    <n v="77"/>
    <x v="1"/>
    <x v="0"/>
    <n v="1"/>
    <x v="0"/>
    <x v="0"/>
    <d v="2025-06-30T00:00:00"/>
  </r>
  <r>
    <n v="359"/>
    <x v="119"/>
    <n v="2"/>
    <x v="1"/>
    <x v="0"/>
    <n v="20"/>
    <x v="0"/>
    <x v="0"/>
    <x v="1"/>
    <d v="2025-01-08T00:00:00"/>
    <x v="2"/>
    <s v="Wed"/>
    <s v="Jan–Jun 2025"/>
    <x v="1"/>
    <s v="Beginner"/>
    <n v="4"/>
    <n v="0.875"/>
    <n v="62.5"/>
    <x v="1"/>
    <x v="0"/>
    <n v="1"/>
    <x v="0"/>
    <x v="0"/>
    <d v="2025-06-30T00:00:00"/>
  </r>
  <r>
    <n v="360"/>
    <x v="119"/>
    <n v="3"/>
    <x v="0"/>
    <x v="0"/>
    <n v="20"/>
    <x v="0"/>
    <x v="0"/>
    <x v="1"/>
    <d v="2025-01-08T00:00:00"/>
    <x v="2"/>
    <s v="Wed"/>
    <s v="Jan–Jun 2025"/>
    <x v="2"/>
    <s v="Beginner"/>
    <n v="4"/>
    <n v="0.75"/>
    <n v="48.5"/>
    <x v="0"/>
    <x v="0"/>
    <n v="1"/>
    <x v="0"/>
    <x v="0"/>
    <d v="2025-06-30T00:00:00"/>
  </r>
  <r>
    <n v="361"/>
    <x v="120"/>
    <n v="1"/>
    <x v="0"/>
    <x v="0"/>
    <n v="24"/>
    <x v="0"/>
    <x v="1"/>
    <x v="2"/>
    <d v="2025-03-03T00:00:00"/>
    <x v="0"/>
    <s v="Mon"/>
    <s v="Jan–Jun 2025"/>
    <x v="0"/>
    <s v="Beginner"/>
    <n v="4"/>
    <n v="0.83333333333333337"/>
    <n v="74"/>
    <x v="1"/>
    <x v="0"/>
    <n v="1"/>
    <x v="0"/>
    <x v="0"/>
    <d v="2025-06-30T00:00:00"/>
  </r>
  <r>
    <n v="362"/>
    <x v="120"/>
    <n v="2"/>
    <x v="0"/>
    <x v="0"/>
    <n v="24"/>
    <x v="0"/>
    <x v="1"/>
    <x v="2"/>
    <d v="2025-03-03T00:00:00"/>
    <x v="0"/>
    <s v="Mon"/>
    <s v="Jan–Jun 2025"/>
    <x v="1"/>
    <s v="Beginner"/>
    <n v="4"/>
    <n v="0.89583333333333337"/>
    <n v="69.5"/>
    <x v="1"/>
    <x v="0"/>
    <n v="1"/>
    <x v="0"/>
    <x v="0"/>
    <d v="2025-06-30T00:00:00"/>
  </r>
  <r>
    <n v="363"/>
    <x v="120"/>
    <n v="3"/>
    <x v="0"/>
    <x v="0"/>
    <n v="24"/>
    <x v="0"/>
    <x v="1"/>
    <x v="2"/>
    <d v="2025-03-03T00:00:00"/>
    <x v="0"/>
    <s v="Mon"/>
    <s v="Jan–Jun 2025"/>
    <x v="2"/>
    <s v="Beginner"/>
    <n v="4"/>
    <n v="0.8125"/>
    <n v="76"/>
    <x v="1"/>
    <x v="0"/>
    <n v="1"/>
    <x v="0"/>
    <x v="0"/>
    <d v="2025-06-30T00:00:00"/>
  </r>
  <r>
    <n v="364"/>
    <x v="121"/>
    <n v="1"/>
    <x v="0"/>
    <x v="0"/>
    <n v="33"/>
    <x v="1"/>
    <x v="0"/>
    <x v="1"/>
    <d v="2025-05-25T00:00:00"/>
    <x v="1"/>
    <s v="Sun"/>
    <s v="Jan–Jun 2025"/>
    <x v="0"/>
    <s v="Beginner"/>
    <n v="4"/>
    <n v="0.79166666666666663"/>
    <n v="74"/>
    <x v="1"/>
    <x v="0"/>
    <n v="1"/>
    <x v="1"/>
    <x v="0"/>
    <d v="2025-06-30T00:00:00"/>
  </r>
  <r>
    <n v="365"/>
    <x v="121"/>
    <n v="2"/>
    <x v="2"/>
    <x v="0"/>
    <n v="33"/>
    <x v="1"/>
    <x v="0"/>
    <x v="1"/>
    <d v="2025-05-25T00:00:00"/>
    <x v="1"/>
    <s v="Sun"/>
    <s v="Jan–Jun 2025"/>
    <x v="1"/>
    <s v="Beginner"/>
    <n v="4"/>
    <n v="0.83333333333333337"/>
    <n v="81"/>
    <x v="2"/>
    <x v="0"/>
    <n v="1"/>
    <x v="1"/>
    <x v="0"/>
    <d v="2025-06-30T00:00:00"/>
  </r>
  <r>
    <n v="366"/>
    <x v="121"/>
    <n v="3"/>
    <x v="0"/>
    <x v="0"/>
    <n v="33"/>
    <x v="1"/>
    <x v="0"/>
    <x v="1"/>
    <d v="2025-05-25T00:00:00"/>
    <x v="1"/>
    <s v="Sun"/>
    <s v="Jan–Jun 2025"/>
    <x v="2"/>
    <s v="Beginner"/>
    <n v="4"/>
    <n v="0.85416666666666663"/>
    <n v="53"/>
    <x v="0"/>
    <x v="0"/>
    <n v="1"/>
    <x v="1"/>
    <x v="0"/>
    <d v="2025-06-30T00:00:00"/>
  </r>
  <r>
    <n v="367"/>
    <x v="122"/>
    <n v="1"/>
    <x v="0"/>
    <x v="0"/>
    <n v="32"/>
    <x v="1"/>
    <x v="0"/>
    <x v="0"/>
    <d v="2025-04-05T00:00:00"/>
    <x v="3"/>
    <s v="Sat"/>
    <s v="Jan–Jun 2025"/>
    <x v="0"/>
    <s v="Beginner"/>
    <n v="4"/>
    <n v="0.79166666666666663"/>
    <n v="59"/>
    <x v="0"/>
    <x v="1"/>
    <n v="0"/>
    <x v="0"/>
    <x v="0"/>
    <d v="2025-06-30T00:00:00"/>
  </r>
  <r>
    <n v="368"/>
    <x v="122"/>
    <n v="2"/>
    <x v="0"/>
    <x v="0"/>
    <n v="32"/>
    <x v="1"/>
    <x v="0"/>
    <x v="0"/>
    <d v="2025-04-05T00:00:00"/>
    <x v="3"/>
    <s v="Sat"/>
    <s v="Jan–Jun 2025"/>
    <x v="1"/>
    <s v="Beginner"/>
    <n v="4"/>
    <n v="0.875"/>
    <n v="59"/>
    <x v="0"/>
    <x v="1"/>
    <n v="0"/>
    <x v="0"/>
    <x v="0"/>
    <d v="2025-06-30T00:00:00"/>
  </r>
  <r>
    <n v="369"/>
    <x v="122"/>
    <n v="3"/>
    <x v="0"/>
    <x v="0"/>
    <n v="32"/>
    <x v="1"/>
    <x v="0"/>
    <x v="0"/>
    <d v="2025-04-05T00:00:00"/>
    <x v="3"/>
    <s v="Sat"/>
    <s v="Jan–Jun 2025"/>
    <x v="2"/>
    <s v="Beginner"/>
    <n v="4"/>
    <n v="0.91666666666666663"/>
    <n v="72.5"/>
    <x v="1"/>
    <x v="1"/>
    <n v="0"/>
    <x v="0"/>
    <x v="0"/>
    <d v="2025-06-30T00:00:00"/>
  </r>
  <r>
    <n v="370"/>
    <x v="123"/>
    <n v="1"/>
    <x v="0"/>
    <x v="0"/>
    <n v="21"/>
    <x v="0"/>
    <x v="4"/>
    <x v="0"/>
    <d v="2025-01-28T00:00:00"/>
    <x v="2"/>
    <s v="Tue"/>
    <s v="Jan–Jun 2025"/>
    <x v="0"/>
    <s v="Beginner"/>
    <n v="4"/>
    <n v="0.85416666666666663"/>
    <n v="52"/>
    <x v="0"/>
    <x v="0"/>
    <n v="1"/>
    <x v="1"/>
    <x v="0"/>
    <d v="2025-06-30T00:00:00"/>
  </r>
  <r>
    <n v="371"/>
    <x v="123"/>
    <n v="2"/>
    <x v="1"/>
    <x v="0"/>
    <n v="21"/>
    <x v="0"/>
    <x v="4"/>
    <x v="0"/>
    <d v="2025-01-28T00:00:00"/>
    <x v="2"/>
    <s v="Tue"/>
    <s v="Jan–Jun 2025"/>
    <x v="1"/>
    <s v="Beginner"/>
    <n v="4"/>
    <n v="0.72916666666666663"/>
    <n v="61"/>
    <x v="1"/>
    <x v="0"/>
    <n v="1"/>
    <x v="1"/>
    <x v="0"/>
    <d v="2025-06-30T00:00:00"/>
  </r>
  <r>
    <n v="372"/>
    <x v="123"/>
    <n v="3"/>
    <x v="0"/>
    <x v="0"/>
    <n v="21"/>
    <x v="0"/>
    <x v="4"/>
    <x v="0"/>
    <d v="2025-01-28T00:00:00"/>
    <x v="2"/>
    <s v="Tue"/>
    <s v="Jan–Jun 2025"/>
    <x v="2"/>
    <s v="Beginner"/>
    <n v="4"/>
    <n v="0.91666666666666663"/>
    <n v="61"/>
    <x v="1"/>
    <x v="0"/>
    <n v="1"/>
    <x v="1"/>
    <x v="0"/>
    <d v="2025-06-30T00:00:00"/>
  </r>
  <r>
    <n v="373"/>
    <x v="124"/>
    <n v="1"/>
    <x v="2"/>
    <x v="0"/>
    <n v="27"/>
    <x v="2"/>
    <x v="2"/>
    <x v="3"/>
    <d v="2025-04-12T00:00:00"/>
    <x v="3"/>
    <s v="Sat"/>
    <s v="Jan–Jun 2025"/>
    <x v="0"/>
    <s v="Beginner"/>
    <n v="4"/>
    <n v="0.8125"/>
    <n v="66.5"/>
    <x v="1"/>
    <x v="0"/>
    <n v="1"/>
    <x v="1"/>
    <x v="0"/>
    <d v="2025-06-30T00:00:00"/>
  </r>
  <r>
    <n v="374"/>
    <x v="124"/>
    <n v="2"/>
    <x v="2"/>
    <x v="0"/>
    <n v="27"/>
    <x v="2"/>
    <x v="2"/>
    <x v="3"/>
    <d v="2025-04-12T00:00:00"/>
    <x v="3"/>
    <s v="Sat"/>
    <s v="Jan–Jun 2025"/>
    <x v="1"/>
    <s v="Beginner"/>
    <n v="4"/>
    <n v="0.72916666666666663"/>
    <n v="67.5"/>
    <x v="1"/>
    <x v="0"/>
    <n v="1"/>
    <x v="1"/>
    <x v="0"/>
    <d v="2025-06-30T00:00:00"/>
  </r>
  <r>
    <n v="375"/>
    <x v="124"/>
    <n v="3"/>
    <x v="0"/>
    <x v="0"/>
    <n v="27"/>
    <x v="2"/>
    <x v="2"/>
    <x v="3"/>
    <d v="2025-04-12T00:00:00"/>
    <x v="3"/>
    <s v="Sat"/>
    <s v="Jan–Jun 2025"/>
    <x v="2"/>
    <s v="Beginner"/>
    <n v="4"/>
    <n v="0.8125"/>
    <n v="62"/>
    <x v="1"/>
    <x v="0"/>
    <n v="1"/>
    <x v="1"/>
    <x v="0"/>
    <d v="2025-06-30T00:00:00"/>
  </r>
  <r>
    <n v="376"/>
    <x v="125"/>
    <n v="1"/>
    <x v="2"/>
    <x v="0"/>
    <n v="20"/>
    <x v="0"/>
    <x v="2"/>
    <x v="2"/>
    <d v="2025-01-27T00:00:00"/>
    <x v="2"/>
    <s v="Mon"/>
    <s v="Jan–Jun 2025"/>
    <x v="0"/>
    <s v="Beginner"/>
    <n v="4"/>
    <n v="0.72916666666666663"/>
    <n v="85.5"/>
    <x v="2"/>
    <x v="0"/>
    <n v="1"/>
    <x v="1"/>
    <x v="1"/>
    <d v="2025-06-30T00:00:00"/>
  </r>
  <r>
    <n v="377"/>
    <x v="125"/>
    <n v="2"/>
    <x v="2"/>
    <x v="0"/>
    <n v="20"/>
    <x v="0"/>
    <x v="2"/>
    <x v="2"/>
    <d v="2025-01-27T00:00:00"/>
    <x v="2"/>
    <s v="Mon"/>
    <s v="Jan–Jun 2025"/>
    <x v="1"/>
    <s v="Beginner"/>
    <n v="4"/>
    <n v="0.85416666666666663"/>
    <n v="60"/>
    <x v="1"/>
    <x v="0"/>
    <n v="1"/>
    <x v="1"/>
    <x v="1"/>
    <d v="2025-06-30T00:00:00"/>
  </r>
  <r>
    <n v="378"/>
    <x v="125"/>
    <n v="3"/>
    <x v="0"/>
    <x v="0"/>
    <n v="20"/>
    <x v="0"/>
    <x v="2"/>
    <x v="2"/>
    <d v="2025-01-27T00:00:00"/>
    <x v="2"/>
    <s v="Mon"/>
    <s v="Jan–Jun 2025"/>
    <x v="2"/>
    <s v="Beginner"/>
    <n v="4"/>
    <n v="0.77083333333333337"/>
    <n v="60.5"/>
    <x v="1"/>
    <x v="0"/>
    <n v="1"/>
    <x v="1"/>
    <x v="1"/>
    <d v="2025-06-30T00:00:00"/>
  </r>
  <r>
    <n v="379"/>
    <x v="126"/>
    <n v="1"/>
    <x v="0"/>
    <x v="1"/>
    <n v="21"/>
    <x v="0"/>
    <x v="2"/>
    <x v="1"/>
    <d v="2025-03-30T00:00:00"/>
    <x v="0"/>
    <s v="Sun"/>
    <s v="Jan–Jun 2025"/>
    <x v="0"/>
    <s v="Beginner"/>
    <n v="4"/>
    <n v="0.91666666666666663"/>
    <n v="60"/>
    <x v="1"/>
    <x v="1"/>
    <n v="0"/>
    <x v="0"/>
    <x v="0"/>
    <d v="2025-06-30T00:00:00"/>
  </r>
  <r>
    <n v="380"/>
    <x v="126"/>
    <n v="2"/>
    <x v="0"/>
    <x v="1"/>
    <n v="21"/>
    <x v="0"/>
    <x v="2"/>
    <x v="1"/>
    <d v="2025-03-30T00:00:00"/>
    <x v="0"/>
    <s v="Sun"/>
    <s v="Jan–Jun 2025"/>
    <x v="1"/>
    <s v="Beginner"/>
    <n v="4"/>
    <n v="0.83333333333333337"/>
    <n v="93"/>
    <x v="2"/>
    <x v="1"/>
    <n v="0"/>
    <x v="0"/>
    <x v="0"/>
    <d v="2025-06-30T00:00:00"/>
  </r>
  <r>
    <n v="381"/>
    <x v="126"/>
    <n v="3"/>
    <x v="0"/>
    <x v="1"/>
    <n v="21"/>
    <x v="0"/>
    <x v="2"/>
    <x v="1"/>
    <d v="2025-03-30T00:00:00"/>
    <x v="0"/>
    <s v="Sun"/>
    <s v="Jan–Jun 2025"/>
    <x v="2"/>
    <s v="Beginner"/>
    <n v="4"/>
    <n v="0.85416666666666663"/>
    <n v="68"/>
    <x v="1"/>
    <x v="1"/>
    <n v="0"/>
    <x v="0"/>
    <x v="0"/>
    <d v="2025-06-30T00:00:00"/>
  </r>
  <r>
    <n v="382"/>
    <x v="127"/>
    <n v="1"/>
    <x v="0"/>
    <x v="1"/>
    <n v="29"/>
    <x v="2"/>
    <x v="1"/>
    <x v="0"/>
    <d v="2025-01-04T00:00:00"/>
    <x v="2"/>
    <s v="Sat"/>
    <s v="Jan–Jun 2025"/>
    <x v="0"/>
    <s v="Beginner"/>
    <n v="4"/>
    <n v="0.89583333333333337"/>
    <n v="58"/>
    <x v="0"/>
    <x v="1"/>
    <n v="0"/>
    <x v="0"/>
    <x v="0"/>
    <d v="2025-06-30T00:00:00"/>
  </r>
  <r>
    <n v="383"/>
    <x v="127"/>
    <n v="2"/>
    <x v="0"/>
    <x v="1"/>
    <n v="29"/>
    <x v="2"/>
    <x v="1"/>
    <x v="0"/>
    <d v="2025-01-04T00:00:00"/>
    <x v="2"/>
    <s v="Sat"/>
    <s v="Jan–Jun 2025"/>
    <x v="1"/>
    <s v="Beginner"/>
    <n v="4"/>
    <n v="0.83333333333333337"/>
    <n v="75"/>
    <x v="1"/>
    <x v="1"/>
    <n v="0"/>
    <x v="0"/>
    <x v="0"/>
    <d v="2025-06-30T00:00:00"/>
  </r>
  <r>
    <n v="384"/>
    <x v="127"/>
    <n v="3"/>
    <x v="0"/>
    <x v="1"/>
    <n v="29"/>
    <x v="2"/>
    <x v="1"/>
    <x v="0"/>
    <d v="2025-01-04T00:00:00"/>
    <x v="2"/>
    <s v="Sat"/>
    <s v="Jan–Jun 2025"/>
    <x v="2"/>
    <s v="Beginner"/>
    <n v="4"/>
    <n v="0.85416666666666663"/>
    <n v="54.5"/>
    <x v="0"/>
    <x v="1"/>
    <n v="0"/>
    <x v="0"/>
    <x v="0"/>
    <d v="2025-06-30T00:00:00"/>
  </r>
  <r>
    <n v="385"/>
    <x v="128"/>
    <n v="1"/>
    <x v="0"/>
    <x v="1"/>
    <n v="33"/>
    <x v="1"/>
    <x v="1"/>
    <x v="3"/>
    <d v="2025-04-03T00:00:00"/>
    <x v="3"/>
    <s v="Thu"/>
    <s v="Jan–Jun 2025"/>
    <x v="0"/>
    <s v="Beginner"/>
    <n v="4"/>
    <n v="0.89583333333333337"/>
    <n v="87"/>
    <x v="2"/>
    <x v="0"/>
    <n v="1"/>
    <x v="0"/>
    <x v="1"/>
    <d v="2025-06-30T00:00:00"/>
  </r>
  <r>
    <n v="386"/>
    <x v="128"/>
    <n v="2"/>
    <x v="2"/>
    <x v="1"/>
    <n v="33"/>
    <x v="1"/>
    <x v="1"/>
    <x v="3"/>
    <d v="2025-04-03T00:00:00"/>
    <x v="3"/>
    <s v="Thu"/>
    <s v="Jan–Jun 2025"/>
    <x v="1"/>
    <s v="Beginner"/>
    <n v="4"/>
    <n v="0.8125"/>
    <n v="55"/>
    <x v="0"/>
    <x v="0"/>
    <n v="1"/>
    <x v="0"/>
    <x v="1"/>
    <d v="2025-06-30T00:00:00"/>
  </r>
  <r>
    <n v="387"/>
    <x v="128"/>
    <n v="3"/>
    <x v="0"/>
    <x v="1"/>
    <n v="33"/>
    <x v="1"/>
    <x v="1"/>
    <x v="3"/>
    <d v="2025-04-03T00:00:00"/>
    <x v="3"/>
    <s v="Thu"/>
    <s v="Jan–Jun 2025"/>
    <x v="2"/>
    <s v="Beginner"/>
    <n v="4"/>
    <n v="0.83333333333333337"/>
    <n v="81.5"/>
    <x v="2"/>
    <x v="0"/>
    <n v="1"/>
    <x v="0"/>
    <x v="1"/>
    <d v="2025-06-30T00:00:00"/>
  </r>
  <r>
    <n v="388"/>
    <x v="129"/>
    <n v="1"/>
    <x v="2"/>
    <x v="1"/>
    <n v="22"/>
    <x v="0"/>
    <x v="3"/>
    <x v="2"/>
    <d v="2025-05-14T00:00:00"/>
    <x v="1"/>
    <s v="Wed"/>
    <s v="Jan–Jun 2025"/>
    <x v="0"/>
    <s v="Beginner"/>
    <n v="4"/>
    <n v="0.875"/>
    <n v="66"/>
    <x v="1"/>
    <x v="1"/>
    <n v="0"/>
    <x v="0"/>
    <x v="0"/>
    <d v="2025-06-30T00:00:00"/>
  </r>
  <r>
    <n v="389"/>
    <x v="129"/>
    <n v="2"/>
    <x v="0"/>
    <x v="1"/>
    <n v="22"/>
    <x v="0"/>
    <x v="3"/>
    <x v="2"/>
    <d v="2025-05-14T00:00:00"/>
    <x v="1"/>
    <s v="Wed"/>
    <s v="Jan–Jun 2025"/>
    <x v="1"/>
    <s v="Beginner"/>
    <n v="4"/>
    <n v="0.77083333333333337"/>
    <n v="76"/>
    <x v="1"/>
    <x v="1"/>
    <n v="0"/>
    <x v="0"/>
    <x v="0"/>
    <d v="2025-06-30T00:00:00"/>
  </r>
  <r>
    <n v="390"/>
    <x v="129"/>
    <n v="3"/>
    <x v="0"/>
    <x v="1"/>
    <n v="22"/>
    <x v="0"/>
    <x v="3"/>
    <x v="2"/>
    <d v="2025-05-14T00:00:00"/>
    <x v="1"/>
    <s v="Wed"/>
    <s v="Jan–Jun 2025"/>
    <x v="2"/>
    <s v="Beginner"/>
    <n v="4"/>
    <n v="0.83333333333333337"/>
    <n v="51.5"/>
    <x v="0"/>
    <x v="1"/>
    <n v="0"/>
    <x v="0"/>
    <x v="0"/>
    <d v="2025-06-30T00:00:00"/>
  </r>
  <r>
    <n v="391"/>
    <x v="130"/>
    <n v="1"/>
    <x v="0"/>
    <x v="1"/>
    <n v="35"/>
    <x v="1"/>
    <x v="3"/>
    <x v="3"/>
    <d v="2025-04-22T00:00:00"/>
    <x v="3"/>
    <s v="Tue"/>
    <s v="Jan–Jun 2025"/>
    <x v="0"/>
    <s v="Beginner"/>
    <n v="4"/>
    <n v="0.79166666666666663"/>
    <n v="82"/>
    <x v="2"/>
    <x v="0"/>
    <n v="1"/>
    <x v="1"/>
    <x v="0"/>
    <d v="2025-06-30T00:00:00"/>
  </r>
  <r>
    <n v="392"/>
    <x v="130"/>
    <n v="2"/>
    <x v="0"/>
    <x v="1"/>
    <n v="35"/>
    <x v="1"/>
    <x v="3"/>
    <x v="3"/>
    <d v="2025-04-22T00:00:00"/>
    <x v="3"/>
    <s v="Tue"/>
    <s v="Jan–Jun 2025"/>
    <x v="1"/>
    <s v="Beginner"/>
    <n v="4"/>
    <n v="0.91666666666666663"/>
    <n v="90"/>
    <x v="2"/>
    <x v="0"/>
    <n v="1"/>
    <x v="1"/>
    <x v="0"/>
    <d v="2025-06-30T00:00:00"/>
  </r>
  <r>
    <n v="393"/>
    <x v="130"/>
    <n v="3"/>
    <x v="2"/>
    <x v="1"/>
    <n v="35"/>
    <x v="1"/>
    <x v="3"/>
    <x v="3"/>
    <d v="2025-04-22T00:00:00"/>
    <x v="3"/>
    <s v="Tue"/>
    <s v="Jan–Jun 2025"/>
    <x v="2"/>
    <s v="Beginner"/>
    <n v="4"/>
    <n v="0.875"/>
    <n v="74"/>
    <x v="1"/>
    <x v="0"/>
    <n v="1"/>
    <x v="1"/>
    <x v="0"/>
    <d v="2025-06-30T00:00:00"/>
  </r>
  <r>
    <n v="394"/>
    <x v="131"/>
    <n v="1"/>
    <x v="1"/>
    <x v="1"/>
    <n v="28"/>
    <x v="2"/>
    <x v="4"/>
    <x v="1"/>
    <d v="2025-03-13T00:00:00"/>
    <x v="0"/>
    <s v="Thu"/>
    <s v="Jan–Jun 2025"/>
    <x v="0"/>
    <s v="Beginner"/>
    <n v="4"/>
    <n v="0.875"/>
    <n v="69"/>
    <x v="1"/>
    <x v="0"/>
    <n v="1"/>
    <x v="1"/>
    <x v="1"/>
    <d v="2025-06-30T00:00:00"/>
  </r>
  <r>
    <n v="395"/>
    <x v="131"/>
    <n v="2"/>
    <x v="0"/>
    <x v="1"/>
    <n v="28"/>
    <x v="2"/>
    <x v="4"/>
    <x v="1"/>
    <d v="2025-03-13T00:00:00"/>
    <x v="0"/>
    <s v="Thu"/>
    <s v="Jan–Jun 2025"/>
    <x v="1"/>
    <s v="Beginner"/>
    <n v="4"/>
    <n v="0.875"/>
    <n v="60"/>
    <x v="1"/>
    <x v="0"/>
    <n v="1"/>
    <x v="1"/>
    <x v="1"/>
    <d v="2025-06-30T00:00:00"/>
  </r>
  <r>
    <n v="396"/>
    <x v="131"/>
    <n v="3"/>
    <x v="0"/>
    <x v="1"/>
    <n v="28"/>
    <x v="2"/>
    <x v="4"/>
    <x v="1"/>
    <d v="2025-03-13T00:00:00"/>
    <x v="0"/>
    <s v="Thu"/>
    <s v="Jan–Jun 2025"/>
    <x v="2"/>
    <s v="Beginner"/>
    <n v="4"/>
    <n v="0.85416666666666663"/>
    <n v="77"/>
    <x v="1"/>
    <x v="0"/>
    <n v="1"/>
    <x v="1"/>
    <x v="1"/>
    <d v="2025-06-30T00:00:00"/>
  </r>
  <r>
    <n v="397"/>
    <x v="132"/>
    <n v="1"/>
    <x v="0"/>
    <x v="1"/>
    <n v="25"/>
    <x v="2"/>
    <x v="3"/>
    <x v="3"/>
    <d v="2025-03-28T00:00:00"/>
    <x v="0"/>
    <s v="Fri"/>
    <s v="Jan–Jun 2025"/>
    <x v="0"/>
    <s v="Beginner"/>
    <n v="4"/>
    <n v="0.83333333333333337"/>
    <n v="80.5"/>
    <x v="2"/>
    <x v="0"/>
    <n v="1"/>
    <x v="1"/>
    <x v="0"/>
    <d v="2025-06-30T00:00:00"/>
  </r>
  <r>
    <n v="398"/>
    <x v="132"/>
    <n v="2"/>
    <x v="1"/>
    <x v="1"/>
    <n v="25"/>
    <x v="2"/>
    <x v="3"/>
    <x v="3"/>
    <d v="2025-03-28T00:00:00"/>
    <x v="0"/>
    <s v="Fri"/>
    <s v="Jan–Jun 2025"/>
    <x v="1"/>
    <s v="Beginner"/>
    <n v="4"/>
    <n v="0.75"/>
    <n v="77"/>
    <x v="1"/>
    <x v="0"/>
    <n v="1"/>
    <x v="1"/>
    <x v="0"/>
    <d v="2025-06-30T00:00:00"/>
  </r>
  <r>
    <n v="399"/>
    <x v="132"/>
    <n v="3"/>
    <x v="1"/>
    <x v="1"/>
    <n v="25"/>
    <x v="2"/>
    <x v="3"/>
    <x v="3"/>
    <d v="2025-03-28T00:00:00"/>
    <x v="0"/>
    <s v="Fri"/>
    <s v="Jan–Jun 2025"/>
    <x v="2"/>
    <s v="Beginner"/>
    <n v="4"/>
    <n v="0.85416666666666663"/>
    <n v="60.5"/>
    <x v="1"/>
    <x v="0"/>
    <n v="1"/>
    <x v="1"/>
    <x v="0"/>
    <d v="2025-06-30T00:00:00"/>
  </r>
  <r>
    <n v="400"/>
    <x v="133"/>
    <n v="1"/>
    <x v="0"/>
    <x v="0"/>
    <n v="33"/>
    <x v="1"/>
    <x v="5"/>
    <x v="2"/>
    <d v="2025-05-05T00:00:00"/>
    <x v="1"/>
    <s v="Mon"/>
    <s v="Jan–Jun 2025"/>
    <x v="0"/>
    <s v="Beginner"/>
    <n v="4"/>
    <n v="0.79166666666666663"/>
    <n v="64"/>
    <x v="1"/>
    <x v="0"/>
    <n v="1"/>
    <x v="0"/>
    <x v="0"/>
    <d v="2025-06-30T00:00:00"/>
  </r>
  <r>
    <n v="401"/>
    <x v="133"/>
    <n v="2"/>
    <x v="0"/>
    <x v="0"/>
    <n v="33"/>
    <x v="1"/>
    <x v="5"/>
    <x v="2"/>
    <d v="2025-05-05T00:00:00"/>
    <x v="1"/>
    <s v="Mon"/>
    <s v="Jan–Jun 2025"/>
    <x v="1"/>
    <s v="Beginner"/>
    <n v="4"/>
    <n v="0.77083333333333337"/>
    <n v="63.5"/>
    <x v="1"/>
    <x v="0"/>
    <n v="1"/>
    <x v="0"/>
    <x v="0"/>
    <d v="2025-06-30T00:00:00"/>
  </r>
  <r>
    <n v="402"/>
    <x v="133"/>
    <n v="3"/>
    <x v="1"/>
    <x v="0"/>
    <n v="33"/>
    <x v="1"/>
    <x v="5"/>
    <x v="2"/>
    <d v="2025-05-05T00:00:00"/>
    <x v="1"/>
    <s v="Mon"/>
    <s v="Jan–Jun 2025"/>
    <x v="2"/>
    <s v="Beginner"/>
    <n v="4"/>
    <n v="0.83333333333333337"/>
    <n v="66"/>
    <x v="1"/>
    <x v="0"/>
    <n v="1"/>
    <x v="0"/>
    <x v="0"/>
    <d v="2025-06-30T00:00:00"/>
  </r>
  <r>
    <n v="403"/>
    <x v="134"/>
    <n v="1"/>
    <x v="0"/>
    <x v="0"/>
    <n v="29"/>
    <x v="2"/>
    <x v="5"/>
    <x v="0"/>
    <d v="2025-03-13T00:00:00"/>
    <x v="0"/>
    <s v="Thu"/>
    <s v="Jan–Jun 2025"/>
    <x v="0"/>
    <s v="Beginner"/>
    <n v="4"/>
    <n v="0.9375"/>
    <n v="59"/>
    <x v="0"/>
    <x v="0"/>
    <n v="1"/>
    <x v="1"/>
    <x v="0"/>
    <d v="2025-06-30T00:00:00"/>
  </r>
  <r>
    <n v="404"/>
    <x v="134"/>
    <n v="2"/>
    <x v="1"/>
    <x v="0"/>
    <n v="29"/>
    <x v="2"/>
    <x v="5"/>
    <x v="0"/>
    <d v="2025-03-13T00:00:00"/>
    <x v="0"/>
    <s v="Thu"/>
    <s v="Jan–Jun 2025"/>
    <x v="1"/>
    <s v="Beginner"/>
    <n v="4"/>
    <n v="0.83333333333333337"/>
    <n v="70"/>
    <x v="1"/>
    <x v="0"/>
    <n v="1"/>
    <x v="1"/>
    <x v="0"/>
    <d v="2025-06-30T00:00:00"/>
  </r>
  <r>
    <n v="405"/>
    <x v="134"/>
    <n v="3"/>
    <x v="0"/>
    <x v="0"/>
    <n v="29"/>
    <x v="2"/>
    <x v="5"/>
    <x v="0"/>
    <d v="2025-03-13T00:00:00"/>
    <x v="0"/>
    <s v="Thu"/>
    <s v="Jan–Jun 2025"/>
    <x v="2"/>
    <s v="Beginner"/>
    <n v="4"/>
    <n v="0.91666666666666663"/>
    <n v="54.5"/>
    <x v="0"/>
    <x v="0"/>
    <n v="1"/>
    <x v="1"/>
    <x v="0"/>
    <d v="2025-06-30T00:00:00"/>
  </r>
  <r>
    <n v="406"/>
    <x v="135"/>
    <n v="1"/>
    <x v="2"/>
    <x v="1"/>
    <n v="35"/>
    <x v="1"/>
    <x v="1"/>
    <x v="2"/>
    <d v="2025-01-22T00:00:00"/>
    <x v="2"/>
    <s v="Wed"/>
    <s v="Jan–Jun 2025"/>
    <x v="0"/>
    <s v="Beginner"/>
    <n v="4"/>
    <n v="0.83333333333333337"/>
    <n v="73"/>
    <x v="1"/>
    <x v="1"/>
    <n v="0"/>
    <x v="0"/>
    <x v="0"/>
    <d v="2025-06-30T00:00:00"/>
  </r>
  <r>
    <n v="407"/>
    <x v="135"/>
    <n v="2"/>
    <x v="2"/>
    <x v="1"/>
    <n v="35"/>
    <x v="1"/>
    <x v="1"/>
    <x v="2"/>
    <d v="2025-01-22T00:00:00"/>
    <x v="2"/>
    <s v="Wed"/>
    <s v="Jan–Jun 2025"/>
    <x v="1"/>
    <s v="Beginner"/>
    <n v="4"/>
    <n v="0.83333333333333337"/>
    <n v="70"/>
    <x v="1"/>
    <x v="1"/>
    <n v="0"/>
    <x v="0"/>
    <x v="0"/>
    <d v="2025-06-30T00:00:00"/>
  </r>
  <r>
    <n v="408"/>
    <x v="135"/>
    <n v="3"/>
    <x v="0"/>
    <x v="1"/>
    <n v="35"/>
    <x v="1"/>
    <x v="1"/>
    <x v="2"/>
    <d v="2025-01-22T00:00:00"/>
    <x v="2"/>
    <s v="Wed"/>
    <s v="Jan–Jun 2025"/>
    <x v="2"/>
    <s v="Beginner"/>
    <n v="4"/>
    <n v="0.8125"/>
    <n v="51"/>
    <x v="0"/>
    <x v="1"/>
    <n v="0"/>
    <x v="0"/>
    <x v="0"/>
    <d v="2025-06-30T00:00:00"/>
  </r>
  <r>
    <n v="409"/>
    <x v="136"/>
    <n v="1"/>
    <x v="0"/>
    <x v="0"/>
    <n v="31"/>
    <x v="1"/>
    <x v="3"/>
    <x v="2"/>
    <d v="2025-05-02T00:00:00"/>
    <x v="1"/>
    <s v="Fri"/>
    <s v="Jan–Jun 2025"/>
    <x v="0"/>
    <s v="Beginner"/>
    <n v="4"/>
    <n v="0.89583333333333337"/>
    <n v="64"/>
    <x v="1"/>
    <x v="0"/>
    <n v="1"/>
    <x v="0"/>
    <x v="0"/>
    <d v="2025-06-30T00:00:00"/>
  </r>
  <r>
    <n v="410"/>
    <x v="136"/>
    <n v="2"/>
    <x v="0"/>
    <x v="0"/>
    <n v="31"/>
    <x v="1"/>
    <x v="3"/>
    <x v="2"/>
    <d v="2025-05-02T00:00:00"/>
    <x v="1"/>
    <s v="Fri"/>
    <s v="Jan–Jun 2025"/>
    <x v="1"/>
    <s v="Beginner"/>
    <n v="4"/>
    <n v="0.75"/>
    <n v="74"/>
    <x v="1"/>
    <x v="0"/>
    <n v="1"/>
    <x v="0"/>
    <x v="0"/>
    <d v="2025-06-30T00:00:00"/>
  </r>
  <r>
    <n v="411"/>
    <x v="136"/>
    <n v="3"/>
    <x v="0"/>
    <x v="0"/>
    <n v="31"/>
    <x v="1"/>
    <x v="3"/>
    <x v="2"/>
    <d v="2025-05-02T00:00:00"/>
    <x v="1"/>
    <s v="Fri"/>
    <s v="Jan–Jun 2025"/>
    <x v="2"/>
    <s v="Beginner"/>
    <n v="4"/>
    <n v="0.8125"/>
    <n v="61"/>
    <x v="1"/>
    <x v="0"/>
    <n v="1"/>
    <x v="0"/>
    <x v="0"/>
    <d v="2025-06-30T00:00:00"/>
  </r>
  <r>
    <n v="412"/>
    <x v="137"/>
    <n v="1"/>
    <x v="2"/>
    <x v="1"/>
    <n v="32"/>
    <x v="1"/>
    <x v="1"/>
    <x v="1"/>
    <d v="2025-03-17T00:00:00"/>
    <x v="0"/>
    <s v="Mon"/>
    <s v="Jan–Jun 2025"/>
    <x v="0"/>
    <s v="Beginner"/>
    <n v="4"/>
    <n v="0.83333333333333337"/>
    <n v="77.5"/>
    <x v="1"/>
    <x v="1"/>
    <n v="0"/>
    <x v="0"/>
    <x v="0"/>
    <d v="2025-06-30T00:00:00"/>
  </r>
  <r>
    <n v="413"/>
    <x v="137"/>
    <n v="2"/>
    <x v="0"/>
    <x v="1"/>
    <n v="32"/>
    <x v="1"/>
    <x v="1"/>
    <x v="1"/>
    <d v="2025-03-17T00:00:00"/>
    <x v="0"/>
    <s v="Mon"/>
    <s v="Jan–Jun 2025"/>
    <x v="1"/>
    <s v="Beginner"/>
    <n v="4"/>
    <n v="0.77083333333333337"/>
    <n v="59"/>
    <x v="0"/>
    <x v="1"/>
    <n v="0"/>
    <x v="0"/>
    <x v="0"/>
    <d v="2025-06-30T00:00:00"/>
  </r>
  <r>
    <n v="414"/>
    <x v="137"/>
    <n v="3"/>
    <x v="1"/>
    <x v="1"/>
    <n v="32"/>
    <x v="1"/>
    <x v="1"/>
    <x v="1"/>
    <d v="2025-03-17T00:00:00"/>
    <x v="0"/>
    <s v="Mon"/>
    <s v="Jan–Jun 2025"/>
    <x v="2"/>
    <s v="Beginner"/>
    <n v="4"/>
    <n v="0.83333333333333337"/>
    <n v="69.5"/>
    <x v="1"/>
    <x v="1"/>
    <n v="0"/>
    <x v="0"/>
    <x v="0"/>
    <d v="2025-06-30T00:00:00"/>
  </r>
  <r>
    <n v="415"/>
    <x v="138"/>
    <n v="1"/>
    <x v="0"/>
    <x v="0"/>
    <n v="30"/>
    <x v="1"/>
    <x v="0"/>
    <x v="2"/>
    <d v="2025-03-20T00:00:00"/>
    <x v="0"/>
    <s v="Thu"/>
    <s v="Jan–Jun 2025"/>
    <x v="0"/>
    <s v="Beginner"/>
    <n v="4"/>
    <n v="0.83333333333333337"/>
    <n v="86"/>
    <x v="2"/>
    <x v="0"/>
    <n v="1"/>
    <x v="0"/>
    <x v="0"/>
    <d v="2025-06-30T00:00:00"/>
  </r>
  <r>
    <n v="416"/>
    <x v="138"/>
    <n v="2"/>
    <x v="2"/>
    <x v="0"/>
    <n v="30"/>
    <x v="1"/>
    <x v="0"/>
    <x v="2"/>
    <d v="2025-03-20T00:00:00"/>
    <x v="0"/>
    <s v="Thu"/>
    <s v="Jan–Jun 2025"/>
    <x v="1"/>
    <s v="Beginner"/>
    <n v="4"/>
    <n v="0.89583333333333337"/>
    <n v="73"/>
    <x v="1"/>
    <x v="0"/>
    <n v="1"/>
    <x v="0"/>
    <x v="0"/>
    <d v="2025-06-30T00:00:00"/>
  </r>
  <r>
    <n v="417"/>
    <x v="138"/>
    <n v="3"/>
    <x v="0"/>
    <x v="0"/>
    <n v="30"/>
    <x v="1"/>
    <x v="0"/>
    <x v="2"/>
    <d v="2025-03-20T00:00:00"/>
    <x v="0"/>
    <s v="Thu"/>
    <s v="Jan–Jun 2025"/>
    <x v="2"/>
    <s v="Beginner"/>
    <n v="4"/>
    <n v="0.83333333333333337"/>
    <n v="64.5"/>
    <x v="1"/>
    <x v="0"/>
    <n v="1"/>
    <x v="0"/>
    <x v="0"/>
    <d v="2025-06-30T00:00:00"/>
  </r>
  <r>
    <n v="418"/>
    <x v="139"/>
    <n v="1"/>
    <x v="1"/>
    <x v="1"/>
    <n v="33"/>
    <x v="1"/>
    <x v="2"/>
    <x v="0"/>
    <d v="2025-04-19T00:00:00"/>
    <x v="3"/>
    <s v="Sat"/>
    <s v="Jan–Jun 2025"/>
    <x v="0"/>
    <s v="Beginner"/>
    <n v="4"/>
    <n v="0.89583333333333337"/>
    <n v="79.5"/>
    <x v="2"/>
    <x v="0"/>
    <n v="1"/>
    <x v="1"/>
    <x v="1"/>
    <d v="2025-06-30T00:00:00"/>
  </r>
  <r>
    <n v="419"/>
    <x v="139"/>
    <n v="2"/>
    <x v="2"/>
    <x v="1"/>
    <n v="33"/>
    <x v="1"/>
    <x v="2"/>
    <x v="0"/>
    <d v="2025-04-19T00:00:00"/>
    <x v="3"/>
    <s v="Sat"/>
    <s v="Jan–Jun 2025"/>
    <x v="1"/>
    <s v="Beginner"/>
    <n v="4"/>
    <n v="0.875"/>
    <n v="68.5"/>
    <x v="1"/>
    <x v="0"/>
    <n v="1"/>
    <x v="1"/>
    <x v="1"/>
    <d v="2025-06-30T00:00:00"/>
  </r>
  <r>
    <n v="420"/>
    <x v="139"/>
    <n v="3"/>
    <x v="0"/>
    <x v="1"/>
    <n v="33"/>
    <x v="1"/>
    <x v="2"/>
    <x v="0"/>
    <d v="2025-04-19T00:00:00"/>
    <x v="3"/>
    <s v="Sat"/>
    <s v="Jan–Jun 2025"/>
    <x v="2"/>
    <s v="Beginner"/>
    <n v="4"/>
    <n v="0.875"/>
    <n v="88"/>
    <x v="2"/>
    <x v="0"/>
    <n v="1"/>
    <x v="1"/>
    <x v="1"/>
    <d v="2025-06-30T00:00:00"/>
  </r>
  <r>
    <n v="421"/>
    <x v="140"/>
    <n v="1"/>
    <x v="1"/>
    <x v="1"/>
    <n v="29"/>
    <x v="2"/>
    <x v="0"/>
    <x v="3"/>
    <d v="2025-03-11T00:00:00"/>
    <x v="0"/>
    <s v="Tue"/>
    <s v="Jan–Jun 2025"/>
    <x v="0"/>
    <s v="Beginner"/>
    <n v="4"/>
    <n v="0.89583333333333337"/>
    <n v="80.5"/>
    <x v="2"/>
    <x v="0"/>
    <n v="1"/>
    <x v="0"/>
    <x v="0"/>
    <d v="2025-06-30T00:00:00"/>
  </r>
  <r>
    <n v="422"/>
    <x v="140"/>
    <n v="2"/>
    <x v="0"/>
    <x v="1"/>
    <n v="29"/>
    <x v="2"/>
    <x v="0"/>
    <x v="3"/>
    <d v="2025-03-11T00:00:00"/>
    <x v="0"/>
    <s v="Tue"/>
    <s v="Jan–Jun 2025"/>
    <x v="1"/>
    <s v="Beginner"/>
    <n v="4"/>
    <n v="0.79166666666666663"/>
    <n v="59.5"/>
    <x v="0"/>
    <x v="0"/>
    <n v="1"/>
    <x v="0"/>
    <x v="0"/>
    <d v="2025-06-30T00:00:00"/>
  </r>
  <r>
    <n v="423"/>
    <x v="140"/>
    <n v="3"/>
    <x v="0"/>
    <x v="1"/>
    <n v="29"/>
    <x v="2"/>
    <x v="0"/>
    <x v="3"/>
    <d v="2025-03-11T00:00:00"/>
    <x v="0"/>
    <s v="Tue"/>
    <s v="Jan–Jun 2025"/>
    <x v="2"/>
    <s v="Beginner"/>
    <n v="4"/>
    <n v="0.75"/>
    <n v="88"/>
    <x v="2"/>
    <x v="0"/>
    <n v="1"/>
    <x v="0"/>
    <x v="0"/>
    <d v="2025-06-30T00:00:00"/>
  </r>
  <r>
    <n v="424"/>
    <x v="141"/>
    <n v="1"/>
    <x v="2"/>
    <x v="1"/>
    <n v="26"/>
    <x v="2"/>
    <x v="4"/>
    <x v="1"/>
    <d v="2025-02-19T00:00:00"/>
    <x v="4"/>
    <s v="Wed"/>
    <s v="Jan–Jun 2025"/>
    <x v="0"/>
    <s v="Beginner"/>
    <n v="4"/>
    <n v="0.89583333333333337"/>
    <n v="77.5"/>
    <x v="1"/>
    <x v="0"/>
    <n v="1"/>
    <x v="0"/>
    <x v="0"/>
    <d v="2025-06-30T00:00:00"/>
  </r>
  <r>
    <n v="425"/>
    <x v="141"/>
    <n v="2"/>
    <x v="0"/>
    <x v="1"/>
    <n v="26"/>
    <x v="2"/>
    <x v="4"/>
    <x v="1"/>
    <d v="2025-02-19T00:00:00"/>
    <x v="4"/>
    <s v="Wed"/>
    <s v="Jan–Jun 2025"/>
    <x v="1"/>
    <s v="Beginner"/>
    <n v="4"/>
    <n v="0.8125"/>
    <n v="61.5"/>
    <x v="1"/>
    <x v="0"/>
    <n v="1"/>
    <x v="0"/>
    <x v="0"/>
    <d v="2025-06-30T00:00:00"/>
  </r>
  <r>
    <n v="426"/>
    <x v="141"/>
    <n v="3"/>
    <x v="2"/>
    <x v="1"/>
    <n v="26"/>
    <x v="2"/>
    <x v="4"/>
    <x v="1"/>
    <d v="2025-02-19T00:00:00"/>
    <x v="4"/>
    <s v="Wed"/>
    <s v="Jan–Jun 2025"/>
    <x v="2"/>
    <s v="Beginner"/>
    <n v="4"/>
    <n v="0.85416666666666663"/>
    <n v="79.5"/>
    <x v="2"/>
    <x v="0"/>
    <n v="1"/>
    <x v="0"/>
    <x v="0"/>
    <d v="2025-06-30T00:00:00"/>
  </r>
  <r>
    <n v="427"/>
    <x v="142"/>
    <n v="1"/>
    <x v="1"/>
    <x v="1"/>
    <n v="21"/>
    <x v="0"/>
    <x v="0"/>
    <x v="2"/>
    <d v="2025-02-19T00:00:00"/>
    <x v="4"/>
    <s v="Wed"/>
    <s v="Jan–Jun 2025"/>
    <x v="0"/>
    <s v="Beginner"/>
    <n v="4"/>
    <n v="0.91666666666666663"/>
    <n v="71.5"/>
    <x v="1"/>
    <x v="1"/>
    <n v="0"/>
    <x v="0"/>
    <x v="0"/>
    <d v="2025-06-30T00:00:00"/>
  </r>
  <r>
    <n v="428"/>
    <x v="142"/>
    <n v="2"/>
    <x v="0"/>
    <x v="1"/>
    <n v="21"/>
    <x v="0"/>
    <x v="0"/>
    <x v="2"/>
    <d v="2025-02-19T00:00:00"/>
    <x v="4"/>
    <s v="Wed"/>
    <s v="Jan–Jun 2025"/>
    <x v="1"/>
    <s v="Beginner"/>
    <n v="4"/>
    <n v="0.77083333333333337"/>
    <n v="63.5"/>
    <x v="1"/>
    <x v="1"/>
    <n v="0"/>
    <x v="0"/>
    <x v="0"/>
    <d v="2025-06-30T00:00:00"/>
  </r>
  <r>
    <n v="429"/>
    <x v="142"/>
    <n v="3"/>
    <x v="2"/>
    <x v="1"/>
    <n v="21"/>
    <x v="0"/>
    <x v="0"/>
    <x v="2"/>
    <d v="2025-02-19T00:00:00"/>
    <x v="4"/>
    <s v="Wed"/>
    <s v="Jan–Jun 2025"/>
    <x v="2"/>
    <s v="Beginner"/>
    <n v="4"/>
    <n v="0.85416666666666663"/>
    <n v="51"/>
    <x v="0"/>
    <x v="1"/>
    <n v="0"/>
    <x v="0"/>
    <x v="0"/>
    <d v="2025-06-30T00:00:00"/>
  </r>
  <r>
    <n v="430"/>
    <x v="143"/>
    <n v="1"/>
    <x v="0"/>
    <x v="0"/>
    <n v="33"/>
    <x v="1"/>
    <x v="5"/>
    <x v="0"/>
    <d v="2025-01-26T00:00:00"/>
    <x v="2"/>
    <s v="Sun"/>
    <s v="Jan–Jun 2025"/>
    <x v="0"/>
    <s v="Beginner"/>
    <n v="4"/>
    <n v="0.8125"/>
    <n v="53.5"/>
    <x v="0"/>
    <x v="0"/>
    <n v="1"/>
    <x v="1"/>
    <x v="1"/>
    <d v="2025-06-30T00:00:00"/>
  </r>
  <r>
    <n v="431"/>
    <x v="143"/>
    <n v="2"/>
    <x v="0"/>
    <x v="0"/>
    <n v="33"/>
    <x v="1"/>
    <x v="5"/>
    <x v="0"/>
    <d v="2025-01-26T00:00:00"/>
    <x v="2"/>
    <s v="Sun"/>
    <s v="Jan–Jun 2025"/>
    <x v="1"/>
    <s v="Beginner"/>
    <n v="4"/>
    <n v="0.8125"/>
    <n v="63"/>
    <x v="1"/>
    <x v="0"/>
    <n v="1"/>
    <x v="1"/>
    <x v="1"/>
    <d v="2025-06-30T00:00:00"/>
  </r>
  <r>
    <n v="432"/>
    <x v="143"/>
    <n v="3"/>
    <x v="1"/>
    <x v="0"/>
    <n v="33"/>
    <x v="1"/>
    <x v="5"/>
    <x v="0"/>
    <d v="2025-01-26T00:00:00"/>
    <x v="2"/>
    <s v="Sun"/>
    <s v="Jan–Jun 2025"/>
    <x v="2"/>
    <s v="Beginner"/>
    <n v="4"/>
    <n v="0.79166666666666663"/>
    <n v="79"/>
    <x v="2"/>
    <x v="0"/>
    <n v="1"/>
    <x v="1"/>
    <x v="1"/>
    <d v="2025-06-30T00:00:00"/>
  </r>
  <r>
    <n v="433"/>
    <x v="144"/>
    <n v="1"/>
    <x v="0"/>
    <x v="0"/>
    <n v="27"/>
    <x v="2"/>
    <x v="4"/>
    <x v="0"/>
    <d v="2025-02-15T00:00:00"/>
    <x v="4"/>
    <s v="Sat"/>
    <s v="Jan–Jun 2025"/>
    <x v="0"/>
    <s v="Beginner"/>
    <n v="4"/>
    <n v="0.85416666666666663"/>
    <n v="65"/>
    <x v="1"/>
    <x v="0"/>
    <n v="1"/>
    <x v="1"/>
    <x v="1"/>
    <d v="2025-06-30T00:00:00"/>
  </r>
  <r>
    <n v="434"/>
    <x v="144"/>
    <n v="2"/>
    <x v="0"/>
    <x v="0"/>
    <n v="27"/>
    <x v="2"/>
    <x v="4"/>
    <x v="0"/>
    <d v="2025-02-15T00:00:00"/>
    <x v="4"/>
    <s v="Sat"/>
    <s v="Jan–Jun 2025"/>
    <x v="1"/>
    <s v="Beginner"/>
    <n v="4"/>
    <n v="0.89583333333333337"/>
    <n v="48.5"/>
    <x v="0"/>
    <x v="0"/>
    <n v="1"/>
    <x v="1"/>
    <x v="1"/>
    <d v="2025-06-30T00:00:00"/>
  </r>
  <r>
    <n v="435"/>
    <x v="144"/>
    <n v="3"/>
    <x v="1"/>
    <x v="0"/>
    <n v="27"/>
    <x v="2"/>
    <x v="4"/>
    <x v="0"/>
    <d v="2025-02-15T00:00:00"/>
    <x v="4"/>
    <s v="Sat"/>
    <s v="Jan–Jun 2025"/>
    <x v="2"/>
    <s v="Beginner"/>
    <n v="4"/>
    <n v="0.72916666666666663"/>
    <n v="57"/>
    <x v="0"/>
    <x v="0"/>
    <n v="1"/>
    <x v="1"/>
    <x v="1"/>
    <d v="2025-06-30T00:00:00"/>
  </r>
  <r>
    <n v="436"/>
    <x v="145"/>
    <n v="1"/>
    <x v="0"/>
    <x v="1"/>
    <n v="18"/>
    <x v="0"/>
    <x v="0"/>
    <x v="2"/>
    <d v="2025-03-12T00:00:00"/>
    <x v="0"/>
    <s v="Wed"/>
    <s v="Jan–Jun 2025"/>
    <x v="0"/>
    <s v="Beginner"/>
    <n v="4"/>
    <n v="0.83333333333333337"/>
    <n v="73.5"/>
    <x v="1"/>
    <x v="0"/>
    <n v="1"/>
    <x v="0"/>
    <x v="0"/>
    <d v="2025-06-30T00:00:00"/>
  </r>
  <r>
    <n v="437"/>
    <x v="145"/>
    <n v="2"/>
    <x v="0"/>
    <x v="1"/>
    <n v="18"/>
    <x v="0"/>
    <x v="0"/>
    <x v="2"/>
    <d v="2025-03-12T00:00:00"/>
    <x v="0"/>
    <s v="Wed"/>
    <s v="Jan–Jun 2025"/>
    <x v="1"/>
    <s v="Beginner"/>
    <n v="4"/>
    <n v="0.85416666666666663"/>
    <n v="71.5"/>
    <x v="1"/>
    <x v="0"/>
    <n v="1"/>
    <x v="0"/>
    <x v="0"/>
    <d v="2025-06-30T00:00:00"/>
  </r>
  <r>
    <n v="438"/>
    <x v="145"/>
    <n v="3"/>
    <x v="0"/>
    <x v="1"/>
    <n v="18"/>
    <x v="0"/>
    <x v="0"/>
    <x v="2"/>
    <d v="2025-03-12T00:00:00"/>
    <x v="0"/>
    <s v="Wed"/>
    <s v="Jan–Jun 2025"/>
    <x v="2"/>
    <s v="Beginner"/>
    <n v="4"/>
    <n v="0.85416666666666663"/>
    <n v="65"/>
    <x v="1"/>
    <x v="0"/>
    <n v="1"/>
    <x v="0"/>
    <x v="0"/>
    <d v="2025-06-30T00:00:00"/>
  </r>
  <r>
    <n v="439"/>
    <x v="146"/>
    <n v="1"/>
    <x v="0"/>
    <x v="0"/>
    <n v="19"/>
    <x v="0"/>
    <x v="2"/>
    <x v="0"/>
    <d v="2025-02-02T00:00:00"/>
    <x v="4"/>
    <s v="Sun"/>
    <s v="Jan–Jun 2025"/>
    <x v="0"/>
    <s v="Beginner"/>
    <n v="4"/>
    <n v="0.875"/>
    <n v="54.5"/>
    <x v="0"/>
    <x v="0"/>
    <n v="1"/>
    <x v="1"/>
    <x v="0"/>
    <d v="2025-06-30T00:00:00"/>
  </r>
  <r>
    <n v="440"/>
    <x v="146"/>
    <n v="2"/>
    <x v="0"/>
    <x v="0"/>
    <n v="19"/>
    <x v="0"/>
    <x v="2"/>
    <x v="0"/>
    <d v="2025-02-02T00:00:00"/>
    <x v="4"/>
    <s v="Sun"/>
    <s v="Jan–Jun 2025"/>
    <x v="1"/>
    <s v="Beginner"/>
    <n v="4"/>
    <n v="0.85416666666666663"/>
    <n v="80.5"/>
    <x v="2"/>
    <x v="0"/>
    <n v="1"/>
    <x v="1"/>
    <x v="0"/>
    <d v="2025-06-30T00:00:00"/>
  </r>
  <r>
    <n v="441"/>
    <x v="146"/>
    <n v="3"/>
    <x v="2"/>
    <x v="0"/>
    <n v="19"/>
    <x v="0"/>
    <x v="2"/>
    <x v="0"/>
    <d v="2025-02-02T00:00:00"/>
    <x v="4"/>
    <s v="Sun"/>
    <s v="Jan–Jun 2025"/>
    <x v="2"/>
    <s v="Beginner"/>
    <n v="4"/>
    <n v="0.83333333333333337"/>
    <n v="73.5"/>
    <x v="1"/>
    <x v="0"/>
    <n v="1"/>
    <x v="1"/>
    <x v="0"/>
    <d v="2025-06-30T00:00:00"/>
  </r>
  <r>
    <n v="442"/>
    <x v="147"/>
    <n v="1"/>
    <x v="2"/>
    <x v="1"/>
    <n v="21"/>
    <x v="0"/>
    <x v="1"/>
    <x v="0"/>
    <d v="2025-05-01T00:00:00"/>
    <x v="1"/>
    <s v="Thu"/>
    <s v="Jan–Jun 2025"/>
    <x v="0"/>
    <s v="Beginner"/>
    <n v="4"/>
    <n v="0.85416666666666663"/>
    <n v="68.5"/>
    <x v="1"/>
    <x v="0"/>
    <n v="1"/>
    <x v="0"/>
    <x v="1"/>
    <d v="2025-06-30T00:00:00"/>
  </r>
  <r>
    <n v="443"/>
    <x v="147"/>
    <n v="2"/>
    <x v="0"/>
    <x v="1"/>
    <n v="21"/>
    <x v="0"/>
    <x v="1"/>
    <x v="0"/>
    <d v="2025-05-01T00:00:00"/>
    <x v="1"/>
    <s v="Thu"/>
    <s v="Jan–Jun 2025"/>
    <x v="1"/>
    <s v="Beginner"/>
    <n v="4"/>
    <n v="0.95833333333333337"/>
    <n v="84"/>
    <x v="2"/>
    <x v="0"/>
    <n v="1"/>
    <x v="0"/>
    <x v="1"/>
    <d v="2025-06-30T00:00:00"/>
  </r>
  <r>
    <n v="444"/>
    <x v="147"/>
    <n v="3"/>
    <x v="0"/>
    <x v="1"/>
    <n v="21"/>
    <x v="0"/>
    <x v="1"/>
    <x v="0"/>
    <d v="2025-05-01T00:00:00"/>
    <x v="1"/>
    <s v="Thu"/>
    <s v="Jan–Jun 2025"/>
    <x v="2"/>
    <s v="Beginner"/>
    <n v="4"/>
    <n v="0.9375"/>
    <n v="74"/>
    <x v="1"/>
    <x v="0"/>
    <n v="1"/>
    <x v="0"/>
    <x v="1"/>
    <d v="2025-06-30T00:00:00"/>
  </r>
  <r>
    <n v="445"/>
    <x v="148"/>
    <n v="1"/>
    <x v="2"/>
    <x v="1"/>
    <n v="32"/>
    <x v="1"/>
    <x v="5"/>
    <x v="2"/>
    <d v="2025-01-14T00:00:00"/>
    <x v="2"/>
    <s v="Tue"/>
    <s v="Jan–Jun 2025"/>
    <x v="0"/>
    <s v="Beginner"/>
    <n v="4"/>
    <n v="0.9375"/>
    <n v="54.5"/>
    <x v="0"/>
    <x v="1"/>
    <n v="0"/>
    <x v="0"/>
    <x v="0"/>
    <d v="2025-06-30T00:00:00"/>
  </r>
  <r>
    <n v="446"/>
    <x v="148"/>
    <n v="2"/>
    <x v="0"/>
    <x v="1"/>
    <n v="32"/>
    <x v="1"/>
    <x v="5"/>
    <x v="2"/>
    <d v="2025-01-14T00:00:00"/>
    <x v="2"/>
    <s v="Tue"/>
    <s v="Jan–Jun 2025"/>
    <x v="1"/>
    <s v="Beginner"/>
    <n v="4"/>
    <n v="0.89583333333333337"/>
    <n v="81"/>
    <x v="2"/>
    <x v="1"/>
    <n v="0"/>
    <x v="0"/>
    <x v="0"/>
    <d v="2025-06-30T00:00:00"/>
  </r>
  <r>
    <n v="447"/>
    <x v="148"/>
    <n v="3"/>
    <x v="2"/>
    <x v="1"/>
    <n v="32"/>
    <x v="1"/>
    <x v="5"/>
    <x v="2"/>
    <d v="2025-01-14T00:00:00"/>
    <x v="2"/>
    <s v="Tue"/>
    <s v="Jan–Jun 2025"/>
    <x v="2"/>
    <s v="Beginner"/>
    <n v="4"/>
    <n v="0.85416666666666663"/>
    <n v="68.5"/>
    <x v="1"/>
    <x v="1"/>
    <n v="0"/>
    <x v="0"/>
    <x v="0"/>
    <d v="2025-06-30T00:00:00"/>
  </r>
  <r>
    <n v="448"/>
    <x v="149"/>
    <n v="1"/>
    <x v="0"/>
    <x v="1"/>
    <n v="33"/>
    <x v="1"/>
    <x v="1"/>
    <x v="1"/>
    <d v="2025-04-13T00:00:00"/>
    <x v="3"/>
    <s v="Sun"/>
    <s v="Jan–Jun 2025"/>
    <x v="0"/>
    <s v="Beginner"/>
    <n v="4"/>
    <n v="0.8125"/>
    <n v="64"/>
    <x v="1"/>
    <x v="1"/>
    <n v="0"/>
    <x v="0"/>
    <x v="0"/>
    <d v="2025-06-30T00:00:00"/>
  </r>
  <r>
    <n v="449"/>
    <x v="149"/>
    <n v="2"/>
    <x v="0"/>
    <x v="1"/>
    <n v="33"/>
    <x v="1"/>
    <x v="1"/>
    <x v="1"/>
    <d v="2025-04-13T00:00:00"/>
    <x v="3"/>
    <s v="Sun"/>
    <s v="Jan–Jun 2025"/>
    <x v="1"/>
    <s v="Beginner"/>
    <n v="4"/>
    <n v="0.83333333333333337"/>
    <n v="78"/>
    <x v="1"/>
    <x v="1"/>
    <n v="0"/>
    <x v="0"/>
    <x v="0"/>
    <d v="2025-06-30T00:00:00"/>
  </r>
  <r>
    <n v="450"/>
    <x v="149"/>
    <n v="3"/>
    <x v="0"/>
    <x v="1"/>
    <n v="33"/>
    <x v="1"/>
    <x v="1"/>
    <x v="1"/>
    <d v="2025-04-13T00:00:00"/>
    <x v="3"/>
    <s v="Sun"/>
    <s v="Jan–Jun 2025"/>
    <x v="2"/>
    <s v="Beginner"/>
    <n v="4"/>
    <n v="0.83333333333333337"/>
    <n v="78.5"/>
    <x v="1"/>
    <x v="1"/>
    <n v="0"/>
    <x v="0"/>
    <x v="0"/>
    <d v="2025-06-30T00:00:00"/>
  </r>
  <r>
    <n v="451"/>
    <x v="150"/>
    <n v="1"/>
    <x v="0"/>
    <x v="1"/>
    <n v="20"/>
    <x v="0"/>
    <x v="2"/>
    <x v="1"/>
    <d v="2025-02-08T00:00:00"/>
    <x v="4"/>
    <s v="Sat"/>
    <s v="Jan–Jun 2025"/>
    <x v="0"/>
    <s v="Beginner"/>
    <n v="4"/>
    <n v="0.79166666666666663"/>
    <n v="62.5"/>
    <x v="1"/>
    <x v="0"/>
    <n v="1"/>
    <x v="1"/>
    <x v="0"/>
    <d v="2025-06-30T00:00:00"/>
  </r>
  <r>
    <n v="452"/>
    <x v="150"/>
    <n v="2"/>
    <x v="0"/>
    <x v="1"/>
    <n v="20"/>
    <x v="0"/>
    <x v="2"/>
    <x v="1"/>
    <d v="2025-02-08T00:00:00"/>
    <x v="4"/>
    <s v="Sat"/>
    <s v="Jan–Jun 2025"/>
    <x v="1"/>
    <s v="Beginner"/>
    <n v="4"/>
    <n v="0.79166666666666663"/>
    <n v="55.5"/>
    <x v="0"/>
    <x v="0"/>
    <n v="1"/>
    <x v="1"/>
    <x v="0"/>
    <d v="2025-06-30T00:00:00"/>
  </r>
  <r>
    <n v="453"/>
    <x v="150"/>
    <n v="3"/>
    <x v="0"/>
    <x v="1"/>
    <n v="20"/>
    <x v="0"/>
    <x v="2"/>
    <x v="1"/>
    <d v="2025-02-08T00:00:00"/>
    <x v="4"/>
    <s v="Sat"/>
    <s v="Jan–Jun 2025"/>
    <x v="2"/>
    <s v="Beginner"/>
    <n v="4"/>
    <n v="0.8125"/>
    <n v="58.5"/>
    <x v="0"/>
    <x v="0"/>
    <n v="1"/>
    <x v="1"/>
    <x v="0"/>
    <d v="2025-06-30T00:00:00"/>
  </r>
  <r>
    <n v="454"/>
    <x v="151"/>
    <n v="1"/>
    <x v="0"/>
    <x v="0"/>
    <n v="27"/>
    <x v="2"/>
    <x v="1"/>
    <x v="2"/>
    <d v="2025-01-31T00:00:00"/>
    <x v="2"/>
    <s v="Fri"/>
    <s v="Jan–Jun 2025"/>
    <x v="0"/>
    <s v="Beginner"/>
    <n v="4"/>
    <n v="0.85416666666666663"/>
    <n v="93"/>
    <x v="2"/>
    <x v="0"/>
    <n v="1"/>
    <x v="1"/>
    <x v="0"/>
    <d v="2025-06-30T00:00:00"/>
  </r>
  <r>
    <n v="455"/>
    <x v="151"/>
    <n v="2"/>
    <x v="0"/>
    <x v="0"/>
    <n v="27"/>
    <x v="2"/>
    <x v="1"/>
    <x v="2"/>
    <d v="2025-01-31T00:00:00"/>
    <x v="2"/>
    <s v="Fri"/>
    <s v="Jan–Jun 2025"/>
    <x v="1"/>
    <s v="Beginner"/>
    <n v="4"/>
    <n v="0.6875"/>
    <n v="75.5"/>
    <x v="1"/>
    <x v="0"/>
    <n v="1"/>
    <x v="1"/>
    <x v="0"/>
    <d v="2025-06-30T00:00:00"/>
  </r>
  <r>
    <n v="456"/>
    <x v="151"/>
    <n v="3"/>
    <x v="0"/>
    <x v="0"/>
    <n v="27"/>
    <x v="2"/>
    <x v="1"/>
    <x v="2"/>
    <d v="2025-01-31T00:00:00"/>
    <x v="2"/>
    <s v="Fri"/>
    <s v="Jan–Jun 2025"/>
    <x v="2"/>
    <s v="Beginner"/>
    <n v="4"/>
    <n v="0.85416666666666663"/>
    <n v="51"/>
    <x v="0"/>
    <x v="0"/>
    <n v="1"/>
    <x v="1"/>
    <x v="0"/>
    <d v="2025-06-30T00:00:00"/>
  </r>
  <r>
    <n v="457"/>
    <x v="152"/>
    <n v="1"/>
    <x v="0"/>
    <x v="1"/>
    <n v="25"/>
    <x v="2"/>
    <x v="2"/>
    <x v="3"/>
    <d v="2025-04-26T00:00:00"/>
    <x v="3"/>
    <s v="Sat"/>
    <s v="Jan–Jun 2025"/>
    <x v="0"/>
    <s v="Beginner"/>
    <n v="4"/>
    <n v="0.83333333333333337"/>
    <n v="55"/>
    <x v="0"/>
    <x v="0"/>
    <n v="1"/>
    <x v="1"/>
    <x v="0"/>
    <d v="2025-06-30T00:00:00"/>
  </r>
  <r>
    <n v="458"/>
    <x v="152"/>
    <n v="2"/>
    <x v="0"/>
    <x v="1"/>
    <n v="25"/>
    <x v="2"/>
    <x v="2"/>
    <x v="3"/>
    <d v="2025-04-26T00:00:00"/>
    <x v="3"/>
    <s v="Sat"/>
    <s v="Jan–Jun 2025"/>
    <x v="1"/>
    <s v="Beginner"/>
    <n v="4"/>
    <n v="0.85416666666666663"/>
    <n v="58.5"/>
    <x v="0"/>
    <x v="0"/>
    <n v="1"/>
    <x v="1"/>
    <x v="0"/>
    <d v="2025-06-30T00:00:00"/>
  </r>
  <r>
    <n v="459"/>
    <x v="152"/>
    <n v="3"/>
    <x v="0"/>
    <x v="1"/>
    <n v="25"/>
    <x v="2"/>
    <x v="2"/>
    <x v="3"/>
    <d v="2025-04-26T00:00:00"/>
    <x v="3"/>
    <s v="Sat"/>
    <s v="Jan–Jun 2025"/>
    <x v="2"/>
    <s v="Beginner"/>
    <n v="4"/>
    <n v="0.875"/>
    <n v="82"/>
    <x v="2"/>
    <x v="0"/>
    <n v="1"/>
    <x v="1"/>
    <x v="0"/>
    <d v="2025-06-30T00:00:00"/>
  </r>
  <r>
    <n v="460"/>
    <x v="153"/>
    <n v="1"/>
    <x v="0"/>
    <x v="1"/>
    <n v="27"/>
    <x v="2"/>
    <x v="2"/>
    <x v="3"/>
    <d v="2025-03-20T00:00:00"/>
    <x v="0"/>
    <s v="Thu"/>
    <s v="Jan–Jun 2025"/>
    <x v="0"/>
    <s v="Beginner"/>
    <n v="4"/>
    <n v="0.75"/>
    <n v="75.5"/>
    <x v="1"/>
    <x v="0"/>
    <n v="1"/>
    <x v="0"/>
    <x v="0"/>
    <d v="2025-06-30T00:00:00"/>
  </r>
  <r>
    <n v="461"/>
    <x v="153"/>
    <n v="2"/>
    <x v="0"/>
    <x v="1"/>
    <n v="27"/>
    <x v="2"/>
    <x v="2"/>
    <x v="3"/>
    <d v="2025-03-20T00:00:00"/>
    <x v="0"/>
    <s v="Thu"/>
    <s v="Jan–Jun 2025"/>
    <x v="1"/>
    <s v="Beginner"/>
    <n v="4"/>
    <n v="0.85416666666666663"/>
    <n v="78"/>
    <x v="1"/>
    <x v="0"/>
    <n v="1"/>
    <x v="0"/>
    <x v="0"/>
    <d v="2025-06-30T00:00:00"/>
  </r>
  <r>
    <n v="462"/>
    <x v="153"/>
    <n v="3"/>
    <x v="0"/>
    <x v="1"/>
    <n v="27"/>
    <x v="2"/>
    <x v="2"/>
    <x v="3"/>
    <d v="2025-03-20T00:00:00"/>
    <x v="0"/>
    <s v="Thu"/>
    <s v="Jan–Jun 2025"/>
    <x v="2"/>
    <s v="Beginner"/>
    <n v="4"/>
    <n v="0.83333333333333337"/>
    <n v="90"/>
    <x v="2"/>
    <x v="0"/>
    <n v="1"/>
    <x v="0"/>
    <x v="0"/>
    <d v="2025-06-30T00:00:00"/>
  </r>
  <r>
    <n v="463"/>
    <x v="154"/>
    <n v="1"/>
    <x v="0"/>
    <x v="0"/>
    <n v="21"/>
    <x v="0"/>
    <x v="4"/>
    <x v="2"/>
    <d v="2025-03-09T00:00:00"/>
    <x v="0"/>
    <s v="Sun"/>
    <s v="Jan–Jun 2025"/>
    <x v="0"/>
    <s v="Beginner"/>
    <n v="4"/>
    <n v="0.6875"/>
    <n v="92"/>
    <x v="2"/>
    <x v="0"/>
    <n v="1"/>
    <x v="1"/>
    <x v="0"/>
    <d v="2025-06-30T00:00:00"/>
  </r>
  <r>
    <n v="464"/>
    <x v="154"/>
    <n v="2"/>
    <x v="0"/>
    <x v="0"/>
    <n v="21"/>
    <x v="0"/>
    <x v="4"/>
    <x v="2"/>
    <d v="2025-03-09T00:00:00"/>
    <x v="0"/>
    <s v="Sun"/>
    <s v="Jan–Jun 2025"/>
    <x v="1"/>
    <s v="Beginner"/>
    <n v="4"/>
    <n v="0.79166666666666663"/>
    <n v="76.5"/>
    <x v="1"/>
    <x v="0"/>
    <n v="1"/>
    <x v="1"/>
    <x v="0"/>
    <d v="2025-06-30T00:00:00"/>
  </r>
  <r>
    <n v="465"/>
    <x v="154"/>
    <n v="3"/>
    <x v="0"/>
    <x v="0"/>
    <n v="21"/>
    <x v="0"/>
    <x v="4"/>
    <x v="2"/>
    <d v="2025-03-09T00:00:00"/>
    <x v="0"/>
    <s v="Sun"/>
    <s v="Jan–Jun 2025"/>
    <x v="2"/>
    <s v="Beginner"/>
    <n v="4"/>
    <n v="0.89583333333333337"/>
    <n v="79"/>
    <x v="2"/>
    <x v="0"/>
    <n v="1"/>
    <x v="1"/>
    <x v="0"/>
    <d v="2025-06-30T00:00:00"/>
  </r>
  <r>
    <n v="466"/>
    <x v="155"/>
    <n v="1"/>
    <x v="0"/>
    <x v="0"/>
    <n v="23"/>
    <x v="0"/>
    <x v="4"/>
    <x v="2"/>
    <d v="2025-05-22T00:00:00"/>
    <x v="1"/>
    <s v="Thu"/>
    <s v="Jan–Jun 2025"/>
    <x v="0"/>
    <s v="Beginner"/>
    <n v="4"/>
    <n v="0.875"/>
    <n v="71"/>
    <x v="1"/>
    <x v="0"/>
    <n v="1"/>
    <x v="1"/>
    <x v="0"/>
    <d v="2025-06-30T00:00:00"/>
  </r>
  <r>
    <n v="467"/>
    <x v="155"/>
    <n v="2"/>
    <x v="0"/>
    <x v="0"/>
    <n v="23"/>
    <x v="0"/>
    <x v="4"/>
    <x v="2"/>
    <d v="2025-05-22T00:00:00"/>
    <x v="1"/>
    <s v="Thu"/>
    <s v="Jan–Jun 2025"/>
    <x v="1"/>
    <s v="Beginner"/>
    <n v="4"/>
    <n v="0.83333333333333337"/>
    <n v="82"/>
    <x v="2"/>
    <x v="0"/>
    <n v="1"/>
    <x v="1"/>
    <x v="0"/>
    <d v="2025-06-30T00:00:00"/>
  </r>
  <r>
    <n v="468"/>
    <x v="155"/>
    <n v="3"/>
    <x v="1"/>
    <x v="0"/>
    <n v="23"/>
    <x v="0"/>
    <x v="4"/>
    <x v="2"/>
    <d v="2025-05-22T00:00:00"/>
    <x v="1"/>
    <s v="Thu"/>
    <s v="Jan–Jun 2025"/>
    <x v="2"/>
    <s v="Beginner"/>
    <n v="4"/>
    <n v="0.85416666666666663"/>
    <n v="71"/>
    <x v="1"/>
    <x v="0"/>
    <n v="1"/>
    <x v="1"/>
    <x v="0"/>
    <d v="2025-06-30T00:00:00"/>
  </r>
  <r>
    <n v="469"/>
    <x v="156"/>
    <n v="1"/>
    <x v="1"/>
    <x v="0"/>
    <n v="23"/>
    <x v="0"/>
    <x v="1"/>
    <x v="3"/>
    <d v="2025-04-26T00:00:00"/>
    <x v="3"/>
    <s v="Sat"/>
    <s v="Jan–Jun 2025"/>
    <x v="0"/>
    <s v="Beginner"/>
    <n v="4"/>
    <n v="0.83333333333333337"/>
    <n v="52.5"/>
    <x v="0"/>
    <x v="0"/>
    <n v="1"/>
    <x v="1"/>
    <x v="1"/>
    <d v="2025-06-30T00:00:00"/>
  </r>
  <r>
    <n v="470"/>
    <x v="156"/>
    <n v="2"/>
    <x v="1"/>
    <x v="0"/>
    <n v="23"/>
    <x v="0"/>
    <x v="1"/>
    <x v="3"/>
    <d v="2025-04-26T00:00:00"/>
    <x v="3"/>
    <s v="Sat"/>
    <s v="Jan–Jun 2025"/>
    <x v="1"/>
    <s v="Beginner"/>
    <n v="4"/>
    <n v="0.8125"/>
    <n v="88"/>
    <x v="2"/>
    <x v="0"/>
    <n v="1"/>
    <x v="1"/>
    <x v="1"/>
    <d v="2025-06-30T00:00:00"/>
  </r>
  <r>
    <n v="471"/>
    <x v="156"/>
    <n v="3"/>
    <x v="0"/>
    <x v="0"/>
    <n v="23"/>
    <x v="0"/>
    <x v="1"/>
    <x v="3"/>
    <d v="2025-04-26T00:00:00"/>
    <x v="3"/>
    <s v="Sat"/>
    <s v="Jan–Jun 2025"/>
    <x v="2"/>
    <s v="Beginner"/>
    <n v="4"/>
    <n v="0.89583333333333337"/>
    <n v="65.5"/>
    <x v="1"/>
    <x v="0"/>
    <n v="1"/>
    <x v="1"/>
    <x v="1"/>
    <d v="2025-06-30T00:00:00"/>
  </r>
  <r>
    <n v="472"/>
    <x v="157"/>
    <n v="1"/>
    <x v="0"/>
    <x v="1"/>
    <n v="27"/>
    <x v="2"/>
    <x v="1"/>
    <x v="2"/>
    <d v="2025-03-15T00:00:00"/>
    <x v="0"/>
    <s v="Sat"/>
    <s v="Jan–Jun 2025"/>
    <x v="0"/>
    <s v="Beginner"/>
    <n v="4"/>
    <n v="0.75"/>
    <n v="90.5"/>
    <x v="2"/>
    <x v="0"/>
    <n v="1"/>
    <x v="1"/>
    <x v="0"/>
    <d v="2025-06-30T00:00:00"/>
  </r>
  <r>
    <n v="473"/>
    <x v="157"/>
    <n v="2"/>
    <x v="0"/>
    <x v="1"/>
    <n v="27"/>
    <x v="2"/>
    <x v="1"/>
    <x v="2"/>
    <d v="2025-03-15T00:00:00"/>
    <x v="0"/>
    <s v="Sat"/>
    <s v="Jan–Jun 2025"/>
    <x v="1"/>
    <s v="Beginner"/>
    <n v="4"/>
    <n v="0.89583333333333337"/>
    <n v="72"/>
    <x v="1"/>
    <x v="0"/>
    <n v="1"/>
    <x v="1"/>
    <x v="0"/>
    <d v="2025-06-30T00:00:00"/>
  </r>
  <r>
    <n v="474"/>
    <x v="157"/>
    <n v="3"/>
    <x v="0"/>
    <x v="1"/>
    <n v="27"/>
    <x v="2"/>
    <x v="1"/>
    <x v="2"/>
    <d v="2025-03-15T00:00:00"/>
    <x v="0"/>
    <s v="Sat"/>
    <s v="Jan–Jun 2025"/>
    <x v="2"/>
    <s v="Beginner"/>
    <n v="4"/>
    <n v="0.79166666666666663"/>
    <n v="65"/>
    <x v="1"/>
    <x v="0"/>
    <n v="1"/>
    <x v="1"/>
    <x v="0"/>
    <d v="2025-06-30T00:00:00"/>
  </r>
  <r>
    <n v="475"/>
    <x v="158"/>
    <n v="1"/>
    <x v="0"/>
    <x v="1"/>
    <n v="32"/>
    <x v="1"/>
    <x v="1"/>
    <x v="2"/>
    <d v="2025-03-09T00:00:00"/>
    <x v="0"/>
    <s v="Sun"/>
    <s v="Jan–Jun 2025"/>
    <x v="0"/>
    <s v="Beginner"/>
    <n v="4"/>
    <n v="0.83333333333333337"/>
    <n v="80"/>
    <x v="2"/>
    <x v="0"/>
    <n v="1"/>
    <x v="1"/>
    <x v="0"/>
    <d v="2025-06-30T00:00:00"/>
  </r>
  <r>
    <n v="476"/>
    <x v="158"/>
    <n v="2"/>
    <x v="0"/>
    <x v="1"/>
    <n v="32"/>
    <x v="1"/>
    <x v="1"/>
    <x v="2"/>
    <d v="2025-03-09T00:00:00"/>
    <x v="0"/>
    <s v="Sun"/>
    <s v="Jan–Jun 2025"/>
    <x v="1"/>
    <s v="Beginner"/>
    <n v="4"/>
    <n v="0.9375"/>
    <n v="77"/>
    <x v="1"/>
    <x v="0"/>
    <n v="1"/>
    <x v="1"/>
    <x v="0"/>
    <d v="2025-06-30T00:00:00"/>
  </r>
  <r>
    <n v="477"/>
    <x v="158"/>
    <n v="3"/>
    <x v="0"/>
    <x v="1"/>
    <n v="32"/>
    <x v="1"/>
    <x v="1"/>
    <x v="2"/>
    <d v="2025-03-09T00:00:00"/>
    <x v="0"/>
    <s v="Sun"/>
    <s v="Jan–Jun 2025"/>
    <x v="2"/>
    <s v="Beginner"/>
    <n v="4"/>
    <n v="0.77083333333333337"/>
    <n v="56.5"/>
    <x v="0"/>
    <x v="0"/>
    <n v="1"/>
    <x v="1"/>
    <x v="0"/>
    <d v="2025-06-30T00:00:00"/>
  </r>
  <r>
    <n v="478"/>
    <x v="159"/>
    <n v="1"/>
    <x v="0"/>
    <x v="0"/>
    <n v="31"/>
    <x v="1"/>
    <x v="1"/>
    <x v="2"/>
    <d v="2025-02-08T00:00:00"/>
    <x v="4"/>
    <s v="Sat"/>
    <s v="Jan–Jun 2025"/>
    <x v="0"/>
    <s v="Beginner"/>
    <n v="4"/>
    <n v="0.83333333333333337"/>
    <n v="67"/>
    <x v="1"/>
    <x v="0"/>
    <n v="1"/>
    <x v="0"/>
    <x v="0"/>
    <d v="2025-06-30T00:00:00"/>
  </r>
  <r>
    <n v="479"/>
    <x v="159"/>
    <n v="2"/>
    <x v="0"/>
    <x v="0"/>
    <n v="31"/>
    <x v="1"/>
    <x v="1"/>
    <x v="2"/>
    <d v="2025-02-08T00:00:00"/>
    <x v="4"/>
    <s v="Sat"/>
    <s v="Jan–Jun 2025"/>
    <x v="1"/>
    <s v="Beginner"/>
    <n v="4"/>
    <n v="0.875"/>
    <n v="56.5"/>
    <x v="0"/>
    <x v="0"/>
    <n v="1"/>
    <x v="0"/>
    <x v="0"/>
    <d v="2025-06-30T00:00:00"/>
  </r>
  <r>
    <n v="480"/>
    <x v="159"/>
    <n v="3"/>
    <x v="0"/>
    <x v="0"/>
    <n v="31"/>
    <x v="1"/>
    <x v="1"/>
    <x v="2"/>
    <d v="2025-02-08T00:00:00"/>
    <x v="4"/>
    <s v="Sat"/>
    <s v="Jan–Jun 2025"/>
    <x v="2"/>
    <s v="Beginner"/>
    <n v="4"/>
    <n v="0.875"/>
    <n v="68"/>
    <x v="1"/>
    <x v="0"/>
    <n v="1"/>
    <x v="0"/>
    <x v="0"/>
    <d v="2025-06-30T00:00:00"/>
  </r>
  <r>
    <n v="481"/>
    <x v="160"/>
    <n v="1"/>
    <x v="0"/>
    <x v="1"/>
    <n v="22"/>
    <x v="0"/>
    <x v="1"/>
    <x v="1"/>
    <d v="2025-02-12T00:00:00"/>
    <x v="4"/>
    <s v="Wed"/>
    <s v="Jan–Jun 2025"/>
    <x v="0"/>
    <s v="Beginner"/>
    <n v="4"/>
    <n v="0.875"/>
    <n v="78"/>
    <x v="1"/>
    <x v="0"/>
    <n v="1"/>
    <x v="1"/>
    <x v="0"/>
    <d v="2025-06-30T00:00:00"/>
  </r>
  <r>
    <n v="482"/>
    <x v="160"/>
    <n v="2"/>
    <x v="0"/>
    <x v="1"/>
    <n v="22"/>
    <x v="0"/>
    <x v="1"/>
    <x v="1"/>
    <d v="2025-02-12T00:00:00"/>
    <x v="4"/>
    <s v="Wed"/>
    <s v="Jan–Jun 2025"/>
    <x v="1"/>
    <s v="Beginner"/>
    <n v="4"/>
    <n v="0.85416666666666663"/>
    <n v="80.5"/>
    <x v="2"/>
    <x v="0"/>
    <n v="1"/>
    <x v="1"/>
    <x v="0"/>
    <d v="2025-06-30T00:00:00"/>
  </r>
  <r>
    <n v="483"/>
    <x v="160"/>
    <n v="3"/>
    <x v="0"/>
    <x v="1"/>
    <n v="22"/>
    <x v="0"/>
    <x v="1"/>
    <x v="1"/>
    <d v="2025-02-12T00:00:00"/>
    <x v="4"/>
    <s v="Wed"/>
    <s v="Jan–Jun 2025"/>
    <x v="2"/>
    <s v="Beginner"/>
    <n v="4"/>
    <n v="0.75"/>
    <n v="62.5"/>
    <x v="1"/>
    <x v="0"/>
    <n v="1"/>
    <x v="1"/>
    <x v="0"/>
    <d v="2025-06-30T00:00:00"/>
  </r>
  <r>
    <n v="484"/>
    <x v="161"/>
    <n v="1"/>
    <x v="0"/>
    <x v="1"/>
    <n v="27"/>
    <x v="2"/>
    <x v="3"/>
    <x v="1"/>
    <d v="2025-04-30T00:00:00"/>
    <x v="3"/>
    <s v="Wed"/>
    <s v="Jan–Jun 2025"/>
    <x v="0"/>
    <s v="Beginner"/>
    <n v="4"/>
    <n v="0.79166666666666663"/>
    <n v="74.5"/>
    <x v="1"/>
    <x v="0"/>
    <n v="1"/>
    <x v="1"/>
    <x v="0"/>
    <d v="2025-06-30T00:00:00"/>
  </r>
  <r>
    <n v="485"/>
    <x v="161"/>
    <n v="2"/>
    <x v="0"/>
    <x v="1"/>
    <n v="27"/>
    <x v="2"/>
    <x v="3"/>
    <x v="1"/>
    <d v="2025-04-30T00:00:00"/>
    <x v="3"/>
    <s v="Wed"/>
    <s v="Jan–Jun 2025"/>
    <x v="1"/>
    <s v="Beginner"/>
    <n v="4"/>
    <n v="0.91666666666666663"/>
    <n v="59"/>
    <x v="0"/>
    <x v="0"/>
    <n v="1"/>
    <x v="1"/>
    <x v="0"/>
    <d v="2025-06-30T00:00:00"/>
  </r>
  <r>
    <n v="486"/>
    <x v="161"/>
    <n v="3"/>
    <x v="0"/>
    <x v="1"/>
    <n v="27"/>
    <x v="2"/>
    <x v="3"/>
    <x v="1"/>
    <d v="2025-04-30T00:00:00"/>
    <x v="3"/>
    <s v="Wed"/>
    <s v="Jan–Jun 2025"/>
    <x v="2"/>
    <s v="Beginner"/>
    <n v="4"/>
    <n v="0.79166666666666663"/>
    <n v="80.5"/>
    <x v="2"/>
    <x v="0"/>
    <n v="1"/>
    <x v="1"/>
    <x v="0"/>
    <d v="2025-06-30T00:00:00"/>
  </r>
  <r>
    <n v="487"/>
    <x v="162"/>
    <n v="1"/>
    <x v="0"/>
    <x v="1"/>
    <n v="30"/>
    <x v="1"/>
    <x v="5"/>
    <x v="3"/>
    <d v="2025-04-23T00:00:00"/>
    <x v="3"/>
    <s v="Wed"/>
    <s v="Jan–Jun 2025"/>
    <x v="0"/>
    <s v="Beginner"/>
    <n v="4"/>
    <n v="0.79166666666666663"/>
    <n v="71"/>
    <x v="1"/>
    <x v="0"/>
    <n v="1"/>
    <x v="1"/>
    <x v="0"/>
    <d v="2025-06-30T00:00:00"/>
  </r>
  <r>
    <n v="488"/>
    <x v="162"/>
    <n v="2"/>
    <x v="0"/>
    <x v="1"/>
    <n v="30"/>
    <x v="1"/>
    <x v="5"/>
    <x v="3"/>
    <d v="2025-04-23T00:00:00"/>
    <x v="3"/>
    <s v="Wed"/>
    <s v="Jan–Jun 2025"/>
    <x v="1"/>
    <s v="Beginner"/>
    <n v="4"/>
    <n v="0.89583333333333337"/>
    <n v="72.5"/>
    <x v="1"/>
    <x v="0"/>
    <n v="1"/>
    <x v="1"/>
    <x v="0"/>
    <d v="2025-06-30T00:00:00"/>
  </r>
  <r>
    <n v="489"/>
    <x v="162"/>
    <n v="3"/>
    <x v="1"/>
    <x v="1"/>
    <n v="30"/>
    <x v="1"/>
    <x v="5"/>
    <x v="3"/>
    <d v="2025-04-23T00:00:00"/>
    <x v="3"/>
    <s v="Wed"/>
    <s v="Jan–Jun 2025"/>
    <x v="2"/>
    <s v="Beginner"/>
    <n v="4"/>
    <n v="0.85416666666666663"/>
    <n v="86"/>
    <x v="2"/>
    <x v="0"/>
    <n v="1"/>
    <x v="1"/>
    <x v="0"/>
    <d v="2025-06-30T00:00:00"/>
  </r>
  <r>
    <n v="490"/>
    <x v="163"/>
    <n v="1"/>
    <x v="0"/>
    <x v="0"/>
    <n v="19"/>
    <x v="0"/>
    <x v="3"/>
    <x v="0"/>
    <d v="2025-03-06T00:00:00"/>
    <x v="0"/>
    <s v="Thu"/>
    <s v="Jan–Jun 2025"/>
    <x v="0"/>
    <s v="Beginner"/>
    <n v="4"/>
    <n v="0.75"/>
    <n v="67"/>
    <x v="1"/>
    <x v="0"/>
    <n v="1"/>
    <x v="1"/>
    <x v="1"/>
    <d v="2025-06-30T00:00:00"/>
  </r>
  <r>
    <n v="491"/>
    <x v="163"/>
    <n v="2"/>
    <x v="0"/>
    <x v="0"/>
    <n v="19"/>
    <x v="0"/>
    <x v="3"/>
    <x v="0"/>
    <d v="2025-03-06T00:00:00"/>
    <x v="0"/>
    <s v="Thu"/>
    <s v="Jan–Jun 2025"/>
    <x v="1"/>
    <s v="Beginner"/>
    <n v="4"/>
    <n v="0.77083333333333337"/>
    <n v="72.5"/>
    <x v="1"/>
    <x v="0"/>
    <n v="1"/>
    <x v="1"/>
    <x v="1"/>
    <d v="2025-06-30T00:00:00"/>
  </r>
  <r>
    <n v="492"/>
    <x v="163"/>
    <n v="3"/>
    <x v="2"/>
    <x v="0"/>
    <n v="19"/>
    <x v="0"/>
    <x v="3"/>
    <x v="0"/>
    <d v="2025-03-06T00:00:00"/>
    <x v="0"/>
    <s v="Thu"/>
    <s v="Jan–Jun 2025"/>
    <x v="2"/>
    <s v="Beginner"/>
    <n v="4"/>
    <n v="0.75"/>
    <n v="77"/>
    <x v="1"/>
    <x v="0"/>
    <n v="1"/>
    <x v="1"/>
    <x v="1"/>
    <d v="2025-06-30T00:00:00"/>
  </r>
  <r>
    <n v="493"/>
    <x v="164"/>
    <n v="1"/>
    <x v="0"/>
    <x v="0"/>
    <n v="20"/>
    <x v="0"/>
    <x v="4"/>
    <x v="1"/>
    <d v="2025-03-10T00:00:00"/>
    <x v="0"/>
    <s v="Mon"/>
    <s v="Jan–Jun 2025"/>
    <x v="0"/>
    <s v="Beginner"/>
    <n v="4"/>
    <n v="0.85416666666666663"/>
    <n v="82"/>
    <x v="2"/>
    <x v="0"/>
    <n v="1"/>
    <x v="0"/>
    <x v="0"/>
    <d v="2025-06-30T00:00:00"/>
  </r>
  <r>
    <n v="494"/>
    <x v="164"/>
    <n v="2"/>
    <x v="0"/>
    <x v="0"/>
    <n v="20"/>
    <x v="0"/>
    <x v="4"/>
    <x v="1"/>
    <d v="2025-03-10T00:00:00"/>
    <x v="0"/>
    <s v="Mon"/>
    <s v="Jan–Jun 2025"/>
    <x v="1"/>
    <s v="Beginner"/>
    <n v="4"/>
    <n v="0.91666666666666663"/>
    <n v="59"/>
    <x v="0"/>
    <x v="0"/>
    <n v="1"/>
    <x v="0"/>
    <x v="0"/>
    <d v="2025-06-30T00:00:00"/>
  </r>
  <r>
    <n v="495"/>
    <x v="164"/>
    <n v="3"/>
    <x v="2"/>
    <x v="0"/>
    <n v="20"/>
    <x v="0"/>
    <x v="4"/>
    <x v="1"/>
    <d v="2025-03-10T00:00:00"/>
    <x v="0"/>
    <s v="Mon"/>
    <s v="Jan–Jun 2025"/>
    <x v="2"/>
    <s v="Beginner"/>
    <n v="4"/>
    <n v="0.70833333333333337"/>
    <n v="59"/>
    <x v="0"/>
    <x v="0"/>
    <n v="1"/>
    <x v="0"/>
    <x v="0"/>
    <d v="2025-06-30T00:00:00"/>
  </r>
  <r>
    <n v="496"/>
    <x v="165"/>
    <n v="1"/>
    <x v="2"/>
    <x v="0"/>
    <n v="23"/>
    <x v="0"/>
    <x v="3"/>
    <x v="3"/>
    <d v="2025-03-13T00:00:00"/>
    <x v="0"/>
    <s v="Thu"/>
    <s v="Jan–Jun 2025"/>
    <x v="0"/>
    <s v="Beginner"/>
    <n v="4"/>
    <n v="0.83333333333333337"/>
    <n v="90.5"/>
    <x v="2"/>
    <x v="0"/>
    <n v="1"/>
    <x v="1"/>
    <x v="0"/>
    <d v="2025-06-30T00:00:00"/>
  </r>
  <r>
    <n v="497"/>
    <x v="165"/>
    <n v="2"/>
    <x v="1"/>
    <x v="0"/>
    <n v="23"/>
    <x v="0"/>
    <x v="3"/>
    <x v="3"/>
    <d v="2025-03-13T00:00:00"/>
    <x v="0"/>
    <s v="Thu"/>
    <s v="Jan–Jun 2025"/>
    <x v="1"/>
    <s v="Beginner"/>
    <n v="4"/>
    <n v="0.89583333333333337"/>
    <n v="54.5"/>
    <x v="0"/>
    <x v="0"/>
    <n v="1"/>
    <x v="1"/>
    <x v="0"/>
    <d v="2025-06-30T00:00:00"/>
  </r>
  <r>
    <n v="498"/>
    <x v="165"/>
    <n v="3"/>
    <x v="0"/>
    <x v="0"/>
    <n v="23"/>
    <x v="0"/>
    <x v="3"/>
    <x v="3"/>
    <d v="2025-03-13T00:00:00"/>
    <x v="0"/>
    <s v="Thu"/>
    <s v="Jan–Jun 2025"/>
    <x v="2"/>
    <s v="Beginner"/>
    <n v="4"/>
    <n v="0.85416666666666663"/>
    <n v="51.5"/>
    <x v="0"/>
    <x v="0"/>
    <n v="1"/>
    <x v="1"/>
    <x v="0"/>
    <d v="2025-06-30T00:00:00"/>
  </r>
  <r>
    <n v="499"/>
    <x v="166"/>
    <n v="1"/>
    <x v="0"/>
    <x v="0"/>
    <n v="31"/>
    <x v="1"/>
    <x v="0"/>
    <x v="3"/>
    <d v="2025-01-24T00:00:00"/>
    <x v="2"/>
    <s v="Fri"/>
    <s v="Jan–Jun 2025"/>
    <x v="0"/>
    <s v="Beginner"/>
    <n v="4"/>
    <n v="0.91666666666666663"/>
    <n v="51.5"/>
    <x v="0"/>
    <x v="0"/>
    <n v="1"/>
    <x v="1"/>
    <x v="0"/>
    <d v="2025-06-30T00:00:00"/>
  </r>
  <r>
    <n v="500"/>
    <x v="166"/>
    <n v="2"/>
    <x v="1"/>
    <x v="0"/>
    <n v="31"/>
    <x v="1"/>
    <x v="0"/>
    <x v="3"/>
    <d v="2025-01-24T00:00:00"/>
    <x v="2"/>
    <s v="Fri"/>
    <s v="Jan–Jun 2025"/>
    <x v="1"/>
    <s v="Beginner"/>
    <n v="4"/>
    <n v="0.75"/>
    <n v="57.5"/>
    <x v="0"/>
    <x v="0"/>
    <n v="1"/>
    <x v="1"/>
    <x v="0"/>
    <d v="2025-06-30T00:00:00"/>
  </r>
  <r>
    <n v="501"/>
    <x v="166"/>
    <n v="3"/>
    <x v="0"/>
    <x v="0"/>
    <n v="31"/>
    <x v="1"/>
    <x v="0"/>
    <x v="3"/>
    <d v="2025-01-24T00:00:00"/>
    <x v="2"/>
    <s v="Fri"/>
    <s v="Jan–Jun 2025"/>
    <x v="2"/>
    <s v="Beginner"/>
    <n v="4"/>
    <n v="0.875"/>
    <n v="89.5"/>
    <x v="2"/>
    <x v="0"/>
    <n v="1"/>
    <x v="1"/>
    <x v="0"/>
    <d v="2025-06-30T00:00:00"/>
  </r>
  <r>
    <n v="502"/>
    <x v="167"/>
    <n v="1"/>
    <x v="0"/>
    <x v="1"/>
    <n v="29"/>
    <x v="2"/>
    <x v="3"/>
    <x v="0"/>
    <d v="2025-03-24T00:00:00"/>
    <x v="0"/>
    <s v="Mon"/>
    <s v="Jan–Jun 2025"/>
    <x v="0"/>
    <s v="Beginner"/>
    <n v="4"/>
    <n v="0.8125"/>
    <n v="87.5"/>
    <x v="2"/>
    <x v="0"/>
    <n v="1"/>
    <x v="1"/>
    <x v="0"/>
    <d v="2025-06-30T00:00:00"/>
  </r>
  <r>
    <n v="503"/>
    <x v="167"/>
    <n v="2"/>
    <x v="1"/>
    <x v="1"/>
    <n v="29"/>
    <x v="2"/>
    <x v="3"/>
    <x v="0"/>
    <d v="2025-03-24T00:00:00"/>
    <x v="0"/>
    <s v="Mon"/>
    <s v="Jan–Jun 2025"/>
    <x v="1"/>
    <s v="Beginner"/>
    <n v="4"/>
    <n v="0.77083333333333337"/>
    <n v="78"/>
    <x v="1"/>
    <x v="0"/>
    <n v="1"/>
    <x v="1"/>
    <x v="0"/>
    <d v="2025-06-30T00:00:00"/>
  </r>
  <r>
    <n v="504"/>
    <x v="167"/>
    <n v="3"/>
    <x v="1"/>
    <x v="1"/>
    <n v="29"/>
    <x v="2"/>
    <x v="3"/>
    <x v="0"/>
    <d v="2025-03-24T00:00:00"/>
    <x v="0"/>
    <s v="Mon"/>
    <s v="Jan–Jun 2025"/>
    <x v="2"/>
    <s v="Beginner"/>
    <n v="4"/>
    <n v="0.875"/>
    <n v="45.5"/>
    <x v="0"/>
    <x v="0"/>
    <n v="1"/>
    <x v="1"/>
    <x v="0"/>
    <d v="2025-06-30T00:00:00"/>
  </r>
  <r>
    <n v="505"/>
    <x v="168"/>
    <n v="1"/>
    <x v="0"/>
    <x v="0"/>
    <n v="23"/>
    <x v="0"/>
    <x v="5"/>
    <x v="3"/>
    <d v="2025-05-07T00:00:00"/>
    <x v="1"/>
    <s v="Wed"/>
    <s v="Jan–Jun 2025"/>
    <x v="0"/>
    <s v="Beginner"/>
    <n v="4"/>
    <n v="0.79166666666666663"/>
    <n v="87.5"/>
    <x v="2"/>
    <x v="0"/>
    <n v="1"/>
    <x v="1"/>
    <x v="0"/>
    <d v="2025-06-30T00:00:00"/>
  </r>
  <r>
    <n v="506"/>
    <x v="168"/>
    <n v="2"/>
    <x v="2"/>
    <x v="0"/>
    <n v="23"/>
    <x v="0"/>
    <x v="5"/>
    <x v="3"/>
    <d v="2025-05-07T00:00:00"/>
    <x v="1"/>
    <s v="Wed"/>
    <s v="Jan–Jun 2025"/>
    <x v="1"/>
    <s v="Beginner"/>
    <n v="4"/>
    <n v="0.72916666666666663"/>
    <n v="77"/>
    <x v="1"/>
    <x v="0"/>
    <n v="1"/>
    <x v="1"/>
    <x v="0"/>
    <d v="2025-06-30T00:00:00"/>
  </r>
  <r>
    <n v="507"/>
    <x v="168"/>
    <n v="3"/>
    <x v="0"/>
    <x v="0"/>
    <n v="23"/>
    <x v="0"/>
    <x v="5"/>
    <x v="3"/>
    <d v="2025-05-07T00:00:00"/>
    <x v="1"/>
    <s v="Wed"/>
    <s v="Jan–Jun 2025"/>
    <x v="2"/>
    <s v="Beginner"/>
    <n v="4"/>
    <n v="0.8125"/>
    <n v="82"/>
    <x v="2"/>
    <x v="0"/>
    <n v="1"/>
    <x v="1"/>
    <x v="0"/>
    <d v="2025-06-30T00:00:00"/>
  </r>
  <r>
    <n v="508"/>
    <x v="169"/>
    <n v="1"/>
    <x v="0"/>
    <x v="1"/>
    <n v="30"/>
    <x v="1"/>
    <x v="2"/>
    <x v="1"/>
    <d v="2025-04-27T00:00:00"/>
    <x v="3"/>
    <s v="Sun"/>
    <s v="Jan–Jun 2025"/>
    <x v="0"/>
    <s v="Beginner"/>
    <n v="4"/>
    <n v="0.85416666666666663"/>
    <n v="80.5"/>
    <x v="2"/>
    <x v="0"/>
    <n v="1"/>
    <x v="1"/>
    <x v="1"/>
    <d v="2025-06-30T00:00:00"/>
  </r>
  <r>
    <n v="509"/>
    <x v="169"/>
    <n v="2"/>
    <x v="0"/>
    <x v="1"/>
    <n v="30"/>
    <x v="1"/>
    <x v="2"/>
    <x v="1"/>
    <d v="2025-04-27T00:00:00"/>
    <x v="3"/>
    <s v="Sun"/>
    <s v="Jan–Jun 2025"/>
    <x v="1"/>
    <s v="Beginner"/>
    <n v="4"/>
    <n v="0.875"/>
    <n v="82.5"/>
    <x v="2"/>
    <x v="0"/>
    <n v="1"/>
    <x v="1"/>
    <x v="1"/>
    <d v="2025-06-30T00:00:00"/>
  </r>
  <r>
    <n v="510"/>
    <x v="169"/>
    <n v="3"/>
    <x v="0"/>
    <x v="1"/>
    <n v="30"/>
    <x v="1"/>
    <x v="2"/>
    <x v="1"/>
    <d v="2025-04-27T00:00:00"/>
    <x v="3"/>
    <s v="Sun"/>
    <s v="Jan–Jun 2025"/>
    <x v="2"/>
    <s v="Beginner"/>
    <n v="4"/>
    <n v="0.875"/>
    <n v="51.5"/>
    <x v="0"/>
    <x v="0"/>
    <n v="1"/>
    <x v="1"/>
    <x v="1"/>
    <d v="2025-06-30T00:00:00"/>
  </r>
  <r>
    <n v="511"/>
    <x v="170"/>
    <n v="1"/>
    <x v="2"/>
    <x v="0"/>
    <n v="28"/>
    <x v="2"/>
    <x v="5"/>
    <x v="0"/>
    <d v="2025-01-30T00:00:00"/>
    <x v="2"/>
    <s v="Thu"/>
    <s v="Jan–Jun 2025"/>
    <x v="0"/>
    <s v="Beginner"/>
    <n v="4"/>
    <n v="0.8125"/>
    <n v="71"/>
    <x v="1"/>
    <x v="1"/>
    <n v="0"/>
    <x v="0"/>
    <x v="0"/>
    <d v="2025-06-30T00:00:00"/>
  </r>
  <r>
    <n v="512"/>
    <x v="170"/>
    <n v="2"/>
    <x v="0"/>
    <x v="0"/>
    <n v="28"/>
    <x v="2"/>
    <x v="5"/>
    <x v="0"/>
    <d v="2025-01-30T00:00:00"/>
    <x v="2"/>
    <s v="Thu"/>
    <s v="Jan–Jun 2025"/>
    <x v="1"/>
    <s v="Beginner"/>
    <n v="4"/>
    <n v="0.83333333333333337"/>
    <n v="81"/>
    <x v="2"/>
    <x v="1"/>
    <n v="0"/>
    <x v="0"/>
    <x v="0"/>
    <d v="2025-06-30T00:00:00"/>
  </r>
  <r>
    <n v="513"/>
    <x v="170"/>
    <n v="3"/>
    <x v="0"/>
    <x v="0"/>
    <n v="28"/>
    <x v="2"/>
    <x v="5"/>
    <x v="0"/>
    <d v="2025-01-30T00:00:00"/>
    <x v="2"/>
    <s v="Thu"/>
    <s v="Jan–Jun 2025"/>
    <x v="2"/>
    <s v="Beginner"/>
    <n v="4"/>
    <n v="0.8125"/>
    <n v="61"/>
    <x v="1"/>
    <x v="1"/>
    <n v="0"/>
    <x v="0"/>
    <x v="0"/>
    <d v="2025-06-30T00:00:00"/>
  </r>
  <r>
    <n v="514"/>
    <x v="171"/>
    <n v="1"/>
    <x v="0"/>
    <x v="1"/>
    <n v="34"/>
    <x v="1"/>
    <x v="1"/>
    <x v="3"/>
    <d v="2025-04-16T00:00:00"/>
    <x v="3"/>
    <s v="Wed"/>
    <s v="Jan–Jun 2025"/>
    <x v="0"/>
    <s v="Beginner"/>
    <n v="4"/>
    <n v="0.875"/>
    <n v="68"/>
    <x v="1"/>
    <x v="0"/>
    <n v="1"/>
    <x v="0"/>
    <x v="0"/>
    <d v="2025-06-30T00:00:00"/>
  </r>
  <r>
    <n v="515"/>
    <x v="171"/>
    <n v="2"/>
    <x v="0"/>
    <x v="1"/>
    <n v="34"/>
    <x v="1"/>
    <x v="1"/>
    <x v="3"/>
    <d v="2025-04-16T00:00:00"/>
    <x v="3"/>
    <s v="Wed"/>
    <s v="Jan–Jun 2025"/>
    <x v="1"/>
    <s v="Beginner"/>
    <n v="4"/>
    <n v="0.79166666666666663"/>
    <n v="95.5"/>
    <x v="2"/>
    <x v="0"/>
    <n v="1"/>
    <x v="0"/>
    <x v="0"/>
    <d v="2025-06-30T00:00:00"/>
  </r>
  <r>
    <n v="516"/>
    <x v="171"/>
    <n v="3"/>
    <x v="0"/>
    <x v="1"/>
    <n v="34"/>
    <x v="1"/>
    <x v="1"/>
    <x v="3"/>
    <d v="2025-04-16T00:00:00"/>
    <x v="3"/>
    <s v="Wed"/>
    <s v="Jan–Jun 2025"/>
    <x v="2"/>
    <s v="Beginner"/>
    <n v="4"/>
    <n v="0.72916666666666663"/>
    <n v="52.5"/>
    <x v="0"/>
    <x v="0"/>
    <n v="1"/>
    <x v="0"/>
    <x v="0"/>
    <d v="2025-06-30T00:00:00"/>
  </r>
  <r>
    <n v="517"/>
    <x v="172"/>
    <n v="1"/>
    <x v="2"/>
    <x v="0"/>
    <n v="24"/>
    <x v="0"/>
    <x v="2"/>
    <x v="0"/>
    <d v="2025-05-08T00:00:00"/>
    <x v="1"/>
    <s v="Thu"/>
    <s v="Jan–Jun 2025"/>
    <x v="0"/>
    <s v="Beginner"/>
    <n v="4"/>
    <n v="0.79166666666666663"/>
    <n v="95"/>
    <x v="2"/>
    <x v="0"/>
    <n v="1"/>
    <x v="1"/>
    <x v="0"/>
    <d v="2025-06-30T00:00:00"/>
  </r>
  <r>
    <n v="518"/>
    <x v="172"/>
    <n v="2"/>
    <x v="0"/>
    <x v="0"/>
    <n v="24"/>
    <x v="0"/>
    <x v="2"/>
    <x v="0"/>
    <d v="2025-05-08T00:00:00"/>
    <x v="1"/>
    <s v="Thu"/>
    <s v="Jan–Jun 2025"/>
    <x v="1"/>
    <s v="Beginner"/>
    <n v="4"/>
    <n v="0.75"/>
    <n v="98.5"/>
    <x v="2"/>
    <x v="0"/>
    <n v="1"/>
    <x v="1"/>
    <x v="0"/>
    <d v="2025-06-30T00:00:00"/>
  </r>
  <r>
    <n v="519"/>
    <x v="172"/>
    <n v="3"/>
    <x v="1"/>
    <x v="0"/>
    <n v="24"/>
    <x v="0"/>
    <x v="2"/>
    <x v="0"/>
    <d v="2025-05-08T00:00:00"/>
    <x v="1"/>
    <s v="Thu"/>
    <s v="Jan–Jun 2025"/>
    <x v="2"/>
    <s v="Beginner"/>
    <n v="4"/>
    <n v="0.89583333333333337"/>
    <n v="75.5"/>
    <x v="1"/>
    <x v="0"/>
    <n v="1"/>
    <x v="1"/>
    <x v="0"/>
    <d v="2025-06-30T00:00:00"/>
  </r>
  <r>
    <n v="520"/>
    <x v="173"/>
    <n v="1"/>
    <x v="0"/>
    <x v="1"/>
    <n v="19"/>
    <x v="0"/>
    <x v="4"/>
    <x v="0"/>
    <d v="2025-05-21T00:00:00"/>
    <x v="1"/>
    <s v="Wed"/>
    <s v="Jan–Jun 2025"/>
    <x v="0"/>
    <s v="Beginner"/>
    <n v="4"/>
    <n v="0.85416666666666663"/>
    <n v="79"/>
    <x v="2"/>
    <x v="0"/>
    <n v="1"/>
    <x v="1"/>
    <x v="1"/>
    <d v="2025-06-30T00:00:00"/>
  </r>
  <r>
    <n v="521"/>
    <x v="173"/>
    <n v="2"/>
    <x v="2"/>
    <x v="1"/>
    <n v="19"/>
    <x v="0"/>
    <x v="4"/>
    <x v="0"/>
    <d v="2025-05-21T00:00:00"/>
    <x v="1"/>
    <s v="Wed"/>
    <s v="Jan–Jun 2025"/>
    <x v="1"/>
    <s v="Beginner"/>
    <n v="4"/>
    <n v="0.9375"/>
    <n v="92"/>
    <x v="2"/>
    <x v="0"/>
    <n v="1"/>
    <x v="1"/>
    <x v="1"/>
    <d v="2025-06-30T00:00:00"/>
  </r>
  <r>
    <n v="522"/>
    <x v="173"/>
    <n v="3"/>
    <x v="0"/>
    <x v="1"/>
    <n v="19"/>
    <x v="0"/>
    <x v="4"/>
    <x v="0"/>
    <d v="2025-05-21T00:00:00"/>
    <x v="1"/>
    <s v="Wed"/>
    <s v="Jan–Jun 2025"/>
    <x v="2"/>
    <s v="Beginner"/>
    <n v="4"/>
    <n v="0.89583333333333337"/>
    <n v="78.5"/>
    <x v="1"/>
    <x v="0"/>
    <n v="1"/>
    <x v="1"/>
    <x v="1"/>
    <d v="2025-06-30T00:00:00"/>
  </r>
  <r>
    <n v="523"/>
    <x v="174"/>
    <n v="1"/>
    <x v="0"/>
    <x v="0"/>
    <n v="27"/>
    <x v="2"/>
    <x v="3"/>
    <x v="3"/>
    <d v="2025-02-01T00:00:00"/>
    <x v="4"/>
    <s v="Sat"/>
    <s v="Jan–Jun 2025"/>
    <x v="0"/>
    <s v="Beginner"/>
    <n v="4"/>
    <n v="0.79166666666666663"/>
    <n v="49.5"/>
    <x v="0"/>
    <x v="1"/>
    <n v="0"/>
    <x v="0"/>
    <x v="0"/>
    <d v="2025-06-30T00:00:00"/>
  </r>
  <r>
    <n v="524"/>
    <x v="174"/>
    <n v="2"/>
    <x v="2"/>
    <x v="0"/>
    <n v="27"/>
    <x v="2"/>
    <x v="3"/>
    <x v="3"/>
    <d v="2025-02-01T00:00:00"/>
    <x v="4"/>
    <s v="Sat"/>
    <s v="Jan–Jun 2025"/>
    <x v="1"/>
    <s v="Beginner"/>
    <n v="4"/>
    <n v="0.875"/>
    <n v="67"/>
    <x v="1"/>
    <x v="1"/>
    <n v="0"/>
    <x v="0"/>
    <x v="0"/>
    <d v="2025-06-30T00:00:00"/>
  </r>
  <r>
    <n v="525"/>
    <x v="174"/>
    <n v="3"/>
    <x v="2"/>
    <x v="0"/>
    <n v="27"/>
    <x v="2"/>
    <x v="3"/>
    <x v="3"/>
    <d v="2025-02-01T00:00:00"/>
    <x v="4"/>
    <s v="Sat"/>
    <s v="Jan–Jun 2025"/>
    <x v="2"/>
    <s v="Beginner"/>
    <n v="4"/>
    <n v="0.83333333333333337"/>
    <n v="70"/>
    <x v="1"/>
    <x v="1"/>
    <n v="0"/>
    <x v="0"/>
    <x v="0"/>
    <d v="2025-06-30T00:00:00"/>
  </r>
  <r>
    <n v="526"/>
    <x v="175"/>
    <n v="1"/>
    <x v="2"/>
    <x v="0"/>
    <n v="25"/>
    <x v="2"/>
    <x v="0"/>
    <x v="2"/>
    <d v="2025-03-21T00:00:00"/>
    <x v="0"/>
    <s v="Fri"/>
    <s v="Jan–Jun 2025"/>
    <x v="0"/>
    <s v="Beginner"/>
    <n v="4"/>
    <n v="0.85416666666666663"/>
    <n v="88.5"/>
    <x v="2"/>
    <x v="0"/>
    <n v="1"/>
    <x v="1"/>
    <x v="1"/>
    <d v="2025-06-30T00:00:00"/>
  </r>
  <r>
    <n v="527"/>
    <x v="175"/>
    <n v="2"/>
    <x v="0"/>
    <x v="0"/>
    <n v="25"/>
    <x v="2"/>
    <x v="0"/>
    <x v="2"/>
    <d v="2025-03-21T00:00:00"/>
    <x v="0"/>
    <s v="Fri"/>
    <s v="Jan–Jun 2025"/>
    <x v="1"/>
    <s v="Beginner"/>
    <n v="4"/>
    <n v="0.85416666666666663"/>
    <n v="76"/>
    <x v="1"/>
    <x v="0"/>
    <n v="1"/>
    <x v="1"/>
    <x v="1"/>
    <d v="2025-06-30T00:00:00"/>
  </r>
  <r>
    <n v="528"/>
    <x v="175"/>
    <n v="3"/>
    <x v="0"/>
    <x v="0"/>
    <n v="25"/>
    <x v="2"/>
    <x v="0"/>
    <x v="2"/>
    <d v="2025-03-21T00:00:00"/>
    <x v="0"/>
    <s v="Fri"/>
    <s v="Jan–Jun 2025"/>
    <x v="2"/>
    <s v="Beginner"/>
    <n v="4"/>
    <n v="1"/>
    <n v="46.5"/>
    <x v="0"/>
    <x v="0"/>
    <n v="1"/>
    <x v="1"/>
    <x v="1"/>
    <d v="2025-06-30T00:00:00"/>
  </r>
  <r>
    <n v="529"/>
    <x v="176"/>
    <n v="1"/>
    <x v="0"/>
    <x v="0"/>
    <n v="35"/>
    <x v="1"/>
    <x v="3"/>
    <x v="1"/>
    <d v="2025-02-27T00:00:00"/>
    <x v="4"/>
    <s v="Thu"/>
    <s v="Jan–Jun 2025"/>
    <x v="0"/>
    <s v="Beginner"/>
    <n v="4"/>
    <n v="0.79166666666666663"/>
    <n v="54"/>
    <x v="0"/>
    <x v="0"/>
    <n v="1"/>
    <x v="1"/>
    <x v="1"/>
    <d v="2025-06-30T00:00:00"/>
  </r>
  <r>
    <n v="530"/>
    <x v="176"/>
    <n v="2"/>
    <x v="0"/>
    <x v="0"/>
    <n v="35"/>
    <x v="1"/>
    <x v="3"/>
    <x v="1"/>
    <d v="2025-02-27T00:00:00"/>
    <x v="4"/>
    <s v="Thu"/>
    <s v="Jan–Jun 2025"/>
    <x v="1"/>
    <s v="Beginner"/>
    <n v="4"/>
    <n v="0.79166666666666663"/>
    <n v="63.5"/>
    <x v="1"/>
    <x v="0"/>
    <n v="1"/>
    <x v="1"/>
    <x v="1"/>
    <d v="2025-06-30T00:00:00"/>
  </r>
  <r>
    <n v="531"/>
    <x v="176"/>
    <n v="3"/>
    <x v="0"/>
    <x v="0"/>
    <n v="35"/>
    <x v="1"/>
    <x v="3"/>
    <x v="1"/>
    <d v="2025-02-27T00:00:00"/>
    <x v="4"/>
    <s v="Thu"/>
    <s v="Jan–Jun 2025"/>
    <x v="2"/>
    <s v="Beginner"/>
    <n v="4"/>
    <n v="0.77083333333333337"/>
    <n v="94.5"/>
    <x v="2"/>
    <x v="0"/>
    <n v="1"/>
    <x v="1"/>
    <x v="1"/>
    <d v="2025-06-30T00:00:00"/>
  </r>
  <r>
    <n v="532"/>
    <x v="177"/>
    <n v="1"/>
    <x v="2"/>
    <x v="0"/>
    <n v="32"/>
    <x v="1"/>
    <x v="1"/>
    <x v="2"/>
    <d v="2025-05-08T00:00:00"/>
    <x v="1"/>
    <s v="Thu"/>
    <s v="Jan–Jun 2025"/>
    <x v="0"/>
    <s v="Beginner"/>
    <n v="4"/>
    <n v="0.77083333333333337"/>
    <n v="70.5"/>
    <x v="1"/>
    <x v="0"/>
    <n v="1"/>
    <x v="0"/>
    <x v="1"/>
    <d v="2025-06-30T00:00:00"/>
  </r>
  <r>
    <n v="533"/>
    <x v="177"/>
    <n v="2"/>
    <x v="2"/>
    <x v="0"/>
    <n v="32"/>
    <x v="1"/>
    <x v="1"/>
    <x v="2"/>
    <d v="2025-05-08T00:00:00"/>
    <x v="1"/>
    <s v="Thu"/>
    <s v="Jan–Jun 2025"/>
    <x v="1"/>
    <s v="Beginner"/>
    <n v="4"/>
    <n v="0.85416666666666663"/>
    <n v="69"/>
    <x v="1"/>
    <x v="0"/>
    <n v="1"/>
    <x v="0"/>
    <x v="1"/>
    <d v="2025-06-30T00:00:00"/>
  </r>
  <r>
    <n v="534"/>
    <x v="177"/>
    <n v="3"/>
    <x v="0"/>
    <x v="0"/>
    <n v="32"/>
    <x v="1"/>
    <x v="1"/>
    <x v="2"/>
    <d v="2025-05-08T00:00:00"/>
    <x v="1"/>
    <s v="Thu"/>
    <s v="Jan–Jun 2025"/>
    <x v="2"/>
    <s v="Beginner"/>
    <n v="4"/>
    <n v="0.8125"/>
    <n v="72"/>
    <x v="1"/>
    <x v="0"/>
    <n v="1"/>
    <x v="0"/>
    <x v="1"/>
    <d v="2025-06-30T00:00:00"/>
  </r>
  <r>
    <n v="535"/>
    <x v="178"/>
    <n v="1"/>
    <x v="1"/>
    <x v="1"/>
    <n v="34"/>
    <x v="1"/>
    <x v="0"/>
    <x v="0"/>
    <d v="2025-04-17T00:00:00"/>
    <x v="3"/>
    <s v="Thu"/>
    <s v="Jan–Jun 2025"/>
    <x v="0"/>
    <s v="Beginner"/>
    <n v="4"/>
    <n v="0.83333333333333337"/>
    <n v="82.5"/>
    <x v="2"/>
    <x v="0"/>
    <n v="1"/>
    <x v="1"/>
    <x v="1"/>
    <d v="2025-06-30T00:00:00"/>
  </r>
  <r>
    <n v="536"/>
    <x v="178"/>
    <n v="2"/>
    <x v="0"/>
    <x v="1"/>
    <n v="34"/>
    <x v="1"/>
    <x v="0"/>
    <x v="0"/>
    <d v="2025-04-17T00:00:00"/>
    <x v="3"/>
    <s v="Thu"/>
    <s v="Jan–Jun 2025"/>
    <x v="1"/>
    <s v="Beginner"/>
    <n v="4"/>
    <n v="0.89583333333333337"/>
    <n v="79"/>
    <x v="2"/>
    <x v="0"/>
    <n v="1"/>
    <x v="1"/>
    <x v="1"/>
    <d v="2025-06-30T00:00:00"/>
  </r>
  <r>
    <n v="537"/>
    <x v="178"/>
    <n v="3"/>
    <x v="0"/>
    <x v="1"/>
    <n v="34"/>
    <x v="1"/>
    <x v="0"/>
    <x v="0"/>
    <d v="2025-04-17T00:00:00"/>
    <x v="3"/>
    <s v="Thu"/>
    <s v="Jan–Jun 2025"/>
    <x v="2"/>
    <s v="Beginner"/>
    <n v="4"/>
    <n v="0.75"/>
    <n v="67.5"/>
    <x v="1"/>
    <x v="0"/>
    <n v="1"/>
    <x v="1"/>
    <x v="1"/>
    <d v="2025-06-30T00:00:00"/>
  </r>
  <r>
    <n v="538"/>
    <x v="179"/>
    <n v="1"/>
    <x v="0"/>
    <x v="1"/>
    <n v="33"/>
    <x v="1"/>
    <x v="4"/>
    <x v="3"/>
    <d v="2025-05-22T00:00:00"/>
    <x v="1"/>
    <s v="Thu"/>
    <s v="Jan–Jun 2025"/>
    <x v="0"/>
    <s v="Beginner"/>
    <n v="4"/>
    <n v="0.89583333333333337"/>
    <n v="59.5"/>
    <x v="0"/>
    <x v="0"/>
    <n v="1"/>
    <x v="1"/>
    <x v="1"/>
    <d v="2025-06-30T00:00:00"/>
  </r>
  <r>
    <n v="539"/>
    <x v="179"/>
    <n v="2"/>
    <x v="1"/>
    <x v="1"/>
    <n v="33"/>
    <x v="1"/>
    <x v="4"/>
    <x v="3"/>
    <d v="2025-05-22T00:00:00"/>
    <x v="1"/>
    <s v="Thu"/>
    <s v="Jan–Jun 2025"/>
    <x v="1"/>
    <s v="Beginner"/>
    <n v="4"/>
    <n v="0.875"/>
    <n v="79"/>
    <x v="2"/>
    <x v="0"/>
    <n v="1"/>
    <x v="1"/>
    <x v="1"/>
    <d v="2025-06-30T00:00:00"/>
  </r>
  <r>
    <n v="540"/>
    <x v="179"/>
    <n v="3"/>
    <x v="2"/>
    <x v="1"/>
    <n v="33"/>
    <x v="1"/>
    <x v="4"/>
    <x v="3"/>
    <d v="2025-05-22T00:00:00"/>
    <x v="1"/>
    <s v="Thu"/>
    <s v="Jan–Jun 2025"/>
    <x v="2"/>
    <s v="Beginner"/>
    <n v="4"/>
    <n v="0.83333333333333337"/>
    <n v="49.5"/>
    <x v="0"/>
    <x v="0"/>
    <n v="1"/>
    <x v="1"/>
    <x v="1"/>
    <d v="2025-06-30T00:00:00"/>
  </r>
  <r>
    <n v="541"/>
    <x v="180"/>
    <n v="1"/>
    <x v="0"/>
    <x v="0"/>
    <n v="30"/>
    <x v="1"/>
    <x v="4"/>
    <x v="2"/>
    <d v="2025-01-18T00:00:00"/>
    <x v="2"/>
    <s v="Sat"/>
    <s v="Jan–Jun 2025"/>
    <x v="0"/>
    <s v="Beginner"/>
    <n v="4"/>
    <n v="0.75"/>
    <n v="50"/>
    <x v="0"/>
    <x v="0"/>
    <n v="1"/>
    <x v="1"/>
    <x v="0"/>
    <d v="2025-06-30T00:00:00"/>
  </r>
  <r>
    <n v="542"/>
    <x v="180"/>
    <n v="2"/>
    <x v="2"/>
    <x v="0"/>
    <n v="30"/>
    <x v="1"/>
    <x v="4"/>
    <x v="2"/>
    <d v="2025-01-18T00:00:00"/>
    <x v="2"/>
    <s v="Sat"/>
    <s v="Jan–Jun 2025"/>
    <x v="1"/>
    <s v="Beginner"/>
    <n v="4"/>
    <n v="0.875"/>
    <n v="72.5"/>
    <x v="1"/>
    <x v="0"/>
    <n v="1"/>
    <x v="1"/>
    <x v="0"/>
    <d v="2025-06-30T00:00:00"/>
  </r>
  <r>
    <n v="543"/>
    <x v="180"/>
    <n v="3"/>
    <x v="0"/>
    <x v="0"/>
    <n v="30"/>
    <x v="1"/>
    <x v="4"/>
    <x v="2"/>
    <d v="2025-01-18T00:00:00"/>
    <x v="2"/>
    <s v="Sat"/>
    <s v="Jan–Jun 2025"/>
    <x v="2"/>
    <s v="Beginner"/>
    <n v="4"/>
    <n v="0.91666666666666663"/>
    <n v="50"/>
    <x v="0"/>
    <x v="0"/>
    <n v="1"/>
    <x v="1"/>
    <x v="0"/>
    <d v="2025-06-30T00:00:00"/>
  </r>
  <r>
    <n v="544"/>
    <x v="181"/>
    <n v="1"/>
    <x v="1"/>
    <x v="1"/>
    <n v="31"/>
    <x v="1"/>
    <x v="5"/>
    <x v="0"/>
    <d v="2025-01-01T00:00:00"/>
    <x v="2"/>
    <s v="Wed"/>
    <s v="Jan–Jun 2025"/>
    <x v="0"/>
    <s v="Beginner"/>
    <n v="4"/>
    <n v="0.75"/>
    <n v="56.5"/>
    <x v="0"/>
    <x v="0"/>
    <n v="1"/>
    <x v="1"/>
    <x v="0"/>
    <d v="2025-06-30T00:00:00"/>
  </r>
  <r>
    <n v="545"/>
    <x v="181"/>
    <n v="2"/>
    <x v="0"/>
    <x v="1"/>
    <n v="31"/>
    <x v="1"/>
    <x v="5"/>
    <x v="0"/>
    <d v="2025-01-01T00:00:00"/>
    <x v="2"/>
    <s v="Wed"/>
    <s v="Jan–Jun 2025"/>
    <x v="1"/>
    <s v="Beginner"/>
    <n v="4"/>
    <n v="0.8125"/>
    <n v="72"/>
    <x v="1"/>
    <x v="0"/>
    <n v="1"/>
    <x v="1"/>
    <x v="0"/>
    <d v="2025-06-30T00:00:00"/>
  </r>
  <r>
    <n v="546"/>
    <x v="181"/>
    <n v="3"/>
    <x v="0"/>
    <x v="1"/>
    <n v="31"/>
    <x v="1"/>
    <x v="5"/>
    <x v="0"/>
    <d v="2025-01-01T00:00:00"/>
    <x v="2"/>
    <s v="Wed"/>
    <s v="Jan–Jun 2025"/>
    <x v="2"/>
    <s v="Beginner"/>
    <n v="4"/>
    <n v="0.875"/>
    <n v="76"/>
    <x v="1"/>
    <x v="0"/>
    <n v="1"/>
    <x v="1"/>
    <x v="0"/>
    <d v="2025-06-30T00:00:00"/>
  </r>
  <r>
    <n v="547"/>
    <x v="182"/>
    <n v="1"/>
    <x v="0"/>
    <x v="1"/>
    <n v="27"/>
    <x v="2"/>
    <x v="2"/>
    <x v="3"/>
    <d v="2025-02-08T00:00:00"/>
    <x v="4"/>
    <s v="Sat"/>
    <s v="Jan–Jun 2025"/>
    <x v="0"/>
    <s v="Beginner"/>
    <n v="4"/>
    <n v="0.79166666666666663"/>
    <n v="76"/>
    <x v="1"/>
    <x v="0"/>
    <n v="1"/>
    <x v="0"/>
    <x v="1"/>
    <d v="2025-06-30T00:00:00"/>
  </r>
  <r>
    <n v="548"/>
    <x v="182"/>
    <n v="2"/>
    <x v="2"/>
    <x v="1"/>
    <n v="27"/>
    <x v="2"/>
    <x v="2"/>
    <x v="3"/>
    <d v="2025-02-08T00:00:00"/>
    <x v="4"/>
    <s v="Sat"/>
    <s v="Jan–Jun 2025"/>
    <x v="1"/>
    <s v="Beginner"/>
    <n v="4"/>
    <n v="0.83333333333333337"/>
    <n v="85"/>
    <x v="2"/>
    <x v="0"/>
    <n v="1"/>
    <x v="0"/>
    <x v="1"/>
    <d v="2025-06-30T00:00:00"/>
  </r>
  <r>
    <n v="549"/>
    <x v="182"/>
    <n v="3"/>
    <x v="0"/>
    <x v="1"/>
    <n v="27"/>
    <x v="2"/>
    <x v="2"/>
    <x v="3"/>
    <d v="2025-02-08T00:00:00"/>
    <x v="4"/>
    <s v="Sat"/>
    <s v="Jan–Jun 2025"/>
    <x v="2"/>
    <s v="Beginner"/>
    <n v="4"/>
    <n v="0.85416666666666663"/>
    <n v="98.5"/>
    <x v="2"/>
    <x v="0"/>
    <n v="1"/>
    <x v="0"/>
    <x v="1"/>
    <d v="2025-06-30T00:00:00"/>
  </r>
  <r>
    <n v="550"/>
    <x v="183"/>
    <n v="1"/>
    <x v="0"/>
    <x v="1"/>
    <n v="35"/>
    <x v="1"/>
    <x v="3"/>
    <x v="0"/>
    <d v="2025-03-27T00:00:00"/>
    <x v="0"/>
    <s v="Thu"/>
    <s v="Jan–Jun 2025"/>
    <x v="0"/>
    <s v="Beginner"/>
    <n v="4"/>
    <n v="0.83333333333333337"/>
    <n v="69"/>
    <x v="1"/>
    <x v="0"/>
    <n v="1"/>
    <x v="1"/>
    <x v="0"/>
    <d v="2025-06-30T00:00:00"/>
  </r>
  <r>
    <n v="551"/>
    <x v="183"/>
    <n v="2"/>
    <x v="0"/>
    <x v="1"/>
    <n v="35"/>
    <x v="1"/>
    <x v="3"/>
    <x v="0"/>
    <d v="2025-03-27T00:00:00"/>
    <x v="0"/>
    <s v="Thu"/>
    <s v="Jan–Jun 2025"/>
    <x v="1"/>
    <s v="Beginner"/>
    <n v="4"/>
    <n v="0.79166666666666663"/>
    <n v="57"/>
    <x v="0"/>
    <x v="0"/>
    <n v="1"/>
    <x v="1"/>
    <x v="0"/>
    <d v="2025-06-30T00:00:00"/>
  </r>
  <r>
    <n v="552"/>
    <x v="183"/>
    <n v="3"/>
    <x v="0"/>
    <x v="1"/>
    <n v="35"/>
    <x v="1"/>
    <x v="3"/>
    <x v="0"/>
    <d v="2025-03-27T00:00:00"/>
    <x v="0"/>
    <s v="Thu"/>
    <s v="Jan–Jun 2025"/>
    <x v="2"/>
    <s v="Beginner"/>
    <n v="4"/>
    <n v="0.83333333333333337"/>
    <n v="51"/>
    <x v="0"/>
    <x v="0"/>
    <n v="1"/>
    <x v="1"/>
    <x v="0"/>
    <d v="2025-06-30T00:00:00"/>
  </r>
  <r>
    <n v="553"/>
    <x v="184"/>
    <n v="1"/>
    <x v="1"/>
    <x v="1"/>
    <n v="32"/>
    <x v="1"/>
    <x v="5"/>
    <x v="2"/>
    <d v="2025-03-03T00:00:00"/>
    <x v="0"/>
    <s v="Mon"/>
    <s v="Jan–Jun 2025"/>
    <x v="0"/>
    <s v="Beginner"/>
    <n v="4"/>
    <n v="0.875"/>
    <n v="61.5"/>
    <x v="1"/>
    <x v="0"/>
    <n v="1"/>
    <x v="1"/>
    <x v="1"/>
    <d v="2025-06-30T00:00:00"/>
  </r>
  <r>
    <n v="554"/>
    <x v="184"/>
    <n v="2"/>
    <x v="0"/>
    <x v="1"/>
    <n v="32"/>
    <x v="1"/>
    <x v="5"/>
    <x v="2"/>
    <d v="2025-03-03T00:00:00"/>
    <x v="0"/>
    <s v="Mon"/>
    <s v="Jan–Jun 2025"/>
    <x v="1"/>
    <s v="Beginner"/>
    <n v="4"/>
    <n v="0.875"/>
    <n v="52.5"/>
    <x v="0"/>
    <x v="0"/>
    <n v="1"/>
    <x v="1"/>
    <x v="1"/>
    <d v="2025-06-30T00:00:00"/>
  </r>
  <r>
    <n v="555"/>
    <x v="184"/>
    <n v="3"/>
    <x v="0"/>
    <x v="1"/>
    <n v="32"/>
    <x v="1"/>
    <x v="5"/>
    <x v="2"/>
    <d v="2025-03-03T00:00:00"/>
    <x v="0"/>
    <s v="Mon"/>
    <s v="Jan–Jun 2025"/>
    <x v="2"/>
    <s v="Beginner"/>
    <n v="4"/>
    <n v="0.91666666666666663"/>
    <n v="97"/>
    <x v="2"/>
    <x v="0"/>
    <n v="1"/>
    <x v="1"/>
    <x v="1"/>
    <d v="2025-06-30T00:00:00"/>
  </r>
  <r>
    <n v="556"/>
    <x v="185"/>
    <n v="1"/>
    <x v="2"/>
    <x v="1"/>
    <n v="25"/>
    <x v="2"/>
    <x v="3"/>
    <x v="1"/>
    <d v="2025-03-23T00:00:00"/>
    <x v="0"/>
    <s v="Sun"/>
    <s v="Jan–Jun 2025"/>
    <x v="0"/>
    <s v="Beginner"/>
    <n v="4"/>
    <n v="0.83333333333333337"/>
    <n v="65.5"/>
    <x v="1"/>
    <x v="1"/>
    <n v="0"/>
    <x v="0"/>
    <x v="0"/>
    <d v="2025-06-30T00:00:00"/>
  </r>
  <r>
    <n v="557"/>
    <x v="185"/>
    <n v="2"/>
    <x v="1"/>
    <x v="1"/>
    <n v="25"/>
    <x v="2"/>
    <x v="3"/>
    <x v="1"/>
    <d v="2025-03-23T00:00:00"/>
    <x v="0"/>
    <s v="Sun"/>
    <s v="Jan–Jun 2025"/>
    <x v="1"/>
    <s v="Beginner"/>
    <n v="4"/>
    <n v="0.83333333333333337"/>
    <n v="63"/>
    <x v="1"/>
    <x v="1"/>
    <n v="0"/>
    <x v="0"/>
    <x v="0"/>
    <d v="2025-06-30T00:00:00"/>
  </r>
  <r>
    <n v="558"/>
    <x v="185"/>
    <n v="3"/>
    <x v="0"/>
    <x v="1"/>
    <n v="25"/>
    <x v="2"/>
    <x v="3"/>
    <x v="1"/>
    <d v="2025-03-23T00:00:00"/>
    <x v="0"/>
    <s v="Sun"/>
    <s v="Jan–Jun 2025"/>
    <x v="2"/>
    <s v="Beginner"/>
    <n v="4"/>
    <n v="0.875"/>
    <n v="95.5"/>
    <x v="2"/>
    <x v="1"/>
    <n v="0"/>
    <x v="0"/>
    <x v="0"/>
    <d v="2025-06-30T00:00:00"/>
  </r>
  <r>
    <n v="559"/>
    <x v="186"/>
    <n v="1"/>
    <x v="0"/>
    <x v="1"/>
    <n v="30"/>
    <x v="1"/>
    <x v="3"/>
    <x v="2"/>
    <d v="2025-05-07T00:00:00"/>
    <x v="1"/>
    <s v="Wed"/>
    <s v="Jan–Jun 2025"/>
    <x v="0"/>
    <s v="Beginner"/>
    <n v="4"/>
    <n v="0.875"/>
    <n v="75"/>
    <x v="1"/>
    <x v="1"/>
    <n v="0"/>
    <x v="0"/>
    <x v="0"/>
    <d v="2025-06-30T00:00:00"/>
  </r>
  <r>
    <n v="560"/>
    <x v="186"/>
    <n v="2"/>
    <x v="0"/>
    <x v="1"/>
    <n v="30"/>
    <x v="1"/>
    <x v="3"/>
    <x v="2"/>
    <d v="2025-05-07T00:00:00"/>
    <x v="1"/>
    <s v="Wed"/>
    <s v="Jan–Jun 2025"/>
    <x v="1"/>
    <s v="Beginner"/>
    <n v="4"/>
    <n v="0.77083333333333337"/>
    <n v="70.5"/>
    <x v="1"/>
    <x v="1"/>
    <n v="0"/>
    <x v="0"/>
    <x v="0"/>
    <d v="2025-06-30T00:00:00"/>
  </r>
  <r>
    <n v="561"/>
    <x v="186"/>
    <n v="3"/>
    <x v="0"/>
    <x v="1"/>
    <n v="30"/>
    <x v="1"/>
    <x v="3"/>
    <x v="2"/>
    <d v="2025-05-07T00:00:00"/>
    <x v="1"/>
    <s v="Wed"/>
    <s v="Jan–Jun 2025"/>
    <x v="2"/>
    <s v="Beginner"/>
    <n v="4"/>
    <n v="0.75"/>
    <n v="72"/>
    <x v="1"/>
    <x v="1"/>
    <n v="0"/>
    <x v="0"/>
    <x v="0"/>
    <d v="2025-06-30T00:00:00"/>
  </r>
  <r>
    <n v="562"/>
    <x v="187"/>
    <n v="1"/>
    <x v="0"/>
    <x v="0"/>
    <n v="22"/>
    <x v="0"/>
    <x v="2"/>
    <x v="0"/>
    <d v="2025-01-26T00:00:00"/>
    <x v="2"/>
    <s v="Sun"/>
    <s v="Jan–Jun 2025"/>
    <x v="0"/>
    <s v="Beginner"/>
    <n v="4"/>
    <n v="0.875"/>
    <n v="81.5"/>
    <x v="2"/>
    <x v="1"/>
    <n v="0"/>
    <x v="0"/>
    <x v="0"/>
    <d v="2025-06-30T00:00:00"/>
  </r>
  <r>
    <n v="563"/>
    <x v="187"/>
    <n v="2"/>
    <x v="0"/>
    <x v="0"/>
    <n v="22"/>
    <x v="0"/>
    <x v="2"/>
    <x v="0"/>
    <d v="2025-01-26T00:00:00"/>
    <x v="2"/>
    <s v="Sun"/>
    <s v="Jan–Jun 2025"/>
    <x v="1"/>
    <s v="Beginner"/>
    <n v="4"/>
    <n v="0.83333333333333337"/>
    <n v="83"/>
    <x v="2"/>
    <x v="1"/>
    <n v="0"/>
    <x v="0"/>
    <x v="0"/>
    <d v="2025-06-30T00:00:00"/>
  </r>
  <r>
    <n v="564"/>
    <x v="187"/>
    <n v="3"/>
    <x v="0"/>
    <x v="0"/>
    <n v="22"/>
    <x v="0"/>
    <x v="2"/>
    <x v="0"/>
    <d v="2025-01-26T00:00:00"/>
    <x v="2"/>
    <s v="Sun"/>
    <s v="Jan–Jun 2025"/>
    <x v="2"/>
    <s v="Beginner"/>
    <n v="4"/>
    <n v="0.85416666666666663"/>
    <n v="73.5"/>
    <x v="1"/>
    <x v="1"/>
    <n v="0"/>
    <x v="0"/>
    <x v="0"/>
    <d v="2025-06-30T00:00:00"/>
  </r>
  <r>
    <n v="565"/>
    <x v="188"/>
    <n v="1"/>
    <x v="0"/>
    <x v="1"/>
    <n v="21"/>
    <x v="0"/>
    <x v="2"/>
    <x v="3"/>
    <d v="2025-01-04T00:00:00"/>
    <x v="2"/>
    <s v="Sat"/>
    <s v="Jan–Jun 2025"/>
    <x v="0"/>
    <s v="Beginner"/>
    <n v="4"/>
    <n v="0.875"/>
    <n v="67.5"/>
    <x v="1"/>
    <x v="0"/>
    <n v="1"/>
    <x v="1"/>
    <x v="0"/>
    <d v="2025-06-30T00:00:00"/>
  </r>
  <r>
    <n v="566"/>
    <x v="188"/>
    <n v="2"/>
    <x v="0"/>
    <x v="1"/>
    <n v="21"/>
    <x v="0"/>
    <x v="2"/>
    <x v="3"/>
    <d v="2025-01-04T00:00:00"/>
    <x v="2"/>
    <s v="Sat"/>
    <s v="Jan–Jun 2025"/>
    <x v="1"/>
    <s v="Beginner"/>
    <n v="4"/>
    <n v="0.79166666666666663"/>
    <n v="64"/>
    <x v="1"/>
    <x v="0"/>
    <n v="1"/>
    <x v="1"/>
    <x v="0"/>
    <d v="2025-06-30T00:00:00"/>
  </r>
  <r>
    <n v="567"/>
    <x v="188"/>
    <n v="3"/>
    <x v="2"/>
    <x v="1"/>
    <n v="21"/>
    <x v="0"/>
    <x v="2"/>
    <x v="3"/>
    <d v="2025-01-04T00:00:00"/>
    <x v="2"/>
    <s v="Sat"/>
    <s v="Jan–Jun 2025"/>
    <x v="2"/>
    <s v="Beginner"/>
    <n v="4"/>
    <n v="0.9375"/>
    <n v="77"/>
    <x v="1"/>
    <x v="0"/>
    <n v="1"/>
    <x v="1"/>
    <x v="0"/>
    <d v="2025-06-30T00:00:00"/>
  </r>
  <r>
    <n v="568"/>
    <x v="189"/>
    <n v="1"/>
    <x v="0"/>
    <x v="0"/>
    <n v="31"/>
    <x v="1"/>
    <x v="0"/>
    <x v="2"/>
    <d v="2025-01-20T00:00:00"/>
    <x v="2"/>
    <s v="Mon"/>
    <s v="Jan–Jun 2025"/>
    <x v="0"/>
    <s v="Beginner"/>
    <n v="4"/>
    <n v="0.85416666666666663"/>
    <n v="74"/>
    <x v="1"/>
    <x v="1"/>
    <n v="0"/>
    <x v="0"/>
    <x v="0"/>
    <d v="2025-06-30T00:00:00"/>
  </r>
  <r>
    <n v="569"/>
    <x v="189"/>
    <n v="2"/>
    <x v="0"/>
    <x v="0"/>
    <n v="31"/>
    <x v="1"/>
    <x v="0"/>
    <x v="2"/>
    <d v="2025-01-20T00:00:00"/>
    <x v="2"/>
    <s v="Mon"/>
    <s v="Jan–Jun 2025"/>
    <x v="1"/>
    <s v="Beginner"/>
    <n v="4"/>
    <n v="0.79166666666666663"/>
    <n v="78"/>
    <x v="1"/>
    <x v="1"/>
    <n v="0"/>
    <x v="0"/>
    <x v="0"/>
    <d v="2025-06-30T00:00:00"/>
  </r>
  <r>
    <n v="570"/>
    <x v="189"/>
    <n v="3"/>
    <x v="0"/>
    <x v="0"/>
    <n v="31"/>
    <x v="1"/>
    <x v="0"/>
    <x v="2"/>
    <d v="2025-01-20T00:00:00"/>
    <x v="2"/>
    <s v="Mon"/>
    <s v="Jan–Jun 2025"/>
    <x v="2"/>
    <s v="Beginner"/>
    <n v="4"/>
    <n v="0.77083333333333337"/>
    <n v="73"/>
    <x v="1"/>
    <x v="1"/>
    <n v="0"/>
    <x v="0"/>
    <x v="0"/>
    <d v="2025-06-30T00:00:00"/>
  </r>
  <r>
    <n v="571"/>
    <x v="190"/>
    <n v="1"/>
    <x v="0"/>
    <x v="1"/>
    <n v="26"/>
    <x v="2"/>
    <x v="5"/>
    <x v="3"/>
    <d v="2025-01-21T00:00:00"/>
    <x v="2"/>
    <s v="Tue"/>
    <s v="Jan–Jun 2025"/>
    <x v="0"/>
    <s v="Beginner"/>
    <n v="4"/>
    <n v="0.83333333333333337"/>
    <n v="67.5"/>
    <x v="1"/>
    <x v="0"/>
    <n v="1"/>
    <x v="0"/>
    <x v="0"/>
    <d v="2025-06-30T00:00:00"/>
  </r>
  <r>
    <n v="572"/>
    <x v="190"/>
    <n v="2"/>
    <x v="0"/>
    <x v="1"/>
    <n v="26"/>
    <x v="2"/>
    <x v="5"/>
    <x v="3"/>
    <d v="2025-01-21T00:00:00"/>
    <x v="2"/>
    <s v="Tue"/>
    <s v="Jan–Jun 2025"/>
    <x v="1"/>
    <s v="Beginner"/>
    <n v="4"/>
    <n v="0.83333333333333337"/>
    <n v="75.5"/>
    <x v="1"/>
    <x v="0"/>
    <n v="1"/>
    <x v="0"/>
    <x v="0"/>
    <d v="2025-06-30T00:00:00"/>
  </r>
  <r>
    <n v="573"/>
    <x v="190"/>
    <n v="3"/>
    <x v="0"/>
    <x v="1"/>
    <n v="26"/>
    <x v="2"/>
    <x v="5"/>
    <x v="3"/>
    <d v="2025-01-21T00:00:00"/>
    <x v="2"/>
    <s v="Tue"/>
    <s v="Jan–Jun 2025"/>
    <x v="2"/>
    <s v="Beginner"/>
    <n v="4"/>
    <n v="0.8125"/>
    <n v="66.5"/>
    <x v="1"/>
    <x v="0"/>
    <n v="1"/>
    <x v="0"/>
    <x v="0"/>
    <d v="2025-06-30T00:00:00"/>
  </r>
  <r>
    <n v="574"/>
    <x v="191"/>
    <n v="1"/>
    <x v="1"/>
    <x v="1"/>
    <n v="35"/>
    <x v="1"/>
    <x v="3"/>
    <x v="0"/>
    <d v="2025-05-05T00:00:00"/>
    <x v="1"/>
    <s v="Mon"/>
    <s v="Jan–Jun 2025"/>
    <x v="0"/>
    <s v="Beginner"/>
    <n v="4"/>
    <n v="0.72916666666666663"/>
    <n v="73.5"/>
    <x v="1"/>
    <x v="0"/>
    <n v="1"/>
    <x v="1"/>
    <x v="0"/>
    <d v="2025-06-30T00:00:00"/>
  </r>
  <r>
    <n v="575"/>
    <x v="191"/>
    <n v="2"/>
    <x v="0"/>
    <x v="1"/>
    <n v="35"/>
    <x v="1"/>
    <x v="3"/>
    <x v="0"/>
    <d v="2025-05-05T00:00:00"/>
    <x v="1"/>
    <s v="Mon"/>
    <s v="Jan–Jun 2025"/>
    <x v="1"/>
    <s v="Beginner"/>
    <n v="4"/>
    <n v="0.9375"/>
    <n v="65.5"/>
    <x v="1"/>
    <x v="0"/>
    <n v="1"/>
    <x v="1"/>
    <x v="0"/>
    <d v="2025-06-30T00:00:00"/>
  </r>
  <r>
    <n v="576"/>
    <x v="191"/>
    <n v="3"/>
    <x v="1"/>
    <x v="1"/>
    <n v="35"/>
    <x v="1"/>
    <x v="3"/>
    <x v="0"/>
    <d v="2025-05-05T00:00:00"/>
    <x v="1"/>
    <s v="Mon"/>
    <s v="Jan–Jun 2025"/>
    <x v="2"/>
    <s v="Beginner"/>
    <n v="4"/>
    <n v="0.8125"/>
    <n v="74.5"/>
    <x v="1"/>
    <x v="0"/>
    <n v="1"/>
    <x v="1"/>
    <x v="0"/>
    <d v="2025-06-30T00:00:00"/>
  </r>
  <r>
    <n v="577"/>
    <x v="192"/>
    <n v="1"/>
    <x v="0"/>
    <x v="0"/>
    <n v="20"/>
    <x v="0"/>
    <x v="4"/>
    <x v="0"/>
    <d v="2025-02-28T00:00:00"/>
    <x v="4"/>
    <s v="Fri"/>
    <s v="Jan–Jun 2025"/>
    <x v="0"/>
    <s v="Beginner"/>
    <n v="4"/>
    <n v="0.875"/>
    <n v="76"/>
    <x v="1"/>
    <x v="0"/>
    <n v="1"/>
    <x v="1"/>
    <x v="0"/>
    <d v="2025-06-30T00:00:00"/>
  </r>
  <r>
    <n v="578"/>
    <x v="192"/>
    <n v="2"/>
    <x v="0"/>
    <x v="0"/>
    <n v="20"/>
    <x v="0"/>
    <x v="4"/>
    <x v="0"/>
    <d v="2025-02-28T00:00:00"/>
    <x v="4"/>
    <s v="Fri"/>
    <s v="Jan–Jun 2025"/>
    <x v="1"/>
    <s v="Beginner"/>
    <n v="4"/>
    <n v="0.875"/>
    <n v="59"/>
    <x v="0"/>
    <x v="0"/>
    <n v="1"/>
    <x v="1"/>
    <x v="0"/>
    <d v="2025-06-30T00:00:00"/>
  </r>
  <r>
    <n v="579"/>
    <x v="192"/>
    <n v="3"/>
    <x v="0"/>
    <x v="0"/>
    <n v="20"/>
    <x v="0"/>
    <x v="4"/>
    <x v="0"/>
    <d v="2025-02-28T00:00:00"/>
    <x v="4"/>
    <s v="Fri"/>
    <s v="Jan–Jun 2025"/>
    <x v="2"/>
    <s v="Beginner"/>
    <n v="4"/>
    <n v="0.70833333333333337"/>
    <n v="53.5"/>
    <x v="0"/>
    <x v="0"/>
    <n v="1"/>
    <x v="1"/>
    <x v="0"/>
    <d v="2025-06-30T00:00:00"/>
  </r>
  <r>
    <n v="580"/>
    <x v="193"/>
    <n v="1"/>
    <x v="0"/>
    <x v="0"/>
    <n v="31"/>
    <x v="1"/>
    <x v="1"/>
    <x v="1"/>
    <d v="2025-04-24T00:00:00"/>
    <x v="3"/>
    <s v="Thu"/>
    <s v="Jan–Jun 2025"/>
    <x v="0"/>
    <s v="Beginner"/>
    <n v="4"/>
    <n v="0.83333333333333337"/>
    <n v="76.5"/>
    <x v="1"/>
    <x v="0"/>
    <n v="1"/>
    <x v="1"/>
    <x v="1"/>
    <d v="2025-06-30T00:00:00"/>
  </r>
  <r>
    <n v="581"/>
    <x v="193"/>
    <n v="2"/>
    <x v="0"/>
    <x v="0"/>
    <n v="31"/>
    <x v="1"/>
    <x v="1"/>
    <x v="1"/>
    <d v="2025-04-24T00:00:00"/>
    <x v="3"/>
    <s v="Thu"/>
    <s v="Jan–Jun 2025"/>
    <x v="1"/>
    <s v="Beginner"/>
    <n v="4"/>
    <n v="0.70833333333333337"/>
    <n v="82.5"/>
    <x v="2"/>
    <x v="0"/>
    <n v="1"/>
    <x v="1"/>
    <x v="1"/>
    <d v="2025-06-30T00:00:00"/>
  </r>
  <r>
    <n v="582"/>
    <x v="193"/>
    <n v="3"/>
    <x v="0"/>
    <x v="0"/>
    <n v="31"/>
    <x v="1"/>
    <x v="1"/>
    <x v="1"/>
    <d v="2025-04-24T00:00:00"/>
    <x v="3"/>
    <s v="Thu"/>
    <s v="Jan–Jun 2025"/>
    <x v="2"/>
    <s v="Beginner"/>
    <n v="4"/>
    <n v="0.85416666666666663"/>
    <n v="94"/>
    <x v="2"/>
    <x v="0"/>
    <n v="1"/>
    <x v="1"/>
    <x v="1"/>
    <d v="2025-06-30T00:00:00"/>
  </r>
  <r>
    <n v="583"/>
    <x v="194"/>
    <n v="1"/>
    <x v="0"/>
    <x v="0"/>
    <n v="27"/>
    <x v="2"/>
    <x v="1"/>
    <x v="1"/>
    <d v="2025-03-25T00:00:00"/>
    <x v="0"/>
    <s v="Tue"/>
    <s v="Jan–Jun 2025"/>
    <x v="0"/>
    <s v="Beginner"/>
    <n v="4"/>
    <n v="0.8125"/>
    <n v="59"/>
    <x v="0"/>
    <x v="0"/>
    <n v="1"/>
    <x v="1"/>
    <x v="1"/>
    <d v="2025-06-30T00:00:00"/>
  </r>
  <r>
    <n v="584"/>
    <x v="194"/>
    <n v="2"/>
    <x v="2"/>
    <x v="0"/>
    <n v="27"/>
    <x v="2"/>
    <x v="1"/>
    <x v="1"/>
    <d v="2025-03-25T00:00:00"/>
    <x v="0"/>
    <s v="Tue"/>
    <s v="Jan–Jun 2025"/>
    <x v="1"/>
    <s v="Beginner"/>
    <n v="4"/>
    <n v="0.79166666666666663"/>
    <n v="59"/>
    <x v="0"/>
    <x v="0"/>
    <n v="1"/>
    <x v="1"/>
    <x v="1"/>
    <d v="2025-06-30T00:00:00"/>
  </r>
  <r>
    <n v="585"/>
    <x v="194"/>
    <n v="3"/>
    <x v="0"/>
    <x v="0"/>
    <n v="27"/>
    <x v="2"/>
    <x v="1"/>
    <x v="1"/>
    <d v="2025-03-25T00:00:00"/>
    <x v="0"/>
    <s v="Tue"/>
    <s v="Jan–Jun 2025"/>
    <x v="2"/>
    <s v="Beginner"/>
    <n v="4"/>
    <n v="0.875"/>
    <n v="68"/>
    <x v="1"/>
    <x v="0"/>
    <n v="1"/>
    <x v="1"/>
    <x v="1"/>
    <d v="2025-06-30T00:00:00"/>
  </r>
  <r>
    <n v="586"/>
    <x v="195"/>
    <n v="1"/>
    <x v="0"/>
    <x v="0"/>
    <n v="27"/>
    <x v="2"/>
    <x v="5"/>
    <x v="0"/>
    <d v="2025-04-21T00:00:00"/>
    <x v="3"/>
    <s v="Mon"/>
    <s v="Jan–Jun 2025"/>
    <x v="0"/>
    <s v="Beginner"/>
    <n v="4"/>
    <n v="0.9375"/>
    <n v="51"/>
    <x v="0"/>
    <x v="1"/>
    <n v="0"/>
    <x v="0"/>
    <x v="0"/>
    <d v="2025-06-30T00:00:00"/>
  </r>
  <r>
    <n v="587"/>
    <x v="195"/>
    <n v="2"/>
    <x v="2"/>
    <x v="0"/>
    <n v="27"/>
    <x v="2"/>
    <x v="5"/>
    <x v="0"/>
    <d v="2025-04-21T00:00:00"/>
    <x v="3"/>
    <s v="Mon"/>
    <s v="Jan–Jun 2025"/>
    <x v="1"/>
    <s v="Beginner"/>
    <n v="4"/>
    <n v="0.79166666666666663"/>
    <n v="74"/>
    <x v="1"/>
    <x v="1"/>
    <n v="0"/>
    <x v="0"/>
    <x v="0"/>
    <d v="2025-06-30T00:00:00"/>
  </r>
  <r>
    <n v="588"/>
    <x v="195"/>
    <n v="3"/>
    <x v="0"/>
    <x v="0"/>
    <n v="27"/>
    <x v="2"/>
    <x v="5"/>
    <x v="0"/>
    <d v="2025-04-21T00:00:00"/>
    <x v="3"/>
    <s v="Mon"/>
    <s v="Jan–Jun 2025"/>
    <x v="2"/>
    <s v="Beginner"/>
    <n v="4"/>
    <n v="0.875"/>
    <n v="89.5"/>
    <x v="2"/>
    <x v="1"/>
    <n v="0"/>
    <x v="0"/>
    <x v="0"/>
    <d v="2025-06-30T00:00:00"/>
  </r>
  <r>
    <n v="589"/>
    <x v="196"/>
    <n v="1"/>
    <x v="2"/>
    <x v="0"/>
    <n v="25"/>
    <x v="2"/>
    <x v="2"/>
    <x v="3"/>
    <d v="2025-05-25T00:00:00"/>
    <x v="1"/>
    <s v="Sun"/>
    <s v="Jan–Jun 2025"/>
    <x v="0"/>
    <s v="Beginner"/>
    <n v="4"/>
    <n v="0.83333333333333337"/>
    <n v="74.5"/>
    <x v="1"/>
    <x v="0"/>
    <n v="1"/>
    <x v="1"/>
    <x v="1"/>
    <d v="2025-06-30T00:00:00"/>
  </r>
  <r>
    <n v="590"/>
    <x v="196"/>
    <n v="2"/>
    <x v="0"/>
    <x v="0"/>
    <n v="25"/>
    <x v="2"/>
    <x v="2"/>
    <x v="3"/>
    <d v="2025-05-25T00:00:00"/>
    <x v="1"/>
    <s v="Sun"/>
    <s v="Jan–Jun 2025"/>
    <x v="1"/>
    <s v="Beginner"/>
    <n v="4"/>
    <n v="0.83333333333333337"/>
    <n v="66.5"/>
    <x v="1"/>
    <x v="0"/>
    <n v="1"/>
    <x v="1"/>
    <x v="1"/>
    <d v="2025-06-30T00:00:00"/>
  </r>
  <r>
    <n v="591"/>
    <x v="196"/>
    <n v="3"/>
    <x v="0"/>
    <x v="0"/>
    <n v="25"/>
    <x v="2"/>
    <x v="2"/>
    <x v="3"/>
    <d v="2025-05-25T00:00:00"/>
    <x v="1"/>
    <s v="Sun"/>
    <s v="Jan–Jun 2025"/>
    <x v="2"/>
    <s v="Beginner"/>
    <n v="4"/>
    <n v="0.91666666666666663"/>
    <n v="58.5"/>
    <x v="0"/>
    <x v="0"/>
    <n v="1"/>
    <x v="1"/>
    <x v="1"/>
    <d v="2025-06-30T00:00:00"/>
  </r>
  <r>
    <n v="592"/>
    <x v="197"/>
    <n v="1"/>
    <x v="0"/>
    <x v="0"/>
    <n v="23"/>
    <x v="0"/>
    <x v="4"/>
    <x v="1"/>
    <d v="2025-04-08T00:00:00"/>
    <x v="3"/>
    <s v="Tue"/>
    <s v="Jan–Jun 2025"/>
    <x v="0"/>
    <s v="Beginner"/>
    <n v="4"/>
    <n v="0.89583333333333337"/>
    <n v="92"/>
    <x v="2"/>
    <x v="1"/>
    <n v="0"/>
    <x v="0"/>
    <x v="0"/>
    <d v="2025-06-30T00:00:00"/>
  </r>
  <r>
    <n v="593"/>
    <x v="197"/>
    <n v="2"/>
    <x v="1"/>
    <x v="0"/>
    <n v="23"/>
    <x v="0"/>
    <x v="4"/>
    <x v="1"/>
    <d v="2025-04-08T00:00:00"/>
    <x v="3"/>
    <s v="Tue"/>
    <s v="Jan–Jun 2025"/>
    <x v="1"/>
    <s v="Beginner"/>
    <n v="4"/>
    <n v="0.85416666666666663"/>
    <n v="57.5"/>
    <x v="0"/>
    <x v="1"/>
    <n v="0"/>
    <x v="0"/>
    <x v="0"/>
    <d v="2025-06-30T00:00:00"/>
  </r>
  <r>
    <n v="594"/>
    <x v="197"/>
    <n v="3"/>
    <x v="0"/>
    <x v="0"/>
    <n v="23"/>
    <x v="0"/>
    <x v="4"/>
    <x v="1"/>
    <d v="2025-04-08T00:00:00"/>
    <x v="3"/>
    <s v="Tue"/>
    <s v="Jan–Jun 2025"/>
    <x v="2"/>
    <s v="Beginner"/>
    <n v="4"/>
    <n v="0.8125"/>
    <n v="80"/>
    <x v="2"/>
    <x v="1"/>
    <n v="0"/>
    <x v="0"/>
    <x v="0"/>
    <d v="2025-06-30T00:00:00"/>
  </r>
  <r>
    <n v="595"/>
    <x v="198"/>
    <n v="1"/>
    <x v="0"/>
    <x v="0"/>
    <n v="33"/>
    <x v="1"/>
    <x v="2"/>
    <x v="2"/>
    <d v="2025-03-01T00:00:00"/>
    <x v="0"/>
    <s v="Sat"/>
    <s v="Jan–Jun 2025"/>
    <x v="0"/>
    <s v="Beginner"/>
    <n v="4"/>
    <n v="0.85416666666666663"/>
    <n v="57"/>
    <x v="0"/>
    <x v="0"/>
    <n v="1"/>
    <x v="1"/>
    <x v="0"/>
    <d v="2025-06-30T00:00:00"/>
  </r>
  <r>
    <n v="596"/>
    <x v="198"/>
    <n v="2"/>
    <x v="0"/>
    <x v="0"/>
    <n v="33"/>
    <x v="1"/>
    <x v="2"/>
    <x v="2"/>
    <d v="2025-03-01T00:00:00"/>
    <x v="0"/>
    <s v="Sat"/>
    <s v="Jan–Jun 2025"/>
    <x v="1"/>
    <s v="Beginner"/>
    <n v="4"/>
    <n v="0.8125"/>
    <n v="91"/>
    <x v="2"/>
    <x v="0"/>
    <n v="1"/>
    <x v="1"/>
    <x v="0"/>
    <d v="2025-06-30T00:00:00"/>
  </r>
  <r>
    <n v="597"/>
    <x v="198"/>
    <n v="3"/>
    <x v="0"/>
    <x v="0"/>
    <n v="33"/>
    <x v="1"/>
    <x v="2"/>
    <x v="2"/>
    <d v="2025-03-01T00:00:00"/>
    <x v="0"/>
    <s v="Sat"/>
    <s v="Jan–Jun 2025"/>
    <x v="2"/>
    <s v="Beginner"/>
    <n v="4"/>
    <n v="0.89583333333333337"/>
    <n v="82"/>
    <x v="2"/>
    <x v="0"/>
    <n v="1"/>
    <x v="1"/>
    <x v="0"/>
    <d v="2025-06-30T00:00:00"/>
  </r>
  <r>
    <n v="598"/>
    <x v="199"/>
    <n v="1"/>
    <x v="1"/>
    <x v="1"/>
    <n v="26"/>
    <x v="2"/>
    <x v="3"/>
    <x v="0"/>
    <d v="2025-01-03T00:00:00"/>
    <x v="2"/>
    <s v="Fri"/>
    <s v="Jan–Jun 2025"/>
    <x v="0"/>
    <s v="Beginner"/>
    <n v="4"/>
    <n v="0.875"/>
    <n v="72.5"/>
    <x v="1"/>
    <x v="0"/>
    <n v="1"/>
    <x v="1"/>
    <x v="0"/>
    <d v="2025-06-30T00:00:00"/>
  </r>
  <r>
    <n v="599"/>
    <x v="199"/>
    <n v="2"/>
    <x v="0"/>
    <x v="1"/>
    <n v="26"/>
    <x v="2"/>
    <x v="3"/>
    <x v="0"/>
    <d v="2025-01-03T00:00:00"/>
    <x v="2"/>
    <s v="Fri"/>
    <s v="Jan–Jun 2025"/>
    <x v="1"/>
    <s v="Beginner"/>
    <n v="4"/>
    <n v="0.85416666666666663"/>
    <n v="77.5"/>
    <x v="1"/>
    <x v="0"/>
    <n v="1"/>
    <x v="1"/>
    <x v="0"/>
    <d v="2025-06-30T00:00:00"/>
  </r>
  <r>
    <n v="600"/>
    <x v="199"/>
    <n v="3"/>
    <x v="0"/>
    <x v="1"/>
    <n v="26"/>
    <x v="2"/>
    <x v="3"/>
    <x v="0"/>
    <d v="2025-01-03T00:00:00"/>
    <x v="2"/>
    <s v="Fri"/>
    <s v="Jan–Jun 2025"/>
    <x v="2"/>
    <s v="Beginner"/>
    <n v="4"/>
    <n v="0.6875"/>
    <n v="55.5"/>
    <x v="0"/>
    <x v="0"/>
    <n v="1"/>
    <x v="1"/>
    <x v="0"/>
    <d v="2025-06-30T00:00:00"/>
  </r>
  <r>
    <n v="601"/>
    <x v="200"/>
    <n v="1"/>
    <x v="0"/>
    <x v="1"/>
    <n v="27"/>
    <x v="2"/>
    <x v="0"/>
    <x v="2"/>
    <d v="2025-01-19T00:00:00"/>
    <x v="2"/>
    <s v="Sun"/>
    <s v="Jan–Jun 2025"/>
    <x v="0"/>
    <s v="Beginner"/>
    <n v="4"/>
    <n v="0.83333333333333337"/>
    <n v="93.5"/>
    <x v="2"/>
    <x v="0"/>
    <n v="1"/>
    <x v="1"/>
    <x v="0"/>
    <d v="2025-06-30T00:00:00"/>
  </r>
  <r>
    <n v="602"/>
    <x v="200"/>
    <n v="2"/>
    <x v="0"/>
    <x v="1"/>
    <n v="27"/>
    <x v="2"/>
    <x v="0"/>
    <x v="2"/>
    <d v="2025-01-19T00:00:00"/>
    <x v="2"/>
    <s v="Sun"/>
    <s v="Jan–Jun 2025"/>
    <x v="1"/>
    <s v="Beginner"/>
    <n v="4"/>
    <n v="0.83333333333333337"/>
    <n v="80.5"/>
    <x v="2"/>
    <x v="0"/>
    <n v="1"/>
    <x v="1"/>
    <x v="0"/>
    <d v="2025-06-30T00:00:00"/>
  </r>
  <r>
    <n v="603"/>
    <x v="200"/>
    <n v="3"/>
    <x v="0"/>
    <x v="1"/>
    <n v="27"/>
    <x v="2"/>
    <x v="0"/>
    <x v="2"/>
    <d v="2025-01-19T00:00:00"/>
    <x v="2"/>
    <s v="Sun"/>
    <s v="Jan–Jun 2025"/>
    <x v="2"/>
    <s v="Beginner"/>
    <n v="4"/>
    <n v="0.79166666666666663"/>
    <n v="73"/>
    <x v="1"/>
    <x v="0"/>
    <n v="1"/>
    <x v="1"/>
    <x v="0"/>
    <d v="2025-06-30T00:00:00"/>
  </r>
  <r>
    <n v="604"/>
    <x v="201"/>
    <n v="1"/>
    <x v="0"/>
    <x v="1"/>
    <n v="29"/>
    <x v="2"/>
    <x v="2"/>
    <x v="0"/>
    <d v="2025-04-19T00:00:00"/>
    <x v="3"/>
    <s v="Sat"/>
    <s v="Jan–Jun 2025"/>
    <x v="0"/>
    <s v="Beginner"/>
    <n v="4"/>
    <n v="0.8125"/>
    <n v="85"/>
    <x v="2"/>
    <x v="0"/>
    <n v="1"/>
    <x v="1"/>
    <x v="1"/>
    <d v="2025-06-30T00:00:00"/>
  </r>
  <r>
    <n v="605"/>
    <x v="201"/>
    <n v="2"/>
    <x v="0"/>
    <x v="1"/>
    <n v="29"/>
    <x v="2"/>
    <x v="2"/>
    <x v="0"/>
    <d v="2025-04-19T00:00:00"/>
    <x v="3"/>
    <s v="Sat"/>
    <s v="Jan–Jun 2025"/>
    <x v="1"/>
    <s v="Beginner"/>
    <n v="4"/>
    <n v="0.83333333333333337"/>
    <n v="61.5"/>
    <x v="1"/>
    <x v="0"/>
    <n v="1"/>
    <x v="1"/>
    <x v="1"/>
    <d v="2025-06-30T00:00:00"/>
  </r>
  <r>
    <n v="606"/>
    <x v="201"/>
    <n v="3"/>
    <x v="0"/>
    <x v="1"/>
    <n v="29"/>
    <x v="2"/>
    <x v="2"/>
    <x v="0"/>
    <d v="2025-04-19T00:00:00"/>
    <x v="3"/>
    <s v="Sat"/>
    <s v="Jan–Jun 2025"/>
    <x v="2"/>
    <s v="Beginner"/>
    <n v="4"/>
    <n v="0.83333333333333337"/>
    <n v="67"/>
    <x v="1"/>
    <x v="0"/>
    <n v="1"/>
    <x v="1"/>
    <x v="1"/>
    <d v="2025-06-30T00:00:00"/>
  </r>
  <r>
    <n v="607"/>
    <x v="202"/>
    <n v="1"/>
    <x v="0"/>
    <x v="1"/>
    <n v="32"/>
    <x v="1"/>
    <x v="5"/>
    <x v="2"/>
    <d v="2025-04-09T00:00:00"/>
    <x v="3"/>
    <s v="Wed"/>
    <s v="Jan–Jun 2025"/>
    <x v="0"/>
    <s v="Beginner"/>
    <n v="4"/>
    <n v="0.8125"/>
    <n v="63.5"/>
    <x v="1"/>
    <x v="0"/>
    <n v="1"/>
    <x v="0"/>
    <x v="0"/>
    <d v="2025-06-30T00:00:00"/>
  </r>
  <r>
    <n v="608"/>
    <x v="202"/>
    <n v="2"/>
    <x v="0"/>
    <x v="1"/>
    <n v="32"/>
    <x v="1"/>
    <x v="5"/>
    <x v="2"/>
    <d v="2025-04-09T00:00:00"/>
    <x v="3"/>
    <s v="Wed"/>
    <s v="Jan–Jun 2025"/>
    <x v="1"/>
    <s v="Beginner"/>
    <n v="4"/>
    <n v="0.83333333333333337"/>
    <n v="72.5"/>
    <x v="1"/>
    <x v="0"/>
    <n v="1"/>
    <x v="0"/>
    <x v="0"/>
    <d v="2025-06-30T00:00:00"/>
  </r>
  <r>
    <n v="609"/>
    <x v="202"/>
    <n v="3"/>
    <x v="2"/>
    <x v="1"/>
    <n v="32"/>
    <x v="1"/>
    <x v="5"/>
    <x v="2"/>
    <d v="2025-04-09T00:00:00"/>
    <x v="3"/>
    <s v="Wed"/>
    <s v="Jan–Jun 2025"/>
    <x v="2"/>
    <s v="Beginner"/>
    <n v="4"/>
    <n v="0.85416666666666663"/>
    <n v="70"/>
    <x v="1"/>
    <x v="0"/>
    <n v="1"/>
    <x v="0"/>
    <x v="0"/>
    <d v="2025-06-30T00:00:00"/>
  </r>
  <r>
    <n v="610"/>
    <x v="203"/>
    <n v="1"/>
    <x v="0"/>
    <x v="1"/>
    <n v="21"/>
    <x v="0"/>
    <x v="4"/>
    <x v="3"/>
    <d v="2025-05-27T00:00:00"/>
    <x v="1"/>
    <s v="Tue"/>
    <s v="Jan–Jun 2025"/>
    <x v="0"/>
    <s v="Beginner"/>
    <n v="4"/>
    <n v="0.875"/>
    <n v="82"/>
    <x v="2"/>
    <x v="0"/>
    <n v="1"/>
    <x v="1"/>
    <x v="0"/>
    <d v="2025-06-30T00:00:00"/>
  </r>
  <r>
    <n v="611"/>
    <x v="203"/>
    <n v="2"/>
    <x v="2"/>
    <x v="1"/>
    <n v="21"/>
    <x v="0"/>
    <x v="4"/>
    <x v="3"/>
    <d v="2025-05-27T00:00:00"/>
    <x v="1"/>
    <s v="Tue"/>
    <s v="Jan–Jun 2025"/>
    <x v="1"/>
    <s v="Beginner"/>
    <n v="4"/>
    <n v="0.95833333333333337"/>
    <n v="59.5"/>
    <x v="0"/>
    <x v="0"/>
    <n v="1"/>
    <x v="1"/>
    <x v="0"/>
    <d v="2025-06-30T00:00:00"/>
  </r>
  <r>
    <n v="612"/>
    <x v="203"/>
    <n v="3"/>
    <x v="2"/>
    <x v="1"/>
    <n v="21"/>
    <x v="0"/>
    <x v="4"/>
    <x v="3"/>
    <d v="2025-05-27T00:00:00"/>
    <x v="1"/>
    <s v="Tue"/>
    <s v="Jan–Jun 2025"/>
    <x v="2"/>
    <s v="Beginner"/>
    <n v="4"/>
    <n v="0.77083333333333337"/>
    <n v="75.5"/>
    <x v="1"/>
    <x v="0"/>
    <n v="1"/>
    <x v="1"/>
    <x v="0"/>
    <d v="2025-06-30T00:00:00"/>
  </r>
  <r>
    <n v="613"/>
    <x v="204"/>
    <n v="1"/>
    <x v="0"/>
    <x v="1"/>
    <n v="27"/>
    <x v="2"/>
    <x v="0"/>
    <x v="0"/>
    <d v="2025-01-06T00:00:00"/>
    <x v="2"/>
    <s v="Mon"/>
    <s v="Jan–Jun 2025"/>
    <x v="0"/>
    <s v="Beginner"/>
    <n v="4"/>
    <n v="0.89583333333333337"/>
    <n v="70.5"/>
    <x v="1"/>
    <x v="1"/>
    <n v="0"/>
    <x v="0"/>
    <x v="0"/>
    <d v="2025-06-30T00:00:00"/>
  </r>
  <r>
    <n v="614"/>
    <x v="204"/>
    <n v="2"/>
    <x v="0"/>
    <x v="1"/>
    <n v="27"/>
    <x v="2"/>
    <x v="0"/>
    <x v="0"/>
    <d v="2025-01-06T00:00:00"/>
    <x v="2"/>
    <s v="Mon"/>
    <s v="Jan–Jun 2025"/>
    <x v="1"/>
    <s v="Beginner"/>
    <n v="4"/>
    <n v="0.85416666666666663"/>
    <n v="75.5"/>
    <x v="1"/>
    <x v="1"/>
    <n v="0"/>
    <x v="0"/>
    <x v="0"/>
    <d v="2025-06-30T00:00:00"/>
  </r>
  <r>
    <n v="615"/>
    <x v="204"/>
    <n v="3"/>
    <x v="2"/>
    <x v="1"/>
    <n v="27"/>
    <x v="2"/>
    <x v="0"/>
    <x v="0"/>
    <d v="2025-01-06T00:00:00"/>
    <x v="2"/>
    <s v="Mon"/>
    <s v="Jan–Jun 2025"/>
    <x v="2"/>
    <s v="Beginner"/>
    <n v="4"/>
    <n v="0.85416666666666663"/>
    <n v="74"/>
    <x v="1"/>
    <x v="1"/>
    <n v="0"/>
    <x v="0"/>
    <x v="0"/>
    <d v="2025-06-30T00:00:00"/>
  </r>
  <r>
    <n v="616"/>
    <x v="205"/>
    <n v="1"/>
    <x v="0"/>
    <x v="1"/>
    <n v="26"/>
    <x v="2"/>
    <x v="1"/>
    <x v="1"/>
    <d v="2025-05-08T00:00:00"/>
    <x v="1"/>
    <s v="Thu"/>
    <s v="Jan–Jun 2025"/>
    <x v="0"/>
    <s v="Beginner"/>
    <n v="4"/>
    <n v="0.83333333333333337"/>
    <n v="65.5"/>
    <x v="1"/>
    <x v="0"/>
    <n v="1"/>
    <x v="1"/>
    <x v="0"/>
    <d v="2025-06-30T00:00:00"/>
  </r>
  <r>
    <n v="617"/>
    <x v="205"/>
    <n v="2"/>
    <x v="0"/>
    <x v="1"/>
    <n v="26"/>
    <x v="2"/>
    <x v="1"/>
    <x v="1"/>
    <d v="2025-05-08T00:00:00"/>
    <x v="1"/>
    <s v="Thu"/>
    <s v="Jan–Jun 2025"/>
    <x v="1"/>
    <s v="Beginner"/>
    <n v="4"/>
    <n v="0.85416666666666663"/>
    <n v="75"/>
    <x v="1"/>
    <x v="0"/>
    <n v="1"/>
    <x v="1"/>
    <x v="0"/>
    <d v="2025-06-30T00:00:00"/>
  </r>
  <r>
    <n v="618"/>
    <x v="205"/>
    <n v="3"/>
    <x v="0"/>
    <x v="1"/>
    <n v="26"/>
    <x v="2"/>
    <x v="1"/>
    <x v="1"/>
    <d v="2025-05-08T00:00:00"/>
    <x v="1"/>
    <s v="Thu"/>
    <s v="Jan–Jun 2025"/>
    <x v="2"/>
    <s v="Beginner"/>
    <n v="4"/>
    <n v="0.85416666666666663"/>
    <n v="59.5"/>
    <x v="0"/>
    <x v="0"/>
    <n v="1"/>
    <x v="1"/>
    <x v="0"/>
    <d v="2025-06-30T00:00:00"/>
  </r>
  <r>
    <n v="619"/>
    <x v="206"/>
    <n v="1"/>
    <x v="0"/>
    <x v="1"/>
    <n v="25"/>
    <x v="2"/>
    <x v="2"/>
    <x v="0"/>
    <d v="2025-02-26T00:00:00"/>
    <x v="4"/>
    <s v="Wed"/>
    <s v="Jan–Jun 2025"/>
    <x v="0"/>
    <s v="Beginner"/>
    <n v="4"/>
    <n v="0.77083333333333337"/>
    <n v="76"/>
    <x v="1"/>
    <x v="0"/>
    <n v="1"/>
    <x v="0"/>
    <x v="0"/>
    <d v="2025-06-30T00:00:00"/>
  </r>
  <r>
    <n v="620"/>
    <x v="206"/>
    <n v="2"/>
    <x v="2"/>
    <x v="1"/>
    <n v="25"/>
    <x v="2"/>
    <x v="2"/>
    <x v="0"/>
    <d v="2025-02-26T00:00:00"/>
    <x v="4"/>
    <s v="Wed"/>
    <s v="Jan–Jun 2025"/>
    <x v="1"/>
    <s v="Beginner"/>
    <n v="4"/>
    <n v="0.77083333333333337"/>
    <n v="82.5"/>
    <x v="2"/>
    <x v="0"/>
    <n v="1"/>
    <x v="0"/>
    <x v="0"/>
    <d v="2025-06-30T00:00:00"/>
  </r>
  <r>
    <n v="621"/>
    <x v="206"/>
    <n v="3"/>
    <x v="0"/>
    <x v="1"/>
    <n v="25"/>
    <x v="2"/>
    <x v="2"/>
    <x v="0"/>
    <d v="2025-02-26T00:00:00"/>
    <x v="4"/>
    <s v="Wed"/>
    <s v="Jan–Jun 2025"/>
    <x v="2"/>
    <s v="Beginner"/>
    <n v="4"/>
    <n v="0.77083333333333337"/>
    <n v="69"/>
    <x v="1"/>
    <x v="0"/>
    <n v="1"/>
    <x v="0"/>
    <x v="0"/>
    <d v="2025-06-30T00:00:00"/>
  </r>
  <r>
    <n v="622"/>
    <x v="207"/>
    <n v="1"/>
    <x v="0"/>
    <x v="0"/>
    <n v="26"/>
    <x v="2"/>
    <x v="0"/>
    <x v="2"/>
    <d v="2025-01-25T00:00:00"/>
    <x v="2"/>
    <s v="Sat"/>
    <s v="Jan–Jun 2025"/>
    <x v="0"/>
    <s v="Beginner"/>
    <n v="4"/>
    <n v="0.89583333333333337"/>
    <n v="77.5"/>
    <x v="1"/>
    <x v="0"/>
    <n v="1"/>
    <x v="1"/>
    <x v="0"/>
    <d v="2025-06-30T00:00:00"/>
  </r>
  <r>
    <n v="623"/>
    <x v="207"/>
    <n v="2"/>
    <x v="0"/>
    <x v="0"/>
    <n v="26"/>
    <x v="2"/>
    <x v="0"/>
    <x v="2"/>
    <d v="2025-01-25T00:00:00"/>
    <x v="2"/>
    <s v="Sat"/>
    <s v="Jan–Jun 2025"/>
    <x v="1"/>
    <s v="Beginner"/>
    <n v="4"/>
    <n v="0.75"/>
    <n v="69.5"/>
    <x v="1"/>
    <x v="0"/>
    <n v="1"/>
    <x v="1"/>
    <x v="0"/>
    <d v="2025-06-30T00:00:00"/>
  </r>
  <r>
    <n v="624"/>
    <x v="207"/>
    <n v="3"/>
    <x v="0"/>
    <x v="0"/>
    <n v="26"/>
    <x v="2"/>
    <x v="0"/>
    <x v="2"/>
    <d v="2025-01-25T00:00:00"/>
    <x v="2"/>
    <s v="Sat"/>
    <s v="Jan–Jun 2025"/>
    <x v="2"/>
    <s v="Beginner"/>
    <n v="4"/>
    <n v="0.75"/>
    <n v="58"/>
    <x v="0"/>
    <x v="0"/>
    <n v="1"/>
    <x v="1"/>
    <x v="0"/>
    <d v="2025-06-30T00:00:00"/>
  </r>
  <r>
    <n v="625"/>
    <x v="208"/>
    <n v="1"/>
    <x v="0"/>
    <x v="0"/>
    <n v="27"/>
    <x v="2"/>
    <x v="3"/>
    <x v="1"/>
    <d v="2025-05-29T00:00:00"/>
    <x v="1"/>
    <s v="Thu"/>
    <s v="Jan–Jun 2025"/>
    <x v="0"/>
    <s v="Beginner"/>
    <n v="4"/>
    <n v="0.70833333333333337"/>
    <n v="71.5"/>
    <x v="1"/>
    <x v="0"/>
    <n v="1"/>
    <x v="0"/>
    <x v="0"/>
    <d v="2025-06-30T00:00:00"/>
  </r>
  <r>
    <n v="626"/>
    <x v="208"/>
    <n v="2"/>
    <x v="0"/>
    <x v="0"/>
    <n v="27"/>
    <x v="2"/>
    <x v="3"/>
    <x v="1"/>
    <d v="2025-05-29T00:00:00"/>
    <x v="1"/>
    <s v="Thu"/>
    <s v="Jan–Jun 2025"/>
    <x v="1"/>
    <s v="Beginner"/>
    <n v="4"/>
    <n v="0.72916666666666663"/>
    <n v="78"/>
    <x v="1"/>
    <x v="0"/>
    <n v="1"/>
    <x v="0"/>
    <x v="0"/>
    <d v="2025-06-30T00:00:00"/>
  </r>
  <r>
    <n v="627"/>
    <x v="208"/>
    <n v="3"/>
    <x v="2"/>
    <x v="0"/>
    <n v="27"/>
    <x v="2"/>
    <x v="3"/>
    <x v="1"/>
    <d v="2025-05-29T00:00:00"/>
    <x v="1"/>
    <s v="Thu"/>
    <s v="Jan–Jun 2025"/>
    <x v="2"/>
    <s v="Beginner"/>
    <n v="4"/>
    <n v="0.8125"/>
    <n v="52.5"/>
    <x v="0"/>
    <x v="0"/>
    <n v="1"/>
    <x v="0"/>
    <x v="0"/>
    <d v="2025-06-30T00:00:00"/>
  </r>
  <r>
    <n v="628"/>
    <x v="209"/>
    <n v="1"/>
    <x v="0"/>
    <x v="1"/>
    <n v="22"/>
    <x v="0"/>
    <x v="1"/>
    <x v="0"/>
    <d v="2025-03-25T00:00:00"/>
    <x v="0"/>
    <s v="Tue"/>
    <s v="Jan–Jun 2025"/>
    <x v="0"/>
    <s v="Beginner"/>
    <n v="4"/>
    <n v="0.89583333333333337"/>
    <n v="75.5"/>
    <x v="1"/>
    <x v="1"/>
    <n v="0"/>
    <x v="0"/>
    <x v="0"/>
    <d v="2025-06-30T00:00:00"/>
  </r>
  <r>
    <n v="629"/>
    <x v="209"/>
    <n v="2"/>
    <x v="2"/>
    <x v="1"/>
    <n v="22"/>
    <x v="0"/>
    <x v="1"/>
    <x v="0"/>
    <d v="2025-03-25T00:00:00"/>
    <x v="0"/>
    <s v="Tue"/>
    <s v="Jan–Jun 2025"/>
    <x v="1"/>
    <s v="Beginner"/>
    <n v="4"/>
    <n v="0.875"/>
    <n v="55"/>
    <x v="0"/>
    <x v="1"/>
    <n v="0"/>
    <x v="0"/>
    <x v="0"/>
    <d v="2025-06-30T00:00:00"/>
  </r>
  <r>
    <n v="630"/>
    <x v="209"/>
    <n v="3"/>
    <x v="2"/>
    <x v="1"/>
    <n v="22"/>
    <x v="0"/>
    <x v="1"/>
    <x v="0"/>
    <d v="2025-03-25T00:00:00"/>
    <x v="0"/>
    <s v="Tue"/>
    <s v="Jan–Jun 2025"/>
    <x v="2"/>
    <s v="Beginner"/>
    <n v="4"/>
    <n v="0.83333333333333337"/>
    <n v="80"/>
    <x v="2"/>
    <x v="1"/>
    <n v="0"/>
    <x v="0"/>
    <x v="0"/>
    <d v="2025-06-30T00:00:00"/>
  </r>
  <r>
    <n v="631"/>
    <x v="210"/>
    <n v="1"/>
    <x v="0"/>
    <x v="1"/>
    <n v="23"/>
    <x v="0"/>
    <x v="4"/>
    <x v="2"/>
    <d v="2025-05-19T00:00:00"/>
    <x v="1"/>
    <s v="Mon"/>
    <s v="Jan–Jun 2025"/>
    <x v="0"/>
    <s v="Beginner"/>
    <n v="4"/>
    <n v="0.75"/>
    <n v="57.5"/>
    <x v="0"/>
    <x v="0"/>
    <n v="1"/>
    <x v="0"/>
    <x v="1"/>
    <d v="2025-06-30T00:00:00"/>
  </r>
  <r>
    <n v="632"/>
    <x v="210"/>
    <n v="2"/>
    <x v="0"/>
    <x v="1"/>
    <n v="23"/>
    <x v="0"/>
    <x v="4"/>
    <x v="2"/>
    <d v="2025-05-19T00:00:00"/>
    <x v="1"/>
    <s v="Mon"/>
    <s v="Jan–Jun 2025"/>
    <x v="1"/>
    <s v="Beginner"/>
    <n v="4"/>
    <n v="0.85416666666666663"/>
    <n v="76"/>
    <x v="1"/>
    <x v="0"/>
    <n v="1"/>
    <x v="0"/>
    <x v="1"/>
    <d v="2025-06-30T00:00:00"/>
  </r>
  <r>
    <n v="633"/>
    <x v="210"/>
    <n v="3"/>
    <x v="0"/>
    <x v="1"/>
    <n v="23"/>
    <x v="0"/>
    <x v="4"/>
    <x v="2"/>
    <d v="2025-05-19T00:00:00"/>
    <x v="1"/>
    <s v="Mon"/>
    <s v="Jan–Jun 2025"/>
    <x v="2"/>
    <s v="Beginner"/>
    <n v="4"/>
    <n v="0.89583333333333337"/>
    <n v="60"/>
    <x v="1"/>
    <x v="0"/>
    <n v="1"/>
    <x v="0"/>
    <x v="1"/>
    <d v="2025-06-30T00:00:00"/>
  </r>
  <r>
    <n v="634"/>
    <x v="211"/>
    <n v="1"/>
    <x v="0"/>
    <x v="1"/>
    <n v="34"/>
    <x v="1"/>
    <x v="2"/>
    <x v="0"/>
    <d v="2025-02-12T00:00:00"/>
    <x v="4"/>
    <s v="Wed"/>
    <s v="Jan–Jun 2025"/>
    <x v="0"/>
    <s v="Beginner"/>
    <n v="4"/>
    <n v="0.8125"/>
    <n v="85"/>
    <x v="2"/>
    <x v="0"/>
    <n v="1"/>
    <x v="1"/>
    <x v="0"/>
    <d v="2025-06-30T00:00:00"/>
  </r>
  <r>
    <n v="635"/>
    <x v="211"/>
    <n v="2"/>
    <x v="0"/>
    <x v="1"/>
    <n v="34"/>
    <x v="1"/>
    <x v="2"/>
    <x v="0"/>
    <d v="2025-02-12T00:00:00"/>
    <x v="4"/>
    <s v="Wed"/>
    <s v="Jan–Jun 2025"/>
    <x v="1"/>
    <s v="Beginner"/>
    <n v="4"/>
    <n v="0.72916666666666663"/>
    <n v="75"/>
    <x v="1"/>
    <x v="0"/>
    <n v="1"/>
    <x v="1"/>
    <x v="0"/>
    <d v="2025-06-30T00:00:00"/>
  </r>
  <r>
    <n v="636"/>
    <x v="211"/>
    <n v="3"/>
    <x v="0"/>
    <x v="1"/>
    <n v="34"/>
    <x v="1"/>
    <x v="2"/>
    <x v="0"/>
    <d v="2025-02-12T00:00:00"/>
    <x v="4"/>
    <s v="Wed"/>
    <s v="Jan–Jun 2025"/>
    <x v="2"/>
    <s v="Beginner"/>
    <n v="4"/>
    <n v="0.875"/>
    <n v="78.5"/>
    <x v="1"/>
    <x v="0"/>
    <n v="1"/>
    <x v="1"/>
    <x v="0"/>
    <d v="2025-06-30T00:00:00"/>
  </r>
  <r>
    <n v="637"/>
    <x v="212"/>
    <n v="1"/>
    <x v="0"/>
    <x v="1"/>
    <n v="33"/>
    <x v="1"/>
    <x v="5"/>
    <x v="0"/>
    <d v="2025-01-30T00:00:00"/>
    <x v="2"/>
    <s v="Thu"/>
    <s v="Jan–Jun 2025"/>
    <x v="0"/>
    <s v="Beginner"/>
    <n v="4"/>
    <n v="0.85416666666666663"/>
    <n v="73.5"/>
    <x v="1"/>
    <x v="0"/>
    <n v="1"/>
    <x v="1"/>
    <x v="0"/>
    <d v="2025-06-30T00:00:00"/>
  </r>
  <r>
    <n v="638"/>
    <x v="212"/>
    <n v="2"/>
    <x v="2"/>
    <x v="1"/>
    <n v="33"/>
    <x v="1"/>
    <x v="5"/>
    <x v="0"/>
    <d v="2025-01-30T00:00:00"/>
    <x v="2"/>
    <s v="Thu"/>
    <s v="Jan–Jun 2025"/>
    <x v="1"/>
    <s v="Beginner"/>
    <n v="4"/>
    <n v="0.875"/>
    <n v="67"/>
    <x v="1"/>
    <x v="0"/>
    <n v="1"/>
    <x v="1"/>
    <x v="0"/>
    <d v="2025-06-30T00:00:00"/>
  </r>
  <r>
    <n v="639"/>
    <x v="212"/>
    <n v="3"/>
    <x v="0"/>
    <x v="1"/>
    <n v="33"/>
    <x v="1"/>
    <x v="5"/>
    <x v="0"/>
    <d v="2025-01-30T00:00:00"/>
    <x v="2"/>
    <s v="Thu"/>
    <s v="Jan–Jun 2025"/>
    <x v="2"/>
    <s v="Beginner"/>
    <n v="4"/>
    <n v="0.77083333333333337"/>
    <n v="74.5"/>
    <x v="1"/>
    <x v="0"/>
    <n v="1"/>
    <x v="1"/>
    <x v="0"/>
    <d v="2025-06-30T00:00:00"/>
  </r>
  <r>
    <n v="640"/>
    <x v="213"/>
    <n v="1"/>
    <x v="0"/>
    <x v="1"/>
    <n v="20"/>
    <x v="0"/>
    <x v="4"/>
    <x v="2"/>
    <d v="2025-04-12T00:00:00"/>
    <x v="3"/>
    <s v="Sat"/>
    <s v="Jan–Jun 2025"/>
    <x v="0"/>
    <s v="Beginner"/>
    <n v="4"/>
    <n v="0.875"/>
    <n v="69.5"/>
    <x v="1"/>
    <x v="1"/>
    <n v="0"/>
    <x v="0"/>
    <x v="0"/>
    <d v="2025-06-30T00:00:00"/>
  </r>
  <r>
    <n v="641"/>
    <x v="213"/>
    <n v="2"/>
    <x v="0"/>
    <x v="1"/>
    <n v="20"/>
    <x v="0"/>
    <x v="4"/>
    <x v="2"/>
    <d v="2025-04-12T00:00:00"/>
    <x v="3"/>
    <s v="Sat"/>
    <s v="Jan–Jun 2025"/>
    <x v="1"/>
    <s v="Beginner"/>
    <n v="4"/>
    <n v="0.79166666666666663"/>
    <n v="66.5"/>
    <x v="1"/>
    <x v="1"/>
    <n v="0"/>
    <x v="0"/>
    <x v="0"/>
    <d v="2025-06-30T00:00:00"/>
  </r>
  <r>
    <n v="642"/>
    <x v="213"/>
    <n v="3"/>
    <x v="0"/>
    <x v="1"/>
    <n v="20"/>
    <x v="0"/>
    <x v="4"/>
    <x v="2"/>
    <d v="2025-04-12T00:00:00"/>
    <x v="3"/>
    <s v="Sat"/>
    <s v="Jan–Jun 2025"/>
    <x v="2"/>
    <s v="Beginner"/>
    <n v="4"/>
    <n v="0.89583333333333337"/>
    <n v="83.5"/>
    <x v="2"/>
    <x v="1"/>
    <n v="0"/>
    <x v="0"/>
    <x v="0"/>
    <d v="2025-06-30T00:00:00"/>
  </r>
  <r>
    <n v="643"/>
    <x v="214"/>
    <n v="1"/>
    <x v="0"/>
    <x v="1"/>
    <n v="20"/>
    <x v="0"/>
    <x v="3"/>
    <x v="1"/>
    <d v="2025-03-09T00:00:00"/>
    <x v="0"/>
    <s v="Sun"/>
    <s v="Jan–Jun 2025"/>
    <x v="0"/>
    <s v="Beginner"/>
    <n v="4"/>
    <n v="0.85416666666666663"/>
    <n v="77.5"/>
    <x v="1"/>
    <x v="1"/>
    <n v="0"/>
    <x v="0"/>
    <x v="0"/>
    <d v="2025-06-30T00:00:00"/>
  </r>
  <r>
    <n v="644"/>
    <x v="214"/>
    <n v="2"/>
    <x v="0"/>
    <x v="1"/>
    <n v="20"/>
    <x v="0"/>
    <x v="3"/>
    <x v="1"/>
    <d v="2025-03-09T00:00:00"/>
    <x v="0"/>
    <s v="Sun"/>
    <s v="Jan–Jun 2025"/>
    <x v="1"/>
    <s v="Beginner"/>
    <n v="4"/>
    <n v="0.875"/>
    <n v="82"/>
    <x v="2"/>
    <x v="1"/>
    <n v="0"/>
    <x v="0"/>
    <x v="0"/>
    <d v="2025-06-30T00:00:00"/>
  </r>
  <r>
    <n v="645"/>
    <x v="214"/>
    <n v="3"/>
    <x v="2"/>
    <x v="1"/>
    <n v="20"/>
    <x v="0"/>
    <x v="3"/>
    <x v="1"/>
    <d v="2025-03-09T00:00:00"/>
    <x v="0"/>
    <s v="Sun"/>
    <s v="Jan–Jun 2025"/>
    <x v="2"/>
    <s v="Beginner"/>
    <n v="4"/>
    <n v="0.875"/>
    <n v="60.5"/>
    <x v="1"/>
    <x v="1"/>
    <n v="0"/>
    <x v="0"/>
    <x v="0"/>
    <d v="2025-06-30T00:00:00"/>
  </r>
  <r>
    <n v="646"/>
    <x v="215"/>
    <n v="1"/>
    <x v="0"/>
    <x v="0"/>
    <n v="32"/>
    <x v="1"/>
    <x v="5"/>
    <x v="0"/>
    <d v="2025-05-30T00:00:00"/>
    <x v="1"/>
    <s v="Fri"/>
    <s v="Jan–Jun 2025"/>
    <x v="0"/>
    <s v="Beginner"/>
    <n v="4"/>
    <n v="0.89583333333333337"/>
    <n v="86"/>
    <x v="2"/>
    <x v="0"/>
    <n v="1"/>
    <x v="1"/>
    <x v="0"/>
    <d v="2025-06-30T00:00:00"/>
  </r>
  <r>
    <n v="647"/>
    <x v="215"/>
    <n v="2"/>
    <x v="1"/>
    <x v="0"/>
    <n v="32"/>
    <x v="1"/>
    <x v="5"/>
    <x v="0"/>
    <d v="2025-05-30T00:00:00"/>
    <x v="1"/>
    <s v="Fri"/>
    <s v="Jan–Jun 2025"/>
    <x v="1"/>
    <s v="Beginner"/>
    <n v="4"/>
    <n v="0.89583333333333337"/>
    <n v="71"/>
    <x v="1"/>
    <x v="0"/>
    <n v="1"/>
    <x v="1"/>
    <x v="0"/>
    <d v="2025-06-30T00:00:00"/>
  </r>
  <r>
    <n v="648"/>
    <x v="215"/>
    <n v="3"/>
    <x v="0"/>
    <x v="0"/>
    <n v="32"/>
    <x v="1"/>
    <x v="5"/>
    <x v="0"/>
    <d v="2025-05-30T00:00:00"/>
    <x v="1"/>
    <s v="Fri"/>
    <s v="Jan–Jun 2025"/>
    <x v="2"/>
    <s v="Beginner"/>
    <n v="4"/>
    <n v="0.875"/>
    <n v="60.5"/>
    <x v="1"/>
    <x v="0"/>
    <n v="1"/>
    <x v="1"/>
    <x v="0"/>
    <d v="2025-06-30T00:00:00"/>
  </r>
  <r>
    <n v="649"/>
    <x v="216"/>
    <n v="1"/>
    <x v="0"/>
    <x v="1"/>
    <n v="29"/>
    <x v="2"/>
    <x v="1"/>
    <x v="2"/>
    <d v="2025-05-01T00:00:00"/>
    <x v="1"/>
    <s v="Thu"/>
    <s v="Jan–Jun 2025"/>
    <x v="0"/>
    <s v="Beginner"/>
    <n v="4"/>
    <n v="0.89583333333333337"/>
    <n v="66.5"/>
    <x v="1"/>
    <x v="0"/>
    <n v="1"/>
    <x v="0"/>
    <x v="0"/>
    <d v="2025-06-30T00:00:00"/>
  </r>
  <r>
    <n v="650"/>
    <x v="216"/>
    <n v="2"/>
    <x v="0"/>
    <x v="1"/>
    <n v="29"/>
    <x v="2"/>
    <x v="1"/>
    <x v="2"/>
    <d v="2025-05-01T00:00:00"/>
    <x v="1"/>
    <s v="Thu"/>
    <s v="Jan–Jun 2025"/>
    <x v="1"/>
    <s v="Beginner"/>
    <n v="4"/>
    <n v="0.72916666666666663"/>
    <n v="66"/>
    <x v="1"/>
    <x v="0"/>
    <n v="1"/>
    <x v="0"/>
    <x v="0"/>
    <d v="2025-06-30T00:00:00"/>
  </r>
  <r>
    <n v="651"/>
    <x v="216"/>
    <n v="3"/>
    <x v="0"/>
    <x v="1"/>
    <n v="29"/>
    <x v="2"/>
    <x v="1"/>
    <x v="2"/>
    <d v="2025-05-01T00:00:00"/>
    <x v="1"/>
    <s v="Thu"/>
    <s v="Jan–Jun 2025"/>
    <x v="2"/>
    <s v="Beginner"/>
    <n v="4"/>
    <n v="0.8125"/>
    <n v="60"/>
    <x v="1"/>
    <x v="0"/>
    <n v="1"/>
    <x v="0"/>
    <x v="0"/>
    <d v="2025-06-30T00:00:00"/>
  </r>
  <r>
    <n v="652"/>
    <x v="217"/>
    <n v="1"/>
    <x v="0"/>
    <x v="0"/>
    <n v="35"/>
    <x v="1"/>
    <x v="5"/>
    <x v="2"/>
    <d v="2025-01-17T00:00:00"/>
    <x v="2"/>
    <s v="Fri"/>
    <s v="Jan–Jun 2025"/>
    <x v="0"/>
    <s v="Beginner"/>
    <n v="4"/>
    <n v="0.85416666666666663"/>
    <n v="59"/>
    <x v="0"/>
    <x v="0"/>
    <n v="1"/>
    <x v="1"/>
    <x v="1"/>
    <d v="2025-06-30T00:00:00"/>
  </r>
  <r>
    <n v="653"/>
    <x v="217"/>
    <n v="2"/>
    <x v="0"/>
    <x v="0"/>
    <n v="35"/>
    <x v="1"/>
    <x v="5"/>
    <x v="2"/>
    <d v="2025-01-17T00:00:00"/>
    <x v="2"/>
    <s v="Fri"/>
    <s v="Jan–Jun 2025"/>
    <x v="1"/>
    <s v="Beginner"/>
    <n v="4"/>
    <n v="0.875"/>
    <n v="74"/>
    <x v="1"/>
    <x v="0"/>
    <n v="1"/>
    <x v="1"/>
    <x v="1"/>
    <d v="2025-06-30T00:00:00"/>
  </r>
  <r>
    <n v="654"/>
    <x v="217"/>
    <n v="3"/>
    <x v="0"/>
    <x v="0"/>
    <n v="35"/>
    <x v="1"/>
    <x v="5"/>
    <x v="2"/>
    <d v="2025-01-17T00:00:00"/>
    <x v="2"/>
    <s v="Fri"/>
    <s v="Jan–Jun 2025"/>
    <x v="2"/>
    <s v="Beginner"/>
    <n v="4"/>
    <n v="0.85416666666666663"/>
    <n v="72.5"/>
    <x v="1"/>
    <x v="0"/>
    <n v="1"/>
    <x v="1"/>
    <x v="1"/>
    <d v="2025-06-30T00:00:00"/>
  </r>
  <r>
    <n v="655"/>
    <x v="218"/>
    <n v="1"/>
    <x v="0"/>
    <x v="1"/>
    <n v="27"/>
    <x v="2"/>
    <x v="0"/>
    <x v="3"/>
    <d v="2025-01-30T00:00:00"/>
    <x v="2"/>
    <s v="Thu"/>
    <s v="Jan–Jun 2025"/>
    <x v="0"/>
    <s v="Beginner"/>
    <n v="4"/>
    <n v="0.89583333333333337"/>
    <n v="74"/>
    <x v="1"/>
    <x v="0"/>
    <n v="1"/>
    <x v="1"/>
    <x v="0"/>
    <d v="2025-06-30T00:00:00"/>
  </r>
  <r>
    <n v="656"/>
    <x v="218"/>
    <n v="2"/>
    <x v="0"/>
    <x v="1"/>
    <n v="27"/>
    <x v="2"/>
    <x v="0"/>
    <x v="3"/>
    <d v="2025-01-30T00:00:00"/>
    <x v="2"/>
    <s v="Thu"/>
    <s v="Jan–Jun 2025"/>
    <x v="1"/>
    <s v="Beginner"/>
    <n v="4"/>
    <n v="0.8125"/>
    <n v="56"/>
    <x v="0"/>
    <x v="0"/>
    <n v="1"/>
    <x v="1"/>
    <x v="0"/>
    <d v="2025-06-30T00:00:00"/>
  </r>
  <r>
    <n v="657"/>
    <x v="218"/>
    <n v="3"/>
    <x v="2"/>
    <x v="1"/>
    <n v="27"/>
    <x v="2"/>
    <x v="0"/>
    <x v="3"/>
    <d v="2025-01-30T00:00:00"/>
    <x v="2"/>
    <s v="Thu"/>
    <s v="Jan–Jun 2025"/>
    <x v="2"/>
    <s v="Beginner"/>
    <n v="4"/>
    <n v="0.85416666666666663"/>
    <n v="87"/>
    <x v="2"/>
    <x v="0"/>
    <n v="1"/>
    <x v="1"/>
    <x v="0"/>
    <d v="2025-06-30T00:00:00"/>
  </r>
  <r>
    <n v="658"/>
    <x v="219"/>
    <n v="1"/>
    <x v="1"/>
    <x v="0"/>
    <n v="19"/>
    <x v="0"/>
    <x v="1"/>
    <x v="0"/>
    <d v="2025-05-07T00:00:00"/>
    <x v="1"/>
    <s v="Wed"/>
    <s v="Jan–Jun 2025"/>
    <x v="0"/>
    <s v="Beginner"/>
    <n v="4"/>
    <n v="0.83333333333333337"/>
    <n v="81.5"/>
    <x v="2"/>
    <x v="1"/>
    <n v="0"/>
    <x v="0"/>
    <x v="0"/>
    <d v="2025-06-30T00:00:00"/>
  </r>
  <r>
    <n v="659"/>
    <x v="219"/>
    <n v="2"/>
    <x v="0"/>
    <x v="0"/>
    <n v="19"/>
    <x v="0"/>
    <x v="1"/>
    <x v="0"/>
    <d v="2025-05-07T00:00:00"/>
    <x v="1"/>
    <s v="Wed"/>
    <s v="Jan–Jun 2025"/>
    <x v="1"/>
    <s v="Beginner"/>
    <n v="4"/>
    <n v="0.89583333333333337"/>
    <n v="73"/>
    <x v="1"/>
    <x v="1"/>
    <n v="0"/>
    <x v="0"/>
    <x v="0"/>
    <d v="2025-06-30T00:00:00"/>
  </r>
  <r>
    <n v="660"/>
    <x v="219"/>
    <n v="3"/>
    <x v="0"/>
    <x v="0"/>
    <n v="19"/>
    <x v="0"/>
    <x v="1"/>
    <x v="0"/>
    <d v="2025-05-07T00:00:00"/>
    <x v="1"/>
    <s v="Wed"/>
    <s v="Jan–Jun 2025"/>
    <x v="2"/>
    <s v="Beginner"/>
    <n v="4"/>
    <n v="0.79166666666666663"/>
    <n v="68"/>
    <x v="1"/>
    <x v="1"/>
    <n v="0"/>
    <x v="0"/>
    <x v="0"/>
    <d v="2025-06-30T00:00:00"/>
  </r>
  <r>
    <n v="661"/>
    <x v="220"/>
    <n v="1"/>
    <x v="2"/>
    <x v="0"/>
    <n v="21"/>
    <x v="0"/>
    <x v="4"/>
    <x v="2"/>
    <d v="2025-04-10T00:00:00"/>
    <x v="3"/>
    <s v="Thu"/>
    <s v="Jan–Jun 2025"/>
    <x v="0"/>
    <s v="Beginner"/>
    <n v="4"/>
    <n v="0.91666666666666663"/>
    <n v="70"/>
    <x v="1"/>
    <x v="0"/>
    <n v="1"/>
    <x v="1"/>
    <x v="1"/>
    <d v="2025-06-30T00:00:00"/>
  </r>
  <r>
    <n v="662"/>
    <x v="220"/>
    <n v="2"/>
    <x v="0"/>
    <x v="0"/>
    <n v="21"/>
    <x v="0"/>
    <x v="4"/>
    <x v="2"/>
    <d v="2025-04-10T00:00:00"/>
    <x v="3"/>
    <s v="Thu"/>
    <s v="Jan–Jun 2025"/>
    <x v="1"/>
    <s v="Beginner"/>
    <n v="4"/>
    <n v="0.875"/>
    <n v="77.5"/>
    <x v="1"/>
    <x v="0"/>
    <n v="1"/>
    <x v="1"/>
    <x v="1"/>
    <d v="2025-06-30T00:00:00"/>
  </r>
  <r>
    <n v="663"/>
    <x v="220"/>
    <n v="3"/>
    <x v="2"/>
    <x v="0"/>
    <n v="21"/>
    <x v="0"/>
    <x v="4"/>
    <x v="2"/>
    <d v="2025-04-10T00:00:00"/>
    <x v="3"/>
    <s v="Thu"/>
    <s v="Jan–Jun 2025"/>
    <x v="2"/>
    <s v="Beginner"/>
    <n v="4"/>
    <n v="0.85416666666666663"/>
    <n v="59.5"/>
    <x v="0"/>
    <x v="0"/>
    <n v="1"/>
    <x v="1"/>
    <x v="1"/>
    <d v="2025-06-30T00:00:00"/>
  </r>
  <r>
    <n v="664"/>
    <x v="221"/>
    <n v="1"/>
    <x v="0"/>
    <x v="1"/>
    <n v="29"/>
    <x v="2"/>
    <x v="0"/>
    <x v="3"/>
    <d v="2025-05-31T00:00:00"/>
    <x v="1"/>
    <s v="Sat"/>
    <s v="Jan–Jun 2025"/>
    <x v="0"/>
    <s v="Beginner"/>
    <n v="4"/>
    <n v="0.85416666666666663"/>
    <n v="83.5"/>
    <x v="2"/>
    <x v="1"/>
    <n v="0"/>
    <x v="0"/>
    <x v="0"/>
    <d v="2025-06-30T00:00:00"/>
  </r>
  <r>
    <n v="665"/>
    <x v="221"/>
    <n v="2"/>
    <x v="0"/>
    <x v="1"/>
    <n v="29"/>
    <x v="2"/>
    <x v="0"/>
    <x v="3"/>
    <d v="2025-05-31T00:00:00"/>
    <x v="1"/>
    <s v="Sat"/>
    <s v="Jan–Jun 2025"/>
    <x v="1"/>
    <s v="Beginner"/>
    <n v="4"/>
    <n v="0.83333333333333337"/>
    <n v="87.5"/>
    <x v="2"/>
    <x v="1"/>
    <n v="0"/>
    <x v="0"/>
    <x v="0"/>
    <d v="2025-06-30T00:00:00"/>
  </r>
  <r>
    <n v="666"/>
    <x v="221"/>
    <n v="3"/>
    <x v="0"/>
    <x v="1"/>
    <n v="29"/>
    <x v="2"/>
    <x v="0"/>
    <x v="3"/>
    <d v="2025-05-31T00:00:00"/>
    <x v="1"/>
    <s v="Sat"/>
    <s v="Jan–Jun 2025"/>
    <x v="2"/>
    <s v="Beginner"/>
    <n v="4"/>
    <n v="0.8125"/>
    <n v="81.5"/>
    <x v="2"/>
    <x v="1"/>
    <n v="0"/>
    <x v="0"/>
    <x v="0"/>
    <d v="2025-06-30T00:00:00"/>
  </r>
  <r>
    <n v="667"/>
    <x v="222"/>
    <n v="1"/>
    <x v="2"/>
    <x v="0"/>
    <n v="31"/>
    <x v="1"/>
    <x v="0"/>
    <x v="1"/>
    <d v="2025-05-06T00:00:00"/>
    <x v="1"/>
    <s v="Tue"/>
    <s v="Jan–Jun 2025"/>
    <x v="0"/>
    <s v="Beginner"/>
    <n v="4"/>
    <n v="0.875"/>
    <n v="59"/>
    <x v="0"/>
    <x v="0"/>
    <n v="1"/>
    <x v="1"/>
    <x v="0"/>
    <d v="2025-06-30T00:00:00"/>
  </r>
  <r>
    <n v="668"/>
    <x v="222"/>
    <n v="2"/>
    <x v="0"/>
    <x v="0"/>
    <n v="31"/>
    <x v="1"/>
    <x v="0"/>
    <x v="1"/>
    <d v="2025-05-06T00:00:00"/>
    <x v="1"/>
    <s v="Tue"/>
    <s v="Jan–Jun 2025"/>
    <x v="1"/>
    <s v="Beginner"/>
    <n v="4"/>
    <n v="0.89583333333333337"/>
    <n v="66.5"/>
    <x v="1"/>
    <x v="0"/>
    <n v="1"/>
    <x v="1"/>
    <x v="0"/>
    <d v="2025-06-30T00:00:00"/>
  </r>
  <r>
    <n v="669"/>
    <x v="222"/>
    <n v="3"/>
    <x v="0"/>
    <x v="0"/>
    <n v="31"/>
    <x v="1"/>
    <x v="0"/>
    <x v="1"/>
    <d v="2025-05-06T00:00:00"/>
    <x v="1"/>
    <s v="Tue"/>
    <s v="Jan–Jun 2025"/>
    <x v="2"/>
    <s v="Beginner"/>
    <n v="4"/>
    <n v="0.79166666666666663"/>
    <n v="86"/>
    <x v="2"/>
    <x v="0"/>
    <n v="1"/>
    <x v="1"/>
    <x v="0"/>
    <d v="2025-06-30T00:00:00"/>
  </r>
  <r>
    <n v="670"/>
    <x v="223"/>
    <n v="1"/>
    <x v="0"/>
    <x v="1"/>
    <n v="26"/>
    <x v="2"/>
    <x v="1"/>
    <x v="0"/>
    <d v="2025-02-25T00:00:00"/>
    <x v="4"/>
    <s v="Tue"/>
    <s v="Jan–Jun 2025"/>
    <x v="0"/>
    <s v="Beginner"/>
    <n v="4"/>
    <n v="0.89583333333333337"/>
    <n v="65.5"/>
    <x v="1"/>
    <x v="0"/>
    <n v="1"/>
    <x v="1"/>
    <x v="0"/>
    <d v="2025-06-30T00:00:00"/>
  </r>
  <r>
    <n v="671"/>
    <x v="223"/>
    <n v="2"/>
    <x v="0"/>
    <x v="1"/>
    <n v="26"/>
    <x v="2"/>
    <x v="1"/>
    <x v="0"/>
    <d v="2025-02-25T00:00:00"/>
    <x v="4"/>
    <s v="Tue"/>
    <s v="Jan–Jun 2025"/>
    <x v="1"/>
    <s v="Beginner"/>
    <n v="4"/>
    <n v="0.8125"/>
    <n v="76"/>
    <x v="1"/>
    <x v="0"/>
    <n v="1"/>
    <x v="1"/>
    <x v="0"/>
    <d v="2025-06-30T00:00:00"/>
  </r>
  <r>
    <n v="672"/>
    <x v="223"/>
    <n v="3"/>
    <x v="0"/>
    <x v="1"/>
    <n v="26"/>
    <x v="2"/>
    <x v="1"/>
    <x v="0"/>
    <d v="2025-02-25T00:00:00"/>
    <x v="4"/>
    <s v="Tue"/>
    <s v="Jan–Jun 2025"/>
    <x v="2"/>
    <s v="Beginner"/>
    <n v="4"/>
    <n v="0.83333333333333337"/>
    <n v="58.5"/>
    <x v="0"/>
    <x v="0"/>
    <n v="1"/>
    <x v="1"/>
    <x v="0"/>
    <d v="2025-06-30T00:00:00"/>
  </r>
  <r>
    <n v="673"/>
    <x v="224"/>
    <n v="1"/>
    <x v="2"/>
    <x v="1"/>
    <n v="32"/>
    <x v="1"/>
    <x v="4"/>
    <x v="0"/>
    <d v="2025-01-26T00:00:00"/>
    <x v="2"/>
    <s v="Sun"/>
    <s v="Jan–Jun 2025"/>
    <x v="0"/>
    <s v="Beginner"/>
    <n v="4"/>
    <n v="0.77083333333333337"/>
    <n v="72"/>
    <x v="1"/>
    <x v="1"/>
    <n v="0"/>
    <x v="0"/>
    <x v="0"/>
    <d v="2025-06-30T00:00:00"/>
  </r>
  <r>
    <n v="674"/>
    <x v="224"/>
    <n v="2"/>
    <x v="2"/>
    <x v="1"/>
    <n v="32"/>
    <x v="1"/>
    <x v="4"/>
    <x v="0"/>
    <d v="2025-01-26T00:00:00"/>
    <x v="2"/>
    <s v="Sun"/>
    <s v="Jan–Jun 2025"/>
    <x v="1"/>
    <s v="Beginner"/>
    <n v="4"/>
    <n v="0.8125"/>
    <n v="59.5"/>
    <x v="0"/>
    <x v="1"/>
    <n v="0"/>
    <x v="0"/>
    <x v="0"/>
    <d v="2025-06-30T00:00:00"/>
  </r>
  <r>
    <n v="675"/>
    <x v="224"/>
    <n v="3"/>
    <x v="0"/>
    <x v="1"/>
    <n v="32"/>
    <x v="1"/>
    <x v="4"/>
    <x v="0"/>
    <d v="2025-01-26T00:00:00"/>
    <x v="2"/>
    <s v="Sun"/>
    <s v="Jan–Jun 2025"/>
    <x v="2"/>
    <s v="Beginner"/>
    <n v="4"/>
    <n v="0.77083333333333337"/>
    <n v="76.5"/>
    <x v="1"/>
    <x v="1"/>
    <n v="0"/>
    <x v="0"/>
    <x v="0"/>
    <d v="2025-06-30T00:00:00"/>
  </r>
  <r>
    <n v="676"/>
    <x v="225"/>
    <n v="1"/>
    <x v="0"/>
    <x v="1"/>
    <n v="35"/>
    <x v="1"/>
    <x v="0"/>
    <x v="0"/>
    <d v="2025-01-16T00:00:00"/>
    <x v="2"/>
    <s v="Thu"/>
    <s v="Jan–Jun 2025"/>
    <x v="0"/>
    <s v="Beginner"/>
    <n v="4"/>
    <n v="0.85416666666666663"/>
    <n v="78.5"/>
    <x v="1"/>
    <x v="0"/>
    <n v="1"/>
    <x v="1"/>
    <x v="0"/>
    <d v="2025-06-30T00:00:00"/>
  </r>
  <r>
    <n v="677"/>
    <x v="225"/>
    <n v="2"/>
    <x v="0"/>
    <x v="1"/>
    <n v="35"/>
    <x v="1"/>
    <x v="0"/>
    <x v="0"/>
    <d v="2025-01-16T00:00:00"/>
    <x v="2"/>
    <s v="Thu"/>
    <s v="Jan–Jun 2025"/>
    <x v="1"/>
    <s v="Beginner"/>
    <n v="4"/>
    <n v="0.83333333333333337"/>
    <n v="57.5"/>
    <x v="0"/>
    <x v="0"/>
    <n v="1"/>
    <x v="1"/>
    <x v="0"/>
    <d v="2025-06-30T00:00:00"/>
  </r>
  <r>
    <n v="678"/>
    <x v="225"/>
    <n v="3"/>
    <x v="2"/>
    <x v="1"/>
    <n v="35"/>
    <x v="1"/>
    <x v="0"/>
    <x v="0"/>
    <d v="2025-01-16T00:00:00"/>
    <x v="2"/>
    <s v="Thu"/>
    <s v="Jan–Jun 2025"/>
    <x v="2"/>
    <s v="Beginner"/>
    <n v="4"/>
    <n v="0.77083333333333337"/>
    <n v="83"/>
    <x v="2"/>
    <x v="0"/>
    <n v="1"/>
    <x v="1"/>
    <x v="0"/>
    <d v="2025-06-30T00:00:00"/>
  </r>
  <r>
    <n v="679"/>
    <x v="226"/>
    <n v="1"/>
    <x v="2"/>
    <x v="1"/>
    <n v="26"/>
    <x v="2"/>
    <x v="4"/>
    <x v="1"/>
    <d v="2025-04-27T00:00:00"/>
    <x v="3"/>
    <s v="Sun"/>
    <s v="Jan–Jun 2025"/>
    <x v="0"/>
    <s v="Beginner"/>
    <n v="4"/>
    <n v="0.89583333333333337"/>
    <n v="63"/>
    <x v="1"/>
    <x v="1"/>
    <n v="0"/>
    <x v="0"/>
    <x v="0"/>
    <d v="2025-06-30T00:00:00"/>
  </r>
  <r>
    <n v="680"/>
    <x v="226"/>
    <n v="2"/>
    <x v="0"/>
    <x v="1"/>
    <n v="26"/>
    <x v="2"/>
    <x v="4"/>
    <x v="1"/>
    <d v="2025-04-27T00:00:00"/>
    <x v="3"/>
    <s v="Sun"/>
    <s v="Jan–Jun 2025"/>
    <x v="1"/>
    <s v="Beginner"/>
    <n v="4"/>
    <n v="0.875"/>
    <n v="66.5"/>
    <x v="1"/>
    <x v="1"/>
    <n v="0"/>
    <x v="0"/>
    <x v="0"/>
    <d v="2025-06-30T00:00:00"/>
  </r>
  <r>
    <n v="681"/>
    <x v="226"/>
    <n v="3"/>
    <x v="2"/>
    <x v="1"/>
    <n v="26"/>
    <x v="2"/>
    <x v="4"/>
    <x v="1"/>
    <d v="2025-04-27T00:00:00"/>
    <x v="3"/>
    <s v="Sun"/>
    <s v="Jan–Jun 2025"/>
    <x v="2"/>
    <s v="Beginner"/>
    <n v="4"/>
    <n v="0.83333333333333337"/>
    <n v="80"/>
    <x v="2"/>
    <x v="1"/>
    <n v="0"/>
    <x v="0"/>
    <x v="0"/>
    <d v="2025-06-30T00:00:00"/>
  </r>
  <r>
    <n v="682"/>
    <x v="227"/>
    <n v="1"/>
    <x v="0"/>
    <x v="0"/>
    <n v="24"/>
    <x v="0"/>
    <x v="0"/>
    <x v="1"/>
    <d v="2025-01-13T00:00:00"/>
    <x v="2"/>
    <s v="Mon"/>
    <s v="Jan–Jun 2025"/>
    <x v="0"/>
    <s v="Beginner"/>
    <n v="4"/>
    <n v="0.85416666666666663"/>
    <n v="87"/>
    <x v="2"/>
    <x v="0"/>
    <n v="1"/>
    <x v="1"/>
    <x v="0"/>
    <d v="2025-06-30T00:00:00"/>
  </r>
  <r>
    <n v="683"/>
    <x v="227"/>
    <n v="2"/>
    <x v="2"/>
    <x v="0"/>
    <n v="24"/>
    <x v="0"/>
    <x v="0"/>
    <x v="1"/>
    <d v="2025-01-13T00:00:00"/>
    <x v="2"/>
    <s v="Mon"/>
    <s v="Jan–Jun 2025"/>
    <x v="1"/>
    <s v="Beginner"/>
    <n v="4"/>
    <n v="0.8125"/>
    <n v="77"/>
    <x v="1"/>
    <x v="0"/>
    <n v="1"/>
    <x v="1"/>
    <x v="0"/>
    <d v="2025-06-30T00:00:00"/>
  </r>
  <r>
    <n v="684"/>
    <x v="227"/>
    <n v="3"/>
    <x v="0"/>
    <x v="0"/>
    <n v="24"/>
    <x v="0"/>
    <x v="0"/>
    <x v="1"/>
    <d v="2025-01-13T00:00:00"/>
    <x v="2"/>
    <s v="Mon"/>
    <s v="Jan–Jun 2025"/>
    <x v="2"/>
    <s v="Beginner"/>
    <n v="4"/>
    <n v="0.8125"/>
    <n v="79.5"/>
    <x v="2"/>
    <x v="0"/>
    <n v="1"/>
    <x v="1"/>
    <x v="0"/>
    <d v="2025-06-30T00:00:00"/>
  </r>
  <r>
    <n v="685"/>
    <x v="228"/>
    <n v="1"/>
    <x v="1"/>
    <x v="1"/>
    <n v="25"/>
    <x v="2"/>
    <x v="4"/>
    <x v="2"/>
    <d v="2025-01-18T00:00:00"/>
    <x v="2"/>
    <s v="Sat"/>
    <s v="Jan–Jun 2025"/>
    <x v="0"/>
    <s v="Beginner"/>
    <n v="4"/>
    <n v="0.70833333333333337"/>
    <n v="59"/>
    <x v="0"/>
    <x v="1"/>
    <n v="0"/>
    <x v="0"/>
    <x v="0"/>
    <d v="2025-06-30T00:00:00"/>
  </r>
  <r>
    <n v="686"/>
    <x v="228"/>
    <n v="2"/>
    <x v="0"/>
    <x v="1"/>
    <n v="25"/>
    <x v="2"/>
    <x v="4"/>
    <x v="2"/>
    <d v="2025-01-18T00:00:00"/>
    <x v="2"/>
    <s v="Sat"/>
    <s v="Jan–Jun 2025"/>
    <x v="1"/>
    <s v="Beginner"/>
    <n v="4"/>
    <n v="0.8125"/>
    <n v="84.5"/>
    <x v="2"/>
    <x v="1"/>
    <n v="0"/>
    <x v="0"/>
    <x v="0"/>
    <d v="2025-06-30T00:00:00"/>
  </r>
  <r>
    <n v="687"/>
    <x v="228"/>
    <n v="3"/>
    <x v="2"/>
    <x v="1"/>
    <n v="25"/>
    <x v="2"/>
    <x v="4"/>
    <x v="2"/>
    <d v="2025-01-18T00:00:00"/>
    <x v="2"/>
    <s v="Sat"/>
    <s v="Jan–Jun 2025"/>
    <x v="2"/>
    <s v="Beginner"/>
    <n v="4"/>
    <n v="0.875"/>
    <n v="72.5"/>
    <x v="1"/>
    <x v="1"/>
    <n v="0"/>
    <x v="0"/>
    <x v="0"/>
    <d v="2025-06-30T00:00:00"/>
  </r>
  <r>
    <n v="688"/>
    <x v="229"/>
    <n v="1"/>
    <x v="2"/>
    <x v="0"/>
    <n v="24"/>
    <x v="0"/>
    <x v="4"/>
    <x v="0"/>
    <d v="2025-02-07T00:00:00"/>
    <x v="4"/>
    <s v="Fri"/>
    <s v="Jan–Jun 2025"/>
    <x v="0"/>
    <s v="Beginner"/>
    <n v="4"/>
    <n v="0.79166666666666663"/>
    <n v="67"/>
    <x v="1"/>
    <x v="0"/>
    <n v="1"/>
    <x v="1"/>
    <x v="0"/>
    <d v="2025-06-30T00:00:00"/>
  </r>
  <r>
    <n v="689"/>
    <x v="229"/>
    <n v="2"/>
    <x v="0"/>
    <x v="0"/>
    <n v="24"/>
    <x v="0"/>
    <x v="4"/>
    <x v="0"/>
    <d v="2025-02-07T00:00:00"/>
    <x v="4"/>
    <s v="Fri"/>
    <s v="Jan–Jun 2025"/>
    <x v="1"/>
    <s v="Beginner"/>
    <n v="4"/>
    <n v="0.83333333333333337"/>
    <n v="62"/>
    <x v="1"/>
    <x v="0"/>
    <n v="1"/>
    <x v="1"/>
    <x v="0"/>
    <d v="2025-06-30T00:00:00"/>
  </r>
  <r>
    <n v="690"/>
    <x v="229"/>
    <n v="3"/>
    <x v="1"/>
    <x v="0"/>
    <n v="24"/>
    <x v="0"/>
    <x v="4"/>
    <x v="0"/>
    <d v="2025-02-07T00:00:00"/>
    <x v="4"/>
    <s v="Fri"/>
    <s v="Jan–Jun 2025"/>
    <x v="2"/>
    <s v="Beginner"/>
    <n v="4"/>
    <n v="0.8125"/>
    <n v="69"/>
    <x v="1"/>
    <x v="0"/>
    <n v="1"/>
    <x v="1"/>
    <x v="0"/>
    <d v="2025-06-30T00:00:00"/>
  </r>
  <r>
    <n v="691"/>
    <x v="230"/>
    <n v="1"/>
    <x v="0"/>
    <x v="0"/>
    <n v="26"/>
    <x v="2"/>
    <x v="4"/>
    <x v="2"/>
    <d v="2025-05-19T00:00:00"/>
    <x v="1"/>
    <s v="Mon"/>
    <s v="Jan–Jun 2025"/>
    <x v="0"/>
    <s v="Beginner"/>
    <n v="4"/>
    <n v="0.875"/>
    <n v="72"/>
    <x v="1"/>
    <x v="0"/>
    <n v="1"/>
    <x v="0"/>
    <x v="0"/>
    <d v="2025-06-30T00:00:00"/>
  </r>
  <r>
    <n v="692"/>
    <x v="230"/>
    <n v="2"/>
    <x v="0"/>
    <x v="0"/>
    <n v="26"/>
    <x v="2"/>
    <x v="4"/>
    <x v="2"/>
    <d v="2025-05-19T00:00:00"/>
    <x v="1"/>
    <s v="Mon"/>
    <s v="Jan–Jun 2025"/>
    <x v="1"/>
    <s v="Beginner"/>
    <n v="4"/>
    <n v="0.77083333333333337"/>
    <n v="75"/>
    <x v="1"/>
    <x v="0"/>
    <n v="1"/>
    <x v="0"/>
    <x v="0"/>
    <d v="2025-06-30T00:00:00"/>
  </r>
  <r>
    <n v="693"/>
    <x v="230"/>
    <n v="3"/>
    <x v="2"/>
    <x v="0"/>
    <n v="26"/>
    <x v="2"/>
    <x v="4"/>
    <x v="2"/>
    <d v="2025-05-19T00:00:00"/>
    <x v="1"/>
    <s v="Mon"/>
    <s v="Jan–Jun 2025"/>
    <x v="2"/>
    <s v="Beginner"/>
    <n v="4"/>
    <n v="0.85416666666666663"/>
    <n v="86"/>
    <x v="2"/>
    <x v="0"/>
    <n v="1"/>
    <x v="0"/>
    <x v="0"/>
    <d v="2025-06-30T00:00:00"/>
  </r>
  <r>
    <n v="694"/>
    <x v="231"/>
    <n v="1"/>
    <x v="0"/>
    <x v="1"/>
    <n v="23"/>
    <x v="0"/>
    <x v="1"/>
    <x v="1"/>
    <d v="2025-02-03T00:00:00"/>
    <x v="4"/>
    <s v="Mon"/>
    <s v="Jan–Jun 2025"/>
    <x v="0"/>
    <s v="Beginner"/>
    <n v="4"/>
    <n v="0.72916666666666663"/>
    <n v="79"/>
    <x v="2"/>
    <x v="1"/>
    <n v="0"/>
    <x v="0"/>
    <x v="0"/>
    <d v="2025-06-30T00:00:00"/>
  </r>
  <r>
    <n v="695"/>
    <x v="231"/>
    <n v="2"/>
    <x v="1"/>
    <x v="1"/>
    <n v="23"/>
    <x v="0"/>
    <x v="1"/>
    <x v="1"/>
    <d v="2025-02-03T00:00:00"/>
    <x v="4"/>
    <s v="Mon"/>
    <s v="Jan–Jun 2025"/>
    <x v="1"/>
    <s v="Beginner"/>
    <n v="4"/>
    <n v="0.89583333333333337"/>
    <n v="67"/>
    <x v="1"/>
    <x v="1"/>
    <n v="0"/>
    <x v="0"/>
    <x v="0"/>
    <d v="2025-06-30T00:00:00"/>
  </r>
  <r>
    <n v="696"/>
    <x v="231"/>
    <n v="3"/>
    <x v="2"/>
    <x v="1"/>
    <n v="23"/>
    <x v="0"/>
    <x v="1"/>
    <x v="1"/>
    <d v="2025-02-03T00:00:00"/>
    <x v="4"/>
    <s v="Mon"/>
    <s v="Jan–Jun 2025"/>
    <x v="2"/>
    <s v="Beginner"/>
    <n v="4"/>
    <n v="0.83333333333333337"/>
    <n v="68.5"/>
    <x v="1"/>
    <x v="1"/>
    <n v="0"/>
    <x v="0"/>
    <x v="0"/>
    <d v="2025-06-30T00:00:00"/>
  </r>
  <r>
    <n v="697"/>
    <x v="232"/>
    <n v="1"/>
    <x v="0"/>
    <x v="0"/>
    <n v="29"/>
    <x v="2"/>
    <x v="4"/>
    <x v="0"/>
    <d v="2025-01-05T00:00:00"/>
    <x v="2"/>
    <s v="Sun"/>
    <s v="Jan–Jun 2025"/>
    <x v="0"/>
    <s v="Beginner"/>
    <n v="4"/>
    <n v="0.875"/>
    <n v="57.5"/>
    <x v="0"/>
    <x v="0"/>
    <n v="1"/>
    <x v="1"/>
    <x v="0"/>
    <d v="2025-06-30T00:00:00"/>
  </r>
  <r>
    <n v="698"/>
    <x v="232"/>
    <n v="2"/>
    <x v="2"/>
    <x v="0"/>
    <n v="29"/>
    <x v="2"/>
    <x v="4"/>
    <x v="0"/>
    <d v="2025-01-05T00:00:00"/>
    <x v="2"/>
    <s v="Sun"/>
    <s v="Jan–Jun 2025"/>
    <x v="1"/>
    <s v="Beginner"/>
    <n v="4"/>
    <n v="0.77083333333333337"/>
    <n v="67.5"/>
    <x v="1"/>
    <x v="0"/>
    <n v="1"/>
    <x v="1"/>
    <x v="0"/>
    <d v="2025-06-30T00:00:00"/>
  </r>
  <r>
    <n v="699"/>
    <x v="232"/>
    <n v="3"/>
    <x v="0"/>
    <x v="0"/>
    <n v="29"/>
    <x v="2"/>
    <x v="4"/>
    <x v="0"/>
    <d v="2025-01-05T00:00:00"/>
    <x v="2"/>
    <s v="Sun"/>
    <s v="Jan–Jun 2025"/>
    <x v="2"/>
    <s v="Beginner"/>
    <n v="4"/>
    <n v="0.85416666666666663"/>
    <n v="74"/>
    <x v="1"/>
    <x v="0"/>
    <n v="1"/>
    <x v="1"/>
    <x v="0"/>
    <d v="2025-06-30T00:00:00"/>
  </r>
  <r>
    <n v="700"/>
    <x v="233"/>
    <n v="1"/>
    <x v="0"/>
    <x v="0"/>
    <n v="26"/>
    <x v="2"/>
    <x v="1"/>
    <x v="2"/>
    <d v="2025-04-18T00:00:00"/>
    <x v="3"/>
    <s v="Fri"/>
    <s v="Jan–Jun 2025"/>
    <x v="0"/>
    <s v="Beginner"/>
    <n v="4"/>
    <n v="0.79166666666666663"/>
    <n v="74"/>
    <x v="1"/>
    <x v="0"/>
    <n v="1"/>
    <x v="1"/>
    <x v="0"/>
    <d v="2025-06-30T00:00:00"/>
  </r>
  <r>
    <n v="701"/>
    <x v="233"/>
    <n v="2"/>
    <x v="2"/>
    <x v="0"/>
    <n v="26"/>
    <x v="2"/>
    <x v="1"/>
    <x v="2"/>
    <d v="2025-04-18T00:00:00"/>
    <x v="3"/>
    <s v="Fri"/>
    <s v="Jan–Jun 2025"/>
    <x v="1"/>
    <s v="Beginner"/>
    <n v="4"/>
    <n v="0.75"/>
    <n v="72"/>
    <x v="1"/>
    <x v="0"/>
    <n v="1"/>
    <x v="1"/>
    <x v="0"/>
    <d v="2025-06-30T00:00:00"/>
  </r>
  <r>
    <n v="702"/>
    <x v="233"/>
    <n v="3"/>
    <x v="0"/>
    <x v="0"/>
    <n v="26"/>
    <x v="2"/>
    <x v="1"/>
    <x v="2"/>
    <d v="2025-04-18T00:00:00"/>
    <x v="3"/>
    <s v="Fri"/>
    <s v="Jan–Jun 2025"/>
    <x v="2"/>
    <s v="Beginner"/>
    <n v="4"/>
    <n v="0.875"/>
    <n v="66.5"/>
    <x v="1"/>
    <x v="0"/>
    <n v="1"/>
    <x v="1"/>
    <x v="0"/>
    <d v="2025-06-30T00:00:00"/>
  </r>
  <r>
    <n v="703"/>
    <x v="234"/>
    <n v="1"/>
    <x v="0"/>
    <x v="0"/>
    <n v="20"/>
    <x v="0"/>
    <x v="3"/>
    <x v="3"/>
    <d v="2025-04-03T00:00:00"/>
    <x v="3"/>
    <s v="Thu"/>
    <s v="Jan–Jun 2025"/>
    <x v="0"/>
    <s v="Beginner"/>
    <n v="4"/>
    <n v="0.75"/>
    <n v="53.5"/>
    <x v="0"/>
    <x v="0"/>
    <n v="1"/>
    <x v="0"/>
    <x v="0"/>
    <d v="2025-06-30T00:00:00"/>
  </r>
  <r>
    <n v="704"/>
    <x v="234"/>
    <n v="2"/>
    <x v="0"/>
    <x v="0"/>
    <n v="20"/>
    <x v="0"/>
    <x v="3"/>
    <x v="3"/>
    <d v="2025-04-03T00:00:00"/>
    <x v="3"/>
    <s v="Thu"/>
    <s v="Jan–Jun 2025"/>
    <x v="1"/>
    <s v="Beginner"/>
    <n v="4"/>
    <n v="0.83333333333333337"/>
    <n v="92"/>
    <x v="2"/>
    <x v="0"/>
    <n v="1"/>
    <x v="0"/>
    <x v="0"/>
    <d v="2025-06-30T00:00:00"/>
  </r>
  <r>
    <n v="705"/>
    <x v="234"/>
    <n v="3"/>
    <x v="0"/>
    <x v="0"/>
    <n v="20"/>
    <x v="0"/>
    <x v="3"/>
    <x v="3"/>
    <d v="2025-04-03T00:00:00"/>
    <x v="3"/>
    <s v="Thu"/>
    <s v="Jan–Jun 2025"/>
    <x v="2"/>
    <s v="Beginner"/>
    <n v="4"/>
    <n v="0.875"/>
    <n v="72.5"/>
    <x v="1"/>
    <x v="0"/>
    <n v="1"/>
    <x v="0"/>
    <x v="0"/>
    <d v="2025-06-30T00:00:00"/>
  </r>
  <r>
    <n v="706"/>
    <x v="235"/>
    <n v="1"/>
    <x v="0"/>
    <x v="0"/>
    <n v="32"/>
    <x v="1"/>
    <x v="2"/>
    <x v="2"/>
    <d v="2025-01-12T00:00:00"/>
    <x v="2"/>
    <s v="Sun"/>
    <s v="Jan–Jun 2025"/>
    <x v="0"/>
    <s v="Beginner"/>
    <n v="4"/>
    <n v="0.83333333333333337"/>
    <n v="65"/>
    <x v="1"/>
    <x v="0"/>
    <n v="1"/>
    <x v="1"/>
    <x v="0"/>
    <d v="2025-06-30T00:00:00"/>
  </r>
  <r>
    <n v="707"/>
    <x v="235"/>
    <n v="2"/>
    <x v="0"/>
    <x v="0"/>
    <n v="32"/>
    <x v="1"/>
    <x v="2"/>
    <x v="2"/>
    <d v="2025-01-12T00:00:00"/>
    <x v="2"/>
    <s v="Sun"/>
    <s v="Jan–Jun 2025"/>
    <x v="1"/>
    <s v="Beginner"/>
    <n v="4"/>
    <n v="0.79166666666666663"/>
    <n v="60.5"/>
    <x v="1"/>
    <x v="0"/>
    <n v="1"/>
    <x v="1"/>
    <x v="0"/>
    <d v="2025-06-30T00:00:00"/>
  </r>
  <r>
    <n v="708"/>
    <x v="235"/>
    <n v="3"/>
    <x v="0"/>
    <x v="0"/>
    <n v="32"/>
    <x v="1"/>
    <x v="2"/>
    <x v="2"/>
    <d v="2025-01-12T00:00:00"/>
    <x v="2"/>
    <s v="Sun"/>
    <s v="Jan–Jun 2025"/>
    <x v="2"/>
    <s v="Beginner"/>
    <n v="4"/>
    <n v="0.83333333333333337"/>
    <n v="70"/>
    <x v="1"/>
    <x v="0"/>
    <n v="1"/>
    <x v="1"/>
    <x v="0"/>
    <d v="2025-06-30T00:00:00"/>
  </r>
  <r>
    <n v="709"/>
    <x v="236"/>
    <n v="1"/>
    <x v="0"/>
    <x v="1"/>
    <n v="32"/>
    <x v="1"/>
    <x v="0"/>
    <x v="1"/>
    <d v="2025-01-16T00:00:00"/>
    <x v="2"/>
    <s v="Thu"/>
    <s v="Jan–Jun 2025"/>
    <x v="0"/>
    <s v="Beginner"/>
    <n v="4"/>
    <n v="0.85416666666666663"/>
    <n v="60.5"/>
    <x v="1"/>
    <x v="0"/>
    <n v="1"/>
    <x v="1"/>
    <x v="0"/>
    <d v="2025-06-30T00:00:00"/>
  </r>
  <r>
    <n v="710"/>
    <x v="236"/>
    <n v="2"/>
    <x v="0"/>
    <x v="1"/>
    <n v="32"/>
    <x v="1"/>
    <x v="0"/>
    <x v="1"/>
    <d v="2025-01-16T00:00:00"/>
    <x v="2"/>
    <s v="Thu"/>
    <s v="Jan–Jun 2025"/>
    <x v="1"/>
    <s v="Beginner"/>
    <n v="4"/>
    <n v="0.79166666666666663"/>
    <n v="67.5"/>
    <x v="1"/>
    <x v="0"/>
    <n v="1"/>
    <x v="1"/>
    <x v="0"/>
    <d v="2025-06-30T00:00:00"/>
  </r>
  <r>
    <n v="711"/>
    <x v="236"/>
    <n v="3"/>
    <x v="0"/>
    <x v="1"/>
    <n v="32"/>
    <x v="1"/>
    <x v="0"/>
    <x v="1"/>
    <d v="2025-01-16T00:00:00"/>
    <x v="2"/>
    <s v="Thu"/>
    <s v="Jan–Jun 2025"/>
    <x v="2"/>
    <s v="Beginner"/>
    <n v="4"/>
    <n v="0.9375"/>
    <n v="93.5"/>
    <x v="2"/>
    <x v="0"/>
    <n v="1"/>
    <x v="1"/>
    <x v="0"/>
    <d v="2025-06-30T00:00:00"/>
  </r>
  <r>
    <n v="712"/>
    <x v="237"/>
    <n v="1"/>
    <x v="2"/>
    <x v="1"/>
    <n v="30"/>
    <x v="1"/>
    <x v="3"/>
    <x v="1"/>
    <d v="2025-05-06T00:00:00"/>
    <x v="1"/>
    <s v="Tue"/>
    <s v="Jan–Jun 2025"/>
    <x v="0"/>
    <s v="Beginner"/>
    <n v="4"/>
    <n v="0.85416666666666663"/>
    <n v="90.5"/>
    <x v="2"/>
    <x v="1"/>
    <n v="0"/>
    <x v="0"/>
    <x v="0"/>
    <d v="2025-06-30T00:00:00"/>
  </r>
  <r>
    <n v="713"/>
    <x v="237"/>
    <n v="2"/>
    <x v="0"/>
    <x v="1"/>
    <n v="30"/>
    <x v="1"/>
    <x v="3"/>
    <x v="1"/>
    <d v="2025-05-06T00:00:00"/>
    <x v="1"/>
    <s v="Tue"/>
    <s v="Jan–Jun 2025"/>
    <x v="1"/>
    <s v="Beginner"/>
    <n v="4"/>
    <n v="0.79166666666666663"/>
    <n v="67.5"/>
    <x v="1"/>
    <x v="1"/>
    <n v="0"/>
    <x v="0"/>
    <x v="0"/>
    <d v="2025-06-30T00:00:00"/>
  </r>
  <r>
    <n v="714"/>
    <x v="237"/>
    <n v="3"/>
    <x v="0"/>
    <x v="1"/>
    <n v="30"/>
    <x v="1"/>
    <x v="3"/>
    <x v="1"/>
    <d v="2025-05-06T00:00:00"/>
    <x v="1"/>
    <s v="Tue"/>
    <s v="Jan–Jun 2025"/>
    <x v="2"/>
    <s v="Beginner"/>
    <n v="4"/>
    <n v="0.83333333333333337"/>
    <n v="51"/>
    <x v="0"/>
    <x v="1"/>
    <n v="0"/>
    <x v="0"/>
    <x v="0"/>
    <d v="2025-06-30T00:00:00"/>
  </r>
  <r>
    <n v="715"/>
    <x v="238"/>
    <n v="1"/>
    <x v="2"/>
    <x v="1"/>
    <n v="20"/>
    <x v="0"/>
    <x v="1"/>
    <x v="0"/>
    <d v="2025-02-07T00:00:00"/>
    <x v="4"/>
    <s v="Fri"/>
    <s v="Jan–Jun 2025"/>
    <x v="0"/>
    <s v="Beginner"/>
    <n v="4"/>
    <n v="0.91666666666666663"/>
    <n v="75.5"/>
    <x v="1"/>
    <x v="0"/>
    <n v="1"/>
    <x v="1"/>
    <x v="0"/>
    <d v="2025-06-30T00:00:00"/>
  </r>
  <r>
    <n v="716"/>
    <x v="238"/>
    <n v="2"/>
    <x v="1"/>
    <x v="1"/>
    <n v="20"/>
    <x v="0"/>
    <x v="1"/>
    <x v="0"/>
    <d v="2025-02-07T00:00:00"/>
    <x v="4"/>
    <s v="Fri"/>
    <s v="Jan–Jun 2025"/>
    <x v="1"/>
    <s v="Beginner"/>
    <n v="4"/>
    <n v="0.875"/>
    <n v="70"/>
    <x v="1"/>
    <x v="0"/>
    <n v="1"/>
    <x v="1"/>
    <x v="0"/>
    <d v="2025-06-30T00:00:00"/>
  </r>
  <r>
    <n v="717"/>
    <x v="238"/>
    <n v="3"/>
    <x v="0"/>
    <x v="1"/>
    <n v="20"/>
    <x v="0"/>
    <x v="1"/>
    <x v="0"/>
    <d v="2025-02-07T00:00:00"/>
    <x v="4"/>
    <s v="Fri"/>
    <s v="Jan–Jun 2025"/>
    <x v="2"/>
    <s v="Beginner"/>
    <n v="4"/>
    <n v="0.79166666666666663"/>
    <n v="76"/>
    <x v="1"/>
    <x v="0"/>
    <n v="1"/>
    <x v="1"/>
    <x v="0"/>
    <d v="2025-06-30T00:00:00"/>
  </r>
  <r>
    <n v="718"/>
    <x v="239"/>
    <n v="1"/>
    <x v="0"/>
    <x v="0"/>
    <n v="22"/>
    <x v="0"/>
    <x v="5"/>
    <x v="0"/>
    <d v="2025-04-08T00:00:00"/>
    <x v="3"/>
    <s v="Tue"/>
    <s v="Jan–Jun 2025"/>
    <x v="0"/>
    <s v="Beginner"/>
    <n v="4"/>
    <n v="0.85416666666666663"/>
    <n v="59.5"/>
    <x v="0"/>
    <x v="1"/>
    <n v="0"/>
    <x v="0"/>
    <x v="0"/>
    <d v="2025-06-30T00:00:00"/>
  </r>
  <r>
    <n v="719"/>
    <x v="239"/>
    <n v="2"/>
    <x v="1"/>
    <x v="0"/>
    <n v="22"/>
    <x v="0"/>
    <x v="5"/>
    <x v="0"/>
    <d v="2025-04-08T00:00:00"/>
    <x v="3"/>
    <s v="Tue"/>
    <s v="Jan–Jun 2025"/>
    <x v="1"/>
    <s v="Beginner"/>
    <n v="4"/>
    <n v="0.6875"/>
    <n v="85.5"/>
    <x v="2"/>
    <x v="1"/>
    <n v="0"/>
    <x v="0"/>
    <x v="0"/>
    <d v="2025-06-30T00:00:00"/>
  </r>
  <r>
    <n v="720"/>
    <x v="239"/>
    <n v="3"/>
    <x v="2"/>
    <x v="0"/>
    <n v="22"/>
    <x v="0"/>
    <x v="5"/>
    <x v="0"/>
    <d v="2025-04-08T00:00:00"/>
    <x v="3"/>
    <s v="Tue"/>
    <s v="Jan–Jun 2025"/>
    <x v="2"/>
    <s v="Beginner"/>
    <n v="4"/>
    <n v="0.8125"/>
    <n v="73"/>
    <x v="1"/>
    <x v="1"/>
    <n v="0"/>
    <x v="0"/>
    <x v="0"/>
    <d v="2025-06-30T00:00:00"/>
  </r>
  <r>
    <n v="721"/>
    <x v="240"/>
    <n v="1"/>
    <x v="1"/>
    <x v="1"/>
    <n v="32"/>
    <x v="1"/>
    <x v="2"/>
    <x v="3"/>
    <d v="2025-01-26T00:00:00"/>
    <x v="2"/>
    <s v="Sun"/>
    <s v="Jan–Jun 2025"/>
    <x v="0"/>
    <s v="Beginner"/>
    <n v="4"/>
    <n v="0.83333333333333337"/>
    <n v="52"/>
    <x v="0"/>
    <x v="0"/>
    <n v="1"/>
    <x v="1"/>
    <x v="0"/>
    <d v="2025-06-30T00:00:00"/>
  </r>
  <r>
    <n v="722"/>
    <x v="240"/>
    <n v="2"/>
    <x v="1"/>
    <x v="1"/>
    <n v="32"/>
    <x v="1"/>
    <x v="2"/>
    <x v="3"/>
    <d v="2025-01-26T00:00:00"/>
    <x v="2"/>
    <s v="Sun"/>
    <s v="Jan–Jun 2025"/>
    <x v="1"/>
    <s v="Beginner"/>
    <n v="4"/>
    <n v="0.875"/>
    <n v="67.5"/>
    <x v="1"/>
    <x v="0"/>
    <n v="1"/>
    <x v="1"/>
    <x v="0"/>
    <d v="2025-06-30T00:00:00"/>
  </r>
  <r>
    <n v="723"/>
    <x v="240"/>
    <n v="3"/>
    <x v="2"/>
    <x v="1"/>
    <n v="32"/>
    <x v="1"/>
    <x v="2"/>
    <x v="3"/>
    <d v="2025-01-26T00:00:00"/>
    <x v="2"/>
    <s v="Sun"/>
    <s v="Jan–Jun 2025"/>
    <x v="2"/>
    <s v="Beginner"/>
    <n v="4"/>
    <n v="0.875"/>
    <n v="67"/>
    <x v="1"/>
    <x v="0"/>
    <n v="1"/>
    <x v="1"/>
    <x v="0"/>
    <d v="2025-06-30T00:00:00"/>
  </r>
  <r>
    <n v="724"/>
    <x v="241"/>
    <n v="1"/>
    <x v="0"/>
    <x v="0"/>
    <n v="35"/>
    <x v="1"/>
    <x v="0"/>
    <x v="2"/>
    <d v="2025-04-21T00:00:00"/>
    <x v="3"/>
    <s v="Mon"/>
    <s v="Jan–Jun 2025"/>
    <x v="0"/>
    <s v="Beginner"/>
    <n v="4"/>
    <n v="0.6875"/>
    <n v="53.5"/>
    <x v="0"/>
    <x v="0"/>
    <n v="1"/>
    <x v="1"/>
    <x v="0"/>
    <d v="2025-06-30T00:00:00"/>
  </r>
  <r>
    <n v="725"/>
    <x v="241"/>
    <n v="2"/>
    <x v="2"/>
    <x v="0"/>
    <n v="35"/>
    <x v="1"/>
    <x v="0"/>
    <x v="2"/>
    <d v="2025-04-21T00:00:00"/>
    <x v="3"/>
    <s v="Mon"/>
    <s v="Jan–Jun 2025"/>
    <x v="1"/>
    <s v="Beginner"/>
    <n v="4"/>
    <n v="0.83333333333333337"/>
    <n v="81.5"/>
    <x v="2"/>
    <x v="0"/>
    <n v="1"/>
    <x v="1"/>
    <x v="0"/>
    <d v="2025-06-30T00:00:00"/>
  </r>
  <r>
    <n v="726"/>
    <x v="241"/>
    <n v="3"/>
    <x v="0"/>
    <x v="0"/>
    <n v="35"/>
    <x v="1"/>
    <x v="0"/>
    <x v="2"/>
    <d v="2025-04-21T00:00:00"/>
    <x v="3"/>
    <s v="Mon"/>
    <s v="Jan–Jun 2025"/>
    <x v="2"/>
    <s v="Beginner"/>
    <n v="4"/>
    <n v="0.75"/>
    <n v="59"/>
    <x v="0"/>
    <x v="0"/>
    <n v="1"/>
    <x v="1"/>
    <x v="0"/>
    <d v="2025-06-30T00:00:00"/>
  </r>
  <r>
    <n v="727"/>
    <x v="242"/>
    <n v="1"/>
    <x v="2"/>
    <x v="1"/>
    <n v="25"/>
    <x v="2"/>
    <x v="3"/>
    <x v="0"/>
    <d v="2025-04-27T00:00:00"/>
    <x v="3"/>
    <s v="Sun"/>
    <s v="Jan–Jun 2025"/>
    <x v="0"/>
    <s v="Beginner"/>
    <n v="4"/>
    <n v="0.875"/>
    <n v="80"/>
    <x v="2"/>
    <x v="0"/>
    <n v="1"/>
    <x v="1"/>
    <x v="1"/>
    <d v="2025-06-30T00:00:00"/>
  </r>
  <r>
    <n v="728"/>
    <x v="242"/>
    <n v="2"/>
    <x v="2"/>
    <x v="1"/>
    <n v="25"/>
    <x v="2"/>
    <x v="3"/>
    <x v="0"/>
    <d v="2025-04-27T00:00:00"/>
    <x v="3"/>
    <s v="Sun"/>
    <s v="Jan–Jun 2025"/>
    <x v="1"/>
    <s v="Beginner"/>
    <n v="4"/>
    <n v="0.8125"/>
    <n v="74"/>
    <x v="1"/>
    <x v="0"/>
    <n v="1"/>
    <x v="1"/>
    <x v="1"/>
    <d v="2025-06-30T00:00:00"/>
  </r>
  <r>
    <n v="729"/>
    <x v="242"/>
    <n v="3"/>
    <x v="2"/>
    <x v="1"/>
    <n v="25"/>
    <x v="2"/>
    <x v="3"/>
    <x v="0"/>
    <d v="2025-04-27T00:00:00"/>
    <x v="3"/>
    <s v="Sun"/>
    <s v="Jan–Jun 2025"/>
    <x v="2"/>
    <s v="Beginner"/>
    <n v="4"/>
    <n v="0.85416666666666663"/>
    <n v="68.5"/>
    <x v="1"/>
    <x v="0"/>
    <n v="1"/>
    <x v="1"/>
    <x v="1"/>
    <d v="2025-06-30T00:00:00"/>
  </r>
  <r>
    <n v="730"/>
    <x v="243"/>
    <n v="1"/>
    <x v="0"/>
    <x v="1"/>
    <n v="31"/>
    <x v="1"/>
    <x v="0"/>
    <x v="1"/>
    <d v="2025-03-22T00:00:00"/>
    <x v="0"/>
    <s v="Sat"/>
    <s v="Jan–Jun 2025"/>
    <x v="0"/>
    <s v="Beginner"/>
    <n v="4"/>
    <n v="0.77083333333333337"/>
    <n v="66.5"/>
    <x v="1"/>
    <x v="1"/>
    <n v="0"/>
    <x v="0"/>
    <x v="0"/>
    <d v="2025-06-30T00:00:00"/>
  </r>
  <r>
    <n v="731"/>
    <x v="243"/>
    <n v="2"/>
    <x v="0"/>
    <x v="1"/>
    <n v="31"/>
    <x v="1"/>
    <x v="0"/>
    <x v="1"/>
    <d v="2025-03-22T00:00:00"/>
    <x v="0"/>
    <s v="Sat"/>
    <s v="Jan–Jun 2025"/>
    <x v="1"/>
    <s v="Beginner"/>
    <n v="4"/>
    <n v="0.8125"/>
    <n v="73.5"/>
    <x v="1"/>
    <x v="1"/>
    <n v="0"/>
    <x v="0"/>
    <x v="0"/>
    <d v="2025-06-30T00:00:00"/>
  </r>
  <r>
    <n v="732"/>
    <x v="243"/>
    <n v="3"/>
    <x v="0"/>
    <x v="1"/>
    <n v="31"/>
    <x v="1"/>
    <x v="0"/>
    <x v="1"/>
    <d v="2025-03-22T00:00:00"/>
    <x v="0"/>
    <s v="Sat"/>
    <s v="Jan–Jun 2025"/>
    <x v="2"/>
    <s v="Beginner"/>
    <n v="4"/>
    <n v="0.79166666666666663"/>
    <n v="80"/>
    <x v="2"/>
    <x v="1"/>
    <n v="0"/>
    <x v="0"/>
    <x v="0"/>
    <d v="2025-06-30T00:00:00"/>
  </r>
  <r>
    <n v="733"/>
    <x v="244"/>
    <n v="1"/>
    <x v="0"/>
    <x v="1"/>
    <n v="28"/>
    <x v="2"/>
    <x v="0"/>
    <x v="0"/>
    <d v="2025-04-06T00:00:00"/>
    <x v="3"/>
    <s v="Sun"/>
    <s v="Jan–Jun 2025"/>
    <x v="0"/>
    <s v="Beginner"/>
    <n v="4"/>
    <n v="0.83333333333333337"/>
    <n v="72"/>
    <x v="1"/>
    <x v="1"/>
    <n v="0"/>
    <x v="0"/>
    <x v="0"/>
    <d v="2025-06-30T00:00:00"/>
  </r>
  <r>
    <n v="734"/>
    <x v="244"/>
    <n v="2"/>
    <x v="0"/>
    <x v="1"/>
    <n v="28"/>
    <x v="2"/>
    <x v="0"/>
    <x v="0"/>
    <d v="2025-04-06T00:00:00"/>
    <x v="3"/>
    <s v="Sun"/>
    <s v="Jan–Jun 2025"/>
    <x v="1"/>
    <s v="Beginner"/>
    <n v="4"/>
    <n v="0.72916666666666663"/>
    <n v="66"/>
    <x v="1"/>
    <x v="1"/>
    <n v="0"/>
    <x v="0"/>
    <x v="0"/>
    <d v="2025-06-30T00:00:00"/>
  </r>
  <r>
    <n v="735"/>
    <x v="244"/>
    <n v="3"/>
    <x v="0"/>
    <x v="1"/>
    <n v="28"/>
    <x v="2"/>
    <x v="0"/>
    <x v="0"/>
    <d v="2025-04-06T00:00:00"/>
    <x v="3"/>
    <s v="Sun"/>
    <s v="Jan–Jun 2025"/>
    <x v="2"/>
    <s v="Beginner"/>
    <n v="4"/>
    <n v="0.70833333333333337"/>
    <n v="83"/>
    <x v="2"/>
    <x v="1"/>
    <n v="0"/>
    <x v="0"/>
    <x v="0"/>
    <d v="2025-06-30T00:00:00"/>
  </r>
  <r>
    <n v="736"/>
    <x v="245"/>
    <n v="1"/>
    <x v="0"/>
    <x v="0"/>
    <n v="33"/>
    <x v="1"/>
    <x v="1"/>
    <x v="1"/>
    <d v="2025-01-22T00:00:00"/>
    <x v="2"/>
    <s v="Wed"/>
    <s v="Jan–Jun 2025"/>
    <x v="0"/>
    <s v="Beginner"/>
    <n v="4"/>
    <n v="0.83333333333333337"/>
    <n v="51"/>
    <x v="0"/>
    <x v="0"/>
    <n v="1"/>
    <x v="1"/>
    <x v="1"/>
    <d v="2025-06-30T00:00:00"/>
  </r>
  <r>
    <n v="737"/>
    <x v="245"/>
    <n v="2"/>
    <x v="1"/>
    <x v="0"/>
    <n v="33"/>
    <x v="1"/>
    <x v="1"/>
    <x v="1"/>
    <d v="2025-01-22T00:00:00"/>
    <x v="2"/>
    <s v="Wed"/>
    <s v="Jan–Jun 2025"/>
    <x v="1"/>
    <s v="Beginner"/>
    <n v="4"/>
    <n v="0.83333333333333337"/>
    <n v="62"/>
    <x v="1"/>
    <x v="0"/>
    <n v="1"/>
    <x v="1"/>
    <x v="1"/>
    <d v="2025-06-30T00:00:00"/>
  </r>
  <r>
    <n v="738"/>
    <x v="245"/>
    <n v="3"/>
    <x v="0"/>
    <x v="0"/>
    <n v="33"/>
    <x v="1"/>
    <x v="1"/>
    <x v="1"/>
    <d v="2025-01-22T00:00:00"/>
    <x v="2"/>
    <s v="Wed"/>
    <s v="Jan–Jun 2025"/>
    <x v="2"/>
    <s v="Beginner"/>
    <n v="4"/>
    <n v="0.83333333333333337"/>
    <n v="85.5"/>
    <x v="2"/>
    <x v="0"/>
    <n v="1"/>
    <x v="1"/>
    <x v="1"/>
    <d v="2025-06-30T00:00:00"/>
  </r>
  <r>
    <n v="739"/>
    <x v="246"/>
    <n v="1"/>
    <x v="0"/>
    <x v="0"/>
    <n v="31"/>
    <x v="1"/>
    <x v="1"/>
    <x v="0"/>
    <d v="2025-02-03T00:00:00"/>
    <x v="4"/>
    <s v="Mon"/>
    <s v="Jan–Jun 2025"/>
    <x v="0"/>
    <s v="Beginner"/>
    <n v="4"/>
    <n v="0.875"/>
    <n v="57"/>
    <x v="0"/>
    <x v="0"/>
    <n v="1"/>
    <x v="1"/>
    <x v="0"/>
    <d v="2025-06-30T00:00:00"/>
  </r>
  <r>
    <n v="740"/>
    <x v="246"/>
    <n v="2"/>
    <x v="0"/>
    <x v="0"/>
    <n v="31"/>
    <x v="1"/>
    <x v="1"/>
    <x v="0"/>
    <d v="2025-02-03T00:00:00"/>
    <x v="4"/>
    <s v="Mon"/>
    <s v="Jan–Jun 2025"/>
    <x v="1"/>
    <s v="Beginner"/>
    <n v="4"/>
    <n v="0.72916666666666663"/>
    <n v="46.5"/>
    <x v="0"/>
    <x v="0"/>
    <n v="1"/>
    <x v="1"/>
    <x v="0"/>
    <d v="2025-06-30T00:00:00"/>
  </r>
  <r>
    <n v="741"/>
    <x v="246"/>
    <n v="3"/>
    <x v="1"/>
    <x v="0"/>
    <n v="31"/>
    <x v="1"/>
    <x v="1"/>
    <x v="0"/>
    <d v="2025-02-03T00:00:00"/>
    <x v="4"/>
    <s v="Mon"/>
    <s v="Jan–Jun 2025"/>
    <x v="2"/>
    <s v="Beginner"/>
    <n v="4"/>
    <n v="0.6875"/>
    <n v="63.5"/>
    <x v="1"/>
    <x v="0"/>
    <n v="1"/>
    <x v="1"/>
    <x v="0"/>
    <d v="2025-06-30T00:00:00"/>
  </r>
  <r>
    <n v="742"/>
    <x v="247"/>
    <n v="1"/>
    <x v="0"/>
    <x v="0"/>
    <n v="35"/>
    <x v="1"/>
    <x v="2"/>
    <x v="0"/>
    <d v="2025-02-01T00:00:00"/>
    <x v="4"/>
    <s v="Sat"/>
    <s v="Jan–Jun 2025"/>
    <x v="0"/>
    <s v="Beginner"/>
    <n v="4"/>
    <n v="0.85416666666666663"/>
    <n v="71"/>
    <x v="1"/>
    <x v="0"/>
    <n v="1"/>
    <x v="0"/>
    <x v="0"/>
    <d v="2025-06-30T00:00:00"/>
  </r>
  <r>
    <n v="743"/>
    <x v="247"/>
    <n v="2"/>
    <x v="1"/>
    <x v="0"/>
    <n v="35"/>
    <x v="1"/>
    <x v="2"/>
    <x v="0"/>
    <d v="2025-02-01T00:00:00"/>
    <x v="4"/>
    <s v="Sat"/>
    <s v="Jan–Jun 2025"/>
    <x v="1"/>
    <s v="Beginner"/>
    <n v="4"/>
    <n v="0.85416666666666663"/>
    <n v="95"/>
    <x v="2"/>
    <x v="0"/>
    <n v="1"/>
    <x v="0"/>
    <x v="0"/>
    <d v="2025-06-30T00:00:00"/>
  </r>
  <r>
    <n v="744"/>
    <x v="247"/>
    <n v="3"/>
    <x v="0"/>
    <x v="0"/>
    <n v="35"/>
    <x v="1"/>
    <x v="2"/>
    <x v="0"/>
    <d v="2025-02-01T00:00:00"/>
    <x v="4"/>
    <s v="Sat"/>
    <s v="Jan–Jun 2025"/>
    <x v="2"/>
    <s v="Beginner"/>
    <n v="4"/>
    <n v="0.79166666666666663"/>
    <n v="50"/>
    <x v="0"/>
    <x v="0"/>
    <n v="1"/>
    <x v="0"/>
    <x v="0"/>
    <d v="2025-06-30T00:00:00"/>
  </r>
  <r>
    <n v="745"/>
    <x v="248"/>
    <n v="1"/>
    <x v="0"/>
    <x v="1"/>
    <n v="29"/>
    <x v="2"/>
    <x v="0"/>
    <x v="3"/>
    <d v="2025-01-14T00:00:00"/>
    <x v="2"/>
    <s v="Tue"/>
    <s v="Jan–Jun 2025"/>
    <x v="0"/>
    <s v="Beginner"/>
    <n v="4"/>
    <n v="0.8125"/>
    <n v="51"/>
    <x v="0"/>
    <x v="0"/>
    <n v="1"/>
    <x v="1"/>
    <x v="1"/>
    <d v="2025-06-30T00:00:00"/>
  </r>
  <r>
    <n v="746"/>
    <x v="248"/>
    <n v="2"/>
    <x v="2"/>
    <x v="1"/>
    <n v="29"/>
    <x v="2"/>
    <x v="0"/>
    <x v="3"/>
    <d v="2025-01-14T00:00:00"/>
    <x v="2"/>
    <s v="Tue"/>
    <s v="Jan–Jun 2025"/>
    <x v="1"/>
    <s v="Beginner"/>
    <n v="4"/>
    <n v="0.79166666666666663"/>
    <n v="86.5"/>
    <x v="2"/>
    <x v="0"/>
    <n v="1"/>
    <x v="1"/>
    <x v="1"/>
    <d v="2025-06-30T00:00:00"/>
  </r>
  <r>
    <n v="747"/>
    <x v="248"/>
    <n v="3"/>
    <x v="2"/>
    <x v="1"/>
    <n v="29"/>
    <x v="2"/>
    <x v="0"/>
    <x v="3"/>
    <d v="2025-01-14T00:00:00"/>
    <x v="2"/>
    <s v="Tue"/>
    <s v="Jan–Jun 2025"/>
    <x v="2"/>
    <s v="Beginner"/>
    <n v="4"/>
    <n v="0.72916666666666663"/>
    <n v="64.5"/>
    <x v="1"/>
    <x v="0"/>
    <n v="1"/>
    <x v="1"/>
    <x v="1"/>
    <d v="2025-06-30T00:00:00"/>
  </r>
  <r>
    <n v="748"/>
    <x v="249"/>
    <n v="1"/>
    <x v="2"/>
    <x v="1"/>
    <n v="27"/>
    <x v="2"/>
    <x v="5"/>
    <x v="1"/>
    <d v="2025-05-28T00:00:00"/>
    <x v="1"/>
    <s v="Wed"/>
    <s v="Jan–Jun 2025"/>
    <x v="0"/>
    <s v="Beginner"/>
    <n v="4"/>
    <n v="0.72916666666666663"/>
    <n v="59.5"/>
    <x v="0"/>
    <x v="0"/>
    <n v="1"/>
    <x v="1"/>
    <x v="1"/>
    <d v="2025-06-30T00:00:00"/>
  </r>
  <r>
    <n v="749"/>
    <x v="249"/>
    <n v="2"/>
    <x v="0"/>
    <x v="1"/>
    <n v="27"/>
    <x v="2"/>
    <x v="5"/>
    <x v="1"/>
    <d v="2025-05-28T00:00:00"/>
    <x v="1"/>
    <s v="Wed"/>
    <s v="Jan–Jun 2025"/>
    <x v="1"/>
    <s v="Beginner"/>
    <n v="4"/>
    <n v="0.79166666666666663"/>
    <n v="64"/>
    <x v="1"/>
    <x v="0"/>
    <n v="1"/>
    <x v="1"/>
    <x v="1"/>
    <d v="2025-06-30T00:00:00"/>
  </r>
  <r>
    <n v="750"/>
    <x v="249"/>
    <n v="3"/>
    <x v="0"/>
    <x v="1"/>
    <n v="27"/>
    <x v="2"/>
    <x v="5"/>
    <x v="1"/>
    <d v="2025-05-28T00:00:00"/>
    <x v="1"/>
    <s v="Wed"/>
    <s v="Jan–Jun 2025"/>
    <x v="2"/>
    <s v="Beginner"/>
    <n v="4"/>
    <n v="0.875"/>
    <n v="74.5"/>
    <x v="1"/>
    <x v="0"/>
    <n v="1"/>
    <x v="1"/>
    <x v="1"/>
    <d v="2025-06-30T00:00:00"/>
  </r>
  <r>
    <n v="751"/>
    <x v="250"/>
    <n v="1"/>
    <x v="0"/>
    <x v="0"/>
    <n v="22"/>
    <x v="0"/>
    <x v="0"/>
    <x v="3"/>
    <d v="2025-02-27T00:00:00"/>
    <x v="4"/>
    <s v="Thu"/>
    <s v="Jan–Jun 2025"/>
    <x v="0"/>
    <s v="Beginner"/>
    <n v="4"/>
    <n v="0.89583333333333337"/>
    <n v="77"/>
    <x v="1"/>
    <x v="0"/>
    <n v="1"/>
    <x v="1"/>
    <x v="1"/>
    <d v="2025-06-30T00:00:00"/>
  </r>
  <r>
    <n v="752"/>
    <x v="250"/>
    <n v="2"/>
    <x v="0"/>
    <x v="0"/>
    <n v="22"/>
    <x v="0"/>
    <x v="0"/>
    <x v="3"/>
    <d v="2025-02-27T00:00:00"/>
    <x v="4"/>
    <s v="Thu"/>
    <s v="Jan–Jun 2025"/>
    <x v="1"/>
    <s v="Beginner"/>
    <n v="4"/>
    <n v="0.72916666666666663"/>
    <n v="70"/>
    <x v="1"/>
    <x v="0"/>
    <n v="1"/>
    <x v="1"/>
    <x v="1"/>
    <d v="2025-06-30T00:00:00"/>
  </r>
  <r>
    <n v="753"/>
    <x v="250"/>
    <n v="3"/>
    <x v="0"/>
    <x v="0"/>
    <n v="22"/>
    <x v="0"/>
    <x v="0"/>
    <x v="3"/>
    <d v="2025-02-27T00:00:00"/>
    <x v="4"/>
    <s v="Thu"/>
    <s v="Jan–Jun 2025"/>
    <x v="2"/>
    <s v="Beginner"/>
    <n v="4"/>
    <n v="0.77083333333333337"/>
    <n v="55"/>
    <x v="0"/>
    <x v="0"/>
    <n v="1"/>
    <x v="1"/>
    <x v="1"/>
    <d v="2025-06-30T00:00:00"/>
  </r>
  <r>
    <n v="754"/>
    <x v="251"/>
    <n v="1"/>
    <x v="0"/>
    <x v="0"/>
    <n v="29"/>
    <x v="2"/>
    <x v="2"/>
    <x v="0"/>
    <d v="2025-01-30T00:00:00"/>
    <x v="2"/>
    <s v="Thu"/>
    <s v="Jan–Jun 2025"/>
    <x v="0"/>
    <s v="Beginner"/>
    <n v="4"/>
    <n v="0.83333333333333337"/>
    <n v="61"/>
    <x v="1"/>
    <x v="0"/>
    <n v="1"/>
    <x v="0"/>
    <x v="0"/>
    <d v="2025-06-30T00:00:00"/>
  </r>
  <r>
    <n v="755"/>
    <x v="251"/>
    <n v="2"/>
    <x v="0"/>
    <x v="0"/>
    <n v="29"/>
    <x v="2"/>
    <x v="2"/>
    <x v="0"/>
    <d v="2025-01-30T00:00:00"/>
    <x v="2"/>
    <s v="Thu"/>
    <s v="Jan–Jun 2025"/>
    <x v="1"/>
    <s v="Beginner"/>
    <n v="4"/>
    <n v="0.83333333333333337"/>
    <n v="51"/>
    <x v="0"/>
    <x v="0"/>
    <n v="1"/>
    <x v="0"/>
    <x v="0"/>
    <d v="2025-06-30T00:00:00"/>
  </r>
  <r>
    <n v="756"/>
    <x v="251"/>
    <n v="3"/>
    <x v="0"/>
    <x v="0"/>
    <n v="29"/>
    <x v="2"/>
    <x v="2"/>
    <x v="0"/>
    <d v="2025-01-30T00:00:00"/>
    <x v="2"/>
    <s v="Thu"/>
    <s v="Jan–Jun 2025"/>
    <x v="2"/>
    <s v="Beginner"/>
    <n v="4"/>
    <n v="0.875"/>
    <n v="66"/>
    <x v="1"/>
    <x v="0"/>
    <n v="1"/>
    <x v="0"/>
    <x v="0"/>
    <d v="2025-06-30T00:00:00"/>
  </r>
  <r>
    <n v="757"/>
    <x v="252"/>
    <n v="1"/>
    <x v="0"/>
    <x v="1"/>
    <n v="25"/>
    <x v="2"/>
    <x v="3"/>
    <x v="1"/>
    <d v="2025-03-10T00:00:00"/>
    <x v="0"/>
    <s v="Mon"/>
    <s v="Jan–Jun 2025"/>
    <x v="0"/>
    <s v="Beginner"/>
    <n v="4"/>
    <n v="0.83333333333333337"/>
    <n v="74.5"/>
    <x v="1"/>
    <x v="0"/>
    <n v="1"/>
    <x v="0"/>
    <x v="0"/>
    <d v="2025-06-30T00:00:00"/>
  </r>
  <r>
    <n v="758"/>
    <x v="252"/>
    <n v="2"/>
    <x v="2"/>
    <x v="1"/>
    <n v="25"/>
    <x v="2"/>
    <x v="3"/>
    <x v="1"/>
    <d v="2025-03-10T00:00:00"/>
    <x v="0"/>
    <s v="Mon"/>
    <s v="Jan–Jun 2025"/>
    <x v="1"/>
    <s v="Beginner"/>
    <n v="4"/>
    <n v="0.77083333333333337"/>
    <n v="70"/>
    <x v="1"/>
    <x v="0"/>
    <n v="1"/>
    <x v="0"/>
    <x v="0"/>
    <d v="2025-06-30T00:00:00"/>
  </r>
  <r>
    <n v="759"/>
    <x v="252"/>
    <n v="3"/>
    <x v="0"/>
    <x v="1"/>
    <n v="25"/>
    <x v="2"/>
    <x v="3"/>
    <x v="1"/>
    <d v="2025-03-10T00:00:00"/>
    <x v="0"/>
    <s v="Mon"/>
    <s v="Jan–Jun 2025"/>
    <x v="2"/>
    <s v="Beginner"/>
    <n v="4"/>
    <n v="0.79166666666666663"/>
    <n v="80.5"/>
    <x v="2"/>
    <x v="0"/>
    <n v="1"/>
    <x v="0"/>
    <x v="0"/>
    <d v="2025-06-30T00:00:00"/>
  </r>
  <r>
    <n v="760"/>
    <x v="253"/>
    <n v="1"/>
    <x v="0"/>
    <x v="0"/>
    <n v="23"/>
    <x v="0"/>
    <x v="5"/>
    <x v="0"/>
    <d v="2025-03-28T00:00:00"/>
    <x v="0"/>
    <s v="Fri"/>
    <s v="Jan–Jun 2025"/>
    <x v="0"/>
    <s v="Beginner"/>
    <n v="4"/>
    <n v="0.75"/>
    <n v="73"/>
    <x v="1"/>
    <x v="0"/>
    <n v="1"/>
    <x v="0"/>
    <x v="1"/>
    <d v="2025-06-30T00:00:00"/>
  </r>
  <r>
    <n v="761"/>
    <x v="253"/>
    <n v="2"/>
    <x v="0"/>
    <x v="0"/>
    <n v="23"/>
    <x v="0"/>
    <x v="5"/>
    <x v="0"/>
    <d v="2025-03-28T00:00:00"/>
    <x v="0"/>
    <s v="Fri"/>
    <s v="Jan–Jun 2025"/>
    <x v="1"/>
    <s v="Beginner"/>
    <n v="4"/>
    <n v="0.89583333333333337"/>
    <n v="81.5"/>
    <x v="2"/>
    <x v="0"/>
    <n v="1"/>
    <x v="0"/>
    <x v="1"/>
    <d v="2025-06-30T00:00:00"/>
  </r>
  <r>
    <n v="762"/>
    <x v="253"/>
    <n v="3"/>
    <x v="0"/>
    <x v="0"/>
    <n v="23"/>
    <x v="0"/>
    <x v="5"/>
    <x v="0"/>
    <d v="2025-03-28T00:00:00"/>
    <x v="0"/>
    <s v="Fri"/>
    <s v="Jan–Jun 2025"/>
    <x v="2"/>
    <s v="Beginner"/>
    <n v="4"/>
    <n v="0.875"/>
    <n v="81"/>
    <x v="2"/>
    <x v="0"/>
    <n v="1"/>
    <x v="0"/>
    <x v="1"/>
    <d v="2025-06-30T00:00:00"/>
  </r>
  <r>
    <n v="763"/>
    <x v="254"/>
    <n v="1"/>
    <x v="0"/>
    <x v="1"/>
    <n v="18"/>
    <x v="0"/>
    <x v="4"/>
    <x v="2"/>
    <d v="2025-05-25T00:00:00"/>
    <x v="1"/>
    <s v="Sun"/>
    <s v="Jan–Jun 2025"/>
    <x v="0"/>
    <s v="Beginner"/>
    <n v="4"/>
    <n v="0.77083333333333337"/>
    <n v="55.5"/>
    <x v="0"/>
    <x v="0"/>
    <n v="1"/>
    <x v="1"/>
    <x v="0"/>
    <d v="2025-06-30T00:00:00"/>
  </r>
  <r>
    <n v="764"/>
    <x v="254"/>
    <n v="2"/>
    <x v="2"/>
    <x v="1"/>
    <n v="18"/>
    <x v="0"/>
    <x v="4"/>
    <x v="2"/>
    <d v="2025-05-25T00:00:00"/>
    <x v="1"/>
    <s v="Sun"/>
    <s v="Jan–Jun 2025"/>
    <x v="1"/>
    <s v="Beginner"/>
    <n v="4"/>
    <n v="0.6875"/>
    <n v="69"/>
    <x v="1"/>
    <x v="0"/>
    <n v="1"/>
    <x v="1"/>
    <x v="0"/>
    <d v="2025-06-30T00:00:00"/>
  </r>
  <r>
    <n v="765"/>
    <x v="254"/>
    <n v="3"/>
    <x v="0"/>
    <x v="1"/>
    <n v="18"/>
    <x v="0"/>
    <x v="4"/>
    <x v="2"/>
    <d v="2025-05-25T00:00:00"/>
    <x v="1"/>
    <s v="Sun"/>
    <s v="Jan–Jun 2025"/>
    <x v="2"/>
    <s v="Beginner"/>
    <n v="4"/>
    <n v="0.83333333333333337"/>
    <n v="70.5"/>
    <x v="1"/>
    <x v="0"/>
    <n v="1"/>
    <x v="1"/>
    <x v="0"/>
    <d v="2025-06-30T00:00:00"/>
  </r>
  <r>
    <n v="766"/>
    <x v="255"/>
    <n v="1"/>
    <x v="0"/>
    <x v="1"/>
    <n v="20"/>
    <x v="0"/>
    <x v="4"/>
    <x v="1"/>
    <d v="2025-01-24T00:00:00"/>
    <x v="2"/>
    <s v="Fri"/>
    <s v="Jan–Jun 2025"/>
    <x v="0"/>
    <s v="Beginner"/>
    <n v="4"/>
    <n v="0.83333333333333337"/>
    <n v="82.5"/>
    <x v="2"/>
    <x v="1"/>
    <n v="0"/>
    <x v="0"/>
    <x v="0"/>
    <d v="2025-06-30T00:00:00"/>
  </r>
  <r>
    <n v="767"/>
    <x v="255"/>
    <n v="2"/>
    <x v="2"/>
    <x v="1"/>
    <n v="20"/>
    <x v="0"/>
    <x v="4"/>
    <x v="1"/>
    <d v="2025-01-24T00:00:00"/>
    <x v="2"/>
    <s v="Fri"/>
    <s v="Jan–Jun 2025"/>
    <x v="1"/>
    <s v="Beginner"/>
    <n v="4"/>
    <n v="0.875"/>
    <n v="60"/>
    <x v="1"/>
    <x v="1"/>
    <n v="0"/>
    <x v="0"/>
    <x v="0"/>
    <d v="2025-06-30T00:00:00"/>
  </r>
  <r>
    <n v="768"/>
    <x v="255"/>
    <n v="3"/>
    <x v="0"/>
    <x v="1"/>
    <n v="20"/>
    <x v="0"/>
    <x v="4"/>
    <x v="1"/>
    <d v="2025-01-24T00:00:00"/>
    <x v="2"/>
    <s v="Fri"/>
    <s v="Jan–Jun 2025"/>
    <x v="2"/>
    <s v="Beginner"/>
    <n v="4"/>
    <n v="0.83333333333333337"/>
    <n v="48.5"/>
    <x v="0"/>
    <x v="1"/>
    <n v="0"/>
    <x v="0"/>
    <x v="0"/>
    <d v="2025-06-30T00:00:00"/>
  </r>
  <r>
    <n v="769"/>
    <x v="256"/>
    <n v="1"/>
    <x v="0"/>
    <x v="0"/>
    <n v="30"/>
    <x v="1"/>
    <x v="3"/>
    <x v="3"/>
    <d v="2025-03-29T00:00:00"/>
    <x v="0"/>
    <s v="Sat"/>
    <s v="Jan–Jun 2025"/>
    <x v="0"/>
    <s v="Beginner"/>
    <n v="4"/>
    <n v="0.8125"/>
    <n v="73.5"/>
    <x v="1"/>
    <x v="0"/>
    <n v="1"/>
    <x v="0"/>
    <x v="0"/>
    <d v="2025-06-30T00:00:00"/>
  </r>
  <r>
    <n v="770"/>
    <x v="256"/>
    <n v="2"/>
    <x v="2"/>
    <x v="0"/>
    <n v="30"/>
    <x v="1"/>
    <x v="3"/>
    <x v="3"/>
    <d v="2025-03-29T00:00:00"/>
    <x v="0"/>
    <s v="Sat"/>
    <s v="Jan–Jun 2025"/>
    <x v="1"/>
    <s v="Beginner"/>
    <n v="4"/>
    <n v="0.79166666666666663"/>
    <n v="69.5"/>
    <x v="1"/>
    <x v="0"/>
    <n v="1"/>
    <x v="0"/>
    <x v="0"/>
    <d v="2025-06-30T00:00:00"/>
  </r>
  <r>
    <n v="771"/>
    <x v="256"/>
    <n v="3"/>
    <x v="0"/>
    <x v="0"/>
    <n v="30"/>
    <x v="1"/>
    <x v="3"/>
    <x v="3"/>
    <d v="2025-03-29T00:00:00"/>
    <x v="0"/>
    <s v="Sat"/>
    <s v="Jan–Jun 2025"/>
    <x v="2"/>
    <s v="Beginner"/>
    <n v="4"/>
    <n v="0.79166666666666663"/>
    <n v="68.5"/>
    <x v="1"/>
    <x v="0"/>
    <n v="1"/>
    <x v="0"/>
    <x v="0"/>
    <d v="2025-06-30T00:00:00"/>
  </r>
  <r>
    <n v="772"/>
    <x v="257"/>
    <n v="1"/>
    <x v="0"/>
    <x v="0"/>
    <n v="29"/>
    <x v="2"/>
    <x v="5"/>
    <x v="0"/>
    <d v="2025-05-26T00:00:00"/>
    <x v="1"/>
    <s v="Mon"/>
    <s v="Jan–Jun 2025"/>
    <x v="0"/>
    <s v="Beginner"/>
    <n v="4"/>
    <n v="0.79166666666666663"/>
    <n v="59"/>
    <x v="0"/>
    <x v="1"/>
    <n v="0"/>
    <x v="0"/>
    <x v="0"/>
    <d v="2025-06-30T00:00:00"/>
  </r>
  <r>
    <n v="773"/>
    <x v="257"/>
    <n v="2"/>
    <x v="1"/>
    <x v="0"/>
    <n v="29"/>
    <x v="2"/>
    <x v="5"/>
    <x v="0"/>
    <d v="2025-05-26T00:00:00"/>
    <x v="1"/>
    <s v="Mon"/>
    <s v="Jan–Jun 2025"/>
    <x v="1"/>
    <s v="Beginner"/>
    <n v="4"/>
    <n v="0.79166666666666663"/>
    <n v="56"/>
    <x v="0"/>
    <x v="1"/>
    <n v="0"/>
    <x v="0"/>
    <x v="0"/>
    <d v="2025-06-30T00:00:00"/>
  </r>
  <r>
    <n v="774"/>
    <x v="257"/>
    <n v="3"/>
    <x v="0"/>
    <x v="0"/>
    <n v="29"/>
    <x v="2"/>
    <x v="5"/>
    <x v="0"/>
    <d v="2025-05-26T00:00:00"/>
    <x v="1"/>
    <s v="Mon"/>
    <s v="Jan–Jun 2025"/>
    <x v="2"/>
    <s v="Beginner"/>
    <n v="4"/>
    <n v="0.8125"/>
    <n v="64"/>
    <x v="1"/>
    <x v="1"/>
    <n v="0"/>
    <x v="0"/>
    <x v="0"/>
    <d v="2025-06-30T00:00:00"/>
  </r>
  <r>
    <n v="775"/>
    <x v="258"/>
    <n v="1"/>
    <x v="2"/>
    <x v="0"/>
    <n v="19"/>
    <x v="0"/>
    <x v="4"/>
    <x v="2"/>
    <d v="2025-01-13T00:00:00"/>
    <x v="2"/>
    <s v="Mon"/>
    <s v="Jan–Jun 2025"/>
    <x v="0"/>
    <s v="Beginner"/>
    <n v="4"/>
    <n v="0.89583333333333337"/>
    <n v="72.5"/>
    <x v="1"/>
    <x v="1"/>
    <n v="0"/>
    <x v="0"/>
    <x v="0"/>
    <d v="2025-06-30T00:00:00"/>
  </r>
  <r>
    <n v="776"/>
    <x v="258"/>
    <n v="2"/>
    <x v="0"/>
    <x v="0"/>
    <n v="19"/>
    <x v="0"/>
    <x v="4"/>
    <x v="2"/>
    <d v="2025-01-13T00:00:00"/>
    <x v="2"/>
    <s v="Mon"/>
    <s v="Jan–Jun 2025"/>
    <x v="1"/>
    <s v="Beginner"/>
    <n v="4"/>
    <n v="0.8125"/>
    <n v="78.5"/>
    <x v="1"/>
    <x v="1"/>
    <n v="0"/>
    <x v="0"/>
    <x v="0"/>
    <d v="2025-06-30T00:00:00"/>
  </r>
  <r>
    <n v="777"/>
    <x v="258"/>
    <n v="3"/>
    <x v="0"/>
    <x v="0"/>
    <n v="19"/>
    <x v="0"/>
    <x v="4"/>
    <x v="2"/>
    <d v="2025-01-13T00:00:00"/>
    <x v="2"/>
    <s v="Mon"/>
    <s v="Jan–Jun 2025"/>
    <x v="2"/>
    <s v="Beginner"/>
    <n v="4"/>
    <n v="0.85416666666666663"/>
    <n v="70"/>
    <x v="1"/>
    <x v="1"/>
    <n v="0"/>
    <x v="0"/>
    <x v="0"/>
    <d v="2025-06-30T00:00:00"/>
  </r>
  <r>
    <n v="778"/>
    <x v="259"/>
    <n v="1"/>
    <x v="0"/>
    <x v="0"/>
    <n v="26"/>
    <x v="2"/>
    <x v="3"/>
    <x v="3"/>
    <d v="2025-05-05T00:00:00"/>
    <x v="1"/>
    <s v="Mon"/>
    <s v="Jan–Jun 2025"/>
    <x v="0"/>
    <s v="Beginner"/>
    <n v="4"/>
    <n v="0.85416666666666663"/>
    <n v="76.5"/>
    <x v="1"/>
    <x v="1"/>
    <n v="0"/>
    <x v="0"/>
    <x v="0"/>
    <d v="2025-06-30T00:00:00"/>
  </r>
  <r>
    <n v="779"/>
    <x v="259"/>
    <n v="2"/>
    <x v="1"/>
    <x v="0"/>
    <n v="26"/>
    <x v="2"/>
    <x v="3"/>
    <x v="3"/>
    <d v="2025-05-05T00:00:00"/>
    <x v="1"/>
    <s v="Mon"/>
    <s v="Jan–Jun 2025"/>
    <x v="1"/>
    <s v="Beginner"/>
    <n v="4"/>
    <n v="0.8125"/>
    <n v="68.5"/>
    <x v="1"/>
    <x v="1"/>
    <n v="0"/>
    <x v="0"/>
    <x v="0"/>
    <d v="2025-06-30T00:00:00"/>
  </r>
  <r>
    <n v="780"/>
    <x v="259"/>
    <n v="3"/>
    <x v="0"/>
    <x v="0"/>
    <n v="26"/>
    <x v="2"/>
    <x v="3"/>
    <x v="3"/>
    <d v="2025-05-05T00:00:00"/>
    <x v="1"/>
    <s v="Mon"/>
    <s v="Jan–Jun 2025"/>
    <x v="2"/>
    <s v="Beginner"/>
    <n v="4"/>
    <n v="0.91666666666666663"/>
    <n v="73"/>
    <x v="1"/>
    <x v="1"/>
    <n v="0"/>
    <x v="0"/>
    <x v="0"/>
    <d v="2025-06-30T00:00:00"/>
  </r>
  <r>
    <n v="781"/>
    <x v="260"/>
    <n v="1"/>
    <x v="0"/>
    <x v="1"/>
    <n v="31"/>
    <x v="1"/>
    <x v="5"/>
    <x v="2"/>
    <d v="2025-05-12T00:00:00"/>
    <x v="1"/>
    <s v="Mon"/>
    <s v="Jan–Jun 2025"/>
    <x v="0"/>
    <s v="Beginner"/>
    <n v="4"/>
    <n v="0.85416666666666663"/>
    <n v="69"/>
    <x v="1"/>
    <x v="1"/>
    <n v="0"/>
    <x v="0"/>
    <x v="0"/>
    <d v="2025-06-30T00:00:00"/>
  </r>
  <r>
    <n v="782"/>
    <x v="260"/>
    <n v="2"/>
    <x v="0"/>
    <x v="1"/>
    <n v="31"/>
    <x v="1"/>
    <x v="5"/>
    <x v="2"/>
    <d v="2025-05-12T00:00:00"/>
    <x v="1"/>
    <s v="Mon"/>
    <s v="Jan–Jun 2025"/>
    <x v="1"/>
    <s v="Beginner"/>
    <n v="4"/>
    <n v="0.83333333333333337"/>
    <n v="51"/>
    <x v="0"/>
    <x v="1"/>
    <n v="0"/>
    <x v="0"/>
    <x v="0"/>
    <d v="2025-06-30T00:00:00"/>
  </r>
  <r>
    <n v="783"/>
    <x v="260"/>
    <n v="3"/>
    <x v="0"/>
    <x v="1"/>
    <n v="31"/>
    <x v="1"/>
    <x v="5"/>
    <x v="2"/>
    <d v="2025-05-12T00:00:00"/>
    <x v="1"/>
    <s v="Mon"/>
    <s v="Jan–Jun 2025"/>
    <x v="2"/>
    <s v="Beginner"/>
    <n v="4"/>
    <n v="0.85416666666666663"/>
    <n v="67"/>
    <x v="1"/>
    <x v="1"/>
    <n v="0"/>
    <x v="0"/>
    <x v="0"/>
    <d v="2025-06-30T00:00:00"/>
  </r>
  <r>
    <n v="784"/>
    <x v="261"/>
    <n v="1"/>
    <x v="1"/>
    <x v="0"/>
    <n v="29"/>
    <x v="2"/>
    <x v="3"/>
    <x v="1"/>
    <d v="2025-03-14T00:00:00"/>
    <x v="0"/>
    <s v="Fri"/>
    <s v="Jan–Jun 2025"/>
    <x v="0"/>
    <s v="Beginner"/>
    <n v="4"/>
    <n v="0.8125"/>
    <n v="69.5"/>
    <x v="1"/>
    <x v="0"/>
    <n v="1"/>
    <x v="1"/>
    <x v="0"/>
    <d v="2025-06-30T00:00:00"/>
  </r>
  <r>
    <n v="785"/>
    <x v="261"/>
    <n v="2"/>
    <x v="0"/>
    <x v="0"/>
    <n v="29"/>
    <x v="2"/>
    <x v="3"/>
    <x v="1"/>
    <d v="2025-03-14T00:00:00"/>
    <x v="0"/>
    <s v="Fri"/>
    <s v="Jan–Jun 2025"/>
    <x v="1"/>
    <s v="Beginner"/>
    <n v="4"/>
    <n v="0.77083333333333337"/>
    <n v="54"/>
    <x v="0"/>
    <x v="0"/>
    <n v="1"/>
    <x v="1"/>
    <x v="0"/>
    <d v="2025-06-30T00:00:00"/>
  </r>
  <r>
    <n v="786"/>
    <x v="261"/>
    <n v="3"/>
    <x v="0"/>
    <x v="0"/>
    <n v="29"/>
    <x v="2"/>
    <x v="3"/>
    <x v="1"/>
    <d v="2025-03-14T00:00:00"/>
    <x v="0"/>
    <s v="Fri"/>
    <s v="Jan–Jun 2025"/>
    <x v="2"/>
    <s v="Beginner"/>
    <n v="4"/>
    <n v="0.85416666666666663"/>
    <n v="76"/>
    <x v="1"/>
    <x v="0"/>
    <n v="1"/>
    <x v="1"/>
    <x v="0"/>
    <d v="2025-06-30T00:00:00"/>
  </r>
  <r>
    <n v="787"/>
    <x v="262"/>
    <n v="1"/>
    <x v="0"/>
    <x v="1"/>
    <n v="34"/>
    <x v="1"/>
    <x v="0"/>
    <x v="0"/>
    <d v="2025-01-12T00:00:00"/>
    <x v="2"/>
    <s v="Sun"/>
    <s v="Jan–Jun 2025"/>
    <x v="0"/>
    <s v="Beginner"/>
    <n v="4"/>
    <n v="0.8125"/>
    <n v="74"/>
    <x v="1"/>
    <x v="0"/>
    <n v="1"/>
    <x v="0"/>
    <x v="1"/>
    <d v="2025-06-30T00:00:00"/>
  </r>
  <r>
    <n v="788"/>
    <x v="262"/>
    <n v="2"/>
    <x v="2"/>
    <x v="1"/>
    <n v="34"/>
    <x v="1"/>
    <x v="0"/>
    <x v="0"/>
    <d v="2025-01-12T00:00:00"/>
    <x v="2"/>
    <s v="Sun"/>
    <s v="Jan–Jun 2025"/>
    <x v="1"/>
    <s v="Beginner"/>
    <n v="4"/>
    <n v="0.77083333333333337"/>
    <n v="71.5"/>
    <x v="1"/>
    <x v="0"/>
    <n v="1"/>
    <x v="0"/>
    <x v="1"/>
    <d v="2025-06-30T00:00:00"/>
  </r>
  <r>
    <n v="789"/>
    <x v="262"/>
    <n v="3"/>
    <x v="0"/>
    <x v="1"/>
    <n v="34"/>
    <x v="1"/>
    <x v="0"/>
    <x v="0"/>
    <d v="2025-01-12T00:00:00"/>
    <x v="2"/>
    <s v="Sun"/>
    <s v="Jan–Jun 2025"/>
    <x v="2"/>
    <s v="Beginner"/>
    <n v="4"/>
    <n v="0.83333333333333337"/>
    <n v="94"/>
    <x v="2"/>
    <x v="0"/>
    <n v="1"/>
    <x v="0"/>
    <x v="1"/>
    <d v="2025-06-30T00:00:00"/>
  </r>
  <r>
    <n v="790"/>
    <x v="263"/>
    <n v="1"/>
    <x v="0"/>
    <x v="0"/>
    <n v="30"/>
    <x v="1"/>
    <x v="2"/>
    <x v="1"/>
    <d v="2025-01-02T00:00:00"/>
    <x v="2"/>
    <s v="Thu"/>
    <s v="Jan–Jun 2025"/>
    <x v="0"/>
    <s v="Beginner"/>
    <n v="4"/>
    <n v="0.70833333333333337"/>
    <n v="80"/>
    <x v="2"/>
    <x v="0"/>
    <n v="1"/>
    <x v="1"/>
    <x v="0"/>
    <d v="2025-06-30T00:00:00"/>
  </r>
  <r>
    <n v="791"/>
    <x v="263"/>
    <n v="2"/>
    <x v="2"/>
    <x v="0"/>
    <n v="30"/>
    <x v="1"/>
    <x v="2"/>
    <x v="1"/>
    <d v="2025-01-02T00:00:00"/>
    <x v="2"/>
    <s v="Thu"/>
    <s v="Jan–Jun 2025"/>
    <x v="1"/>
    <s v="Beginner"/>
    <n v="4"/>
    <n v="0.79166666666666663"/>
    <n v="71"/>
    <x v="1"/>
    <x v="0"/>
    <n v="1"/>
    <x v="1"/>
    <x v="0"/>
    <d v="2025-06-30T00:00:00"/>
  </r>
  <r>
    <n v="792"/>
    <x v="263"/>
    <n v="3"/>
    <x v="0"/>
    <x v="0"/>
    <n v="30"/>
    <x v="1"/>
    <x v="2"/>
    <x v="1"/>
    <d v="2025-01-02T00:00:00"/>
    <x v="2"/>
    <s v="Thu"/>
    <s v="Jan–Jun 2025"/>
    <x v="2"/>
    <s v="Beginner"/>
    <n v="4"/>
    <n v="0.89583333333333337"/>
    <n v="76"/>
    <x v="1"/>
    <x v="0"/>
    <n v="1"/>
    <x v="1"/>
    <x v="0"/>
    <d v="2025-06-30T00:00:00"/>
  </r>
  <r>
    <n v="793"/>
    <x v="264"/>
    <n v="1"/>
    <x v="0"/>
    <x v="0"/>
    <n v="27"/>
    <x v="2"/>
    <x v="4"/>
    <x v="2"/>
    <d v="2025-03-07T00:00:00"/>
    <x v="0"/>
    <s v="Fri"/>
    <s v="Jan–Jun 2025"/>
    <x v="0"/>
    <s v="Beginner"/>
    <n v="4"/>
    <n v="0.83333333333333337"/>
    <n v="82.5"/>
    <x v="2"/>
    <x v="0"/>
    <n v="1"/>
    <x v="0"/>
    <x v="1"/>
    <d v="2025-06-30T00:00:00"/>
  </r>
  <r>
    <n v="794"/>
    <x v="264"/>
    <n v="2"/>
    <x v="0"/>
    <x v="0"/>
    <n v="27"/>
    <x v="2"/>
    <x v="4"/>
    <x v="2"/>
    <d v="2025-03-07T00:00:00"/>
    <x v="0"/>
    <s v="Fri"/>
    <s v="Jan–Jun 2025"/>
    <x v="1"/>
    <s v="Beginner"/>
    <n v="4"/>
    <n v="0.8125"/>
    <n v="81.5"/>
    <x v="2"/>
    <x v="0"/>
    <n v="1"/>
    <x v="0"/>
    <x v="1"/>
    <d v="2025-06-30T00:00:00"/>
  </r>
  <r>
    <n v="795"/>
    <x v="264"/>
    <n v="3"/>
    <x v="0"/>
    <x v="0"/>
    <n v="27"/>
    <x v="2"/>
    <x v="4"/>
    <x v="2"/>
    <d v="2025-03-07T00:00:00"/>
    <x v="0"/>
    <s v="Fri"/>
    <s v="Jan–Jun 2025"/>
    <x v="2"/>
    <s v="Beginner"/>
    <n v="4"/>
    <n v="0.91666666666666663"/>
    <n v="83"/>
    <x v="2"/>
    <x v="0"/>
    <n v="1"/>
    <x v="0"/>
    <x v="1"/>
    <d v="2025-06-30T00:00:00"/>
  </r>
  <r>
    <n v="796"/>
    <x v="265"/>
    <n v="1"/>
    <x v="0"/>
    <x v="1"/>
    <n v="28"/>
    <x v="2"/>
    <x v="1"/>
    <x v="1"/>
    <d v="2025-05-08T00:00:00"/>
    <x v="1"/>
    <s v="Thu"/>
    <s v="Jan–Jun 2025"/>
    <x v="0"/>
    <s v="Beginner"/>
    <n v="4"/>
    <n v="0.91666666666666663"/>
    <n v="71"/>
    <x v="1"/>
    <x v="0"/>
    <n v="1"/>
    <x v="1"/>
    <x v="0"/>
    <d v="2025-06-30T00:00:00"/>
  </r>
  <r>
    <n v="797"/>
    <x v="265"/>
    <n v="2"/>
    <x v="0"/>
    <x v="1"/>
    <n v="28"/>
    <x v="2"/>
    <x v="1"/>
    <x v="1"/>
    <d v="2025-05-08T00:00:00"/>
    <x v="1"/>
    <s v="Thu"/>
    <s v="Jan–Jun 2025"/>
    <x v="1"/>
    <s v="Beginner"/>
    <n v="4"/>
    <n v="0.79166666666666663"/>
    <n v="79.5"/>
    <x v="2"/>
    <x v="0"/>
    <n v="1"/>
    <x v="1"/>
    <x v="0"/>
    <d v="2025-06-30T00:00:00"/>
  </r>
  <r>
    <n v="798"/>
    <x v="265"/>
    <n v="3"/>
    <x v="2"/>
    <x v="1"/>
    <n v="28"/>
    <x v="2"/>
    <x v="1"/>
    <x v="1"/>
    <d v="2025-05-08T00:00:00"/>
    <x v="1"/>
    <s v="Thu"/>
    <s v="Jan–Jun 2025"/>
    <x v="2"/>
    <s v="Beginner"/>
    <n v="4"/>
    <n v="0.79166666666666663"/>
    <n v="75.5"/>
    <x v="1"/>
    <x v="0"/>
    <n v="1"/>
    <x v="1"/>
    <x v="0"/>
    <d v="2025-06-30T00:00:00"/>
  </r>
  <r>
    <n v="799"/>
    <x v="266"/>
    <n v="1"/>
    <x v="2"/>
    <x v="1"/>
    <n v="23"/>
    <x v="0"/>
    <x v="4"/>
    <x v="3"/>
    <d v="2025-05-17T00:00:00"/>
    <x v="1"/>
    <s v="Sat"/>
    <s v="Jan–Jun 2025"/>
    <x v="0"/>
    <s v="Beginner"/>
    <n v="4"/>
    <n v="0.85416666666666663"/>
    <n v="76.5"/>
    <x v="1"/>
    <x v="0"/>
    <n v="1"/>
    <x v="1"/>
    <x v="0"/>
    <d v="2025-06-30T00:00:00"/>
  </r>
  <r>
    <n v="800"/>
    <x v="266"/>
    <n v="2"/>
    <x v="1"/>
    <x v="1"/>
    <n v="23"/>
    <x v="0"/>
    <x v="4"/>
    <x v="3"/>
    <d v="2025-05-17T00:00:00"/>
    <x v="1"/>
    <s v="Sat"/>
    <s v="Jan–Jun 2025"/>
    <x v="1"/>
    <s v="Beginner"/>
    <n v="4"/>
    <n v="0.85416666666666663"/>
    <n v="77.5"/>
    <x v="1"/>
    <x v="0"/>
    <n v="1"/>
    <x v="1"/>
    <x v="0"/>
    <d v="2025-06-30T00:00:00"/>
  </r>
  <r>
    <n v="801"/>
    <x v="266"/>
    <n v="3"/>
    <x v="0"/>
    <x v="1"/>
    <n v="23"/>
    <x v="0"/>
    <x v="4"/>
    <x v="3"/>
    <d v="2025-05-17T00:00:00"/>
    <x v="1"/>
    <s v="Sat"/>
    <s v="Jan–Jun 2025"/>
    <x v="2"/>
    <s v="Beginner"/>
    <n v="4"/>
    <n v="0.85416666666666663"/>
    <n v="94.5"/>
    <x v="2"/>
    <x v="0"/>
    <n v="1"/>
    <x v="1"/>
    <x v="0"/>
    <d v="2025-06-30T00:00:00"/>
  </r>
  <r>
    <n v="802"/>
    <x v="267"/>
    <n v="1"/>
    <x v="0"/>
    <x v="0"/>
    <n v="34"/>
    <x v="1"/>
    <x v="2"/>
    <x v="0"/>
    <d v="2025-01-19T00:00:00"/>
    <x v="2"/>
    <s v="Sun"/>
    <s v="Jan–Jun 2025"/>
    <x v="0"/>
    <s v="Beginner"/>
    <n v="4"/>
    <n v="0.66666666666666663"/>
    <n v="67.5"/>
    <x v="1"/>
    <x v="0"/>
    <n v="1"/>
    <x v="1"/>
    <x v="0"/>
    <d v="2025-06-30T00:00:00"/>
  </r>
  <r>
    <n v="803"/>
    <x v="267"/>
    <n v="2"/>
    <x v="0"/>
    <x v="0"/>
    <n v="34"/>
    <x v="1"/>
    <x v="2"/>
    <x v="0"/>
    <d v="2025-01-19T00:00:00"/>
    <x v="2"/>
    <s v="Sun"/>
    <s v="Jan–Jun 2025"/>
    <x v="1"/>
    <s v="Beginner"/>
    <n v="4"/>
    <n v="0.875"/>
    <n v="86"/>
    <x v="2"/>
    <x v="0"/>
    <n v="1"/>
    <x v="1"/>
    <x v="0"/>
    <d v="2025-06-30T00:00:00"/>
  </r>
  <r>
    <n v="804"/>
    <x v="267"/>
    <n v="3"/>
    <x v="0"/>
    <x v="0"/>
    <n v="34"/>
    <x v="1"/>
    <x v="2"/>
    <x v="0"/>
    <d v="2025-01-19T00:00:00"/>
    <x v="2"/>
    <s v="Sun"/>
    <s v="Jan–Jun 2025"/>
    <x v="2"/>
    <s v="Beginner"/>
    <n v="4"/>
    <n v="0.89583333333333337"/>
    <n v="67"/>
    <x v="1"/>
    <x v="0"/>
    <n v="1"/>
    <x v="1"/>
    <x v="0"/>
    <d v="2025-06-30T00:00:00"/>
  </r>
  <r>
    <n v="805"/>
    <x v="268"/>
    <n v="1"/>
    <x v="2"/>
    <x v="1"/>
    <n v="19"/>
    <x v="0"/>
    <x v="3"/>
    <x v="1"/>
    <d v="2025-04-28T00:00:00"/>
    <x v="3"/>
    <s v="Mon"/>
    <s v="Jan–Jun 2025"/>
    <x v="0"/>
    <s v="Beginner"/>
    <n v="4"/>
    <n v="0.8125"/>
    <n v="82"/>
    <x v="2"/>
    <x v="0"/>
    <n v="1"/>
    <x v="1"/>
    <x v="0"/>
    <d v="2025-06-30T00:00:00"/>
  </r>
  <r>
    <n v="806"/>
    <x v="268"/>
    <n v="2"/>
    <x v="0"/>
    <x v="1"/>
    <n v="19"/>
    <x v="0"/>
    <x v="3"/>
    <x v="1"/>
    <d v="2025-04-28T00:00:00"/>
    <x v="3"/>
    <s v="Mon"/>
    <s v="Jan–Jun 2025"/>
    <x v="1"/>
    <s v="Beginner"/>
    <n v="4"/>
    <n v="0.83333333333333337"/>
    <n v="67.5"/>
    <x v="1"/>
    <x v="0"/>
    <n v="1"/>
    <x v="1"/>
    <x v="0"/>
    <d v="2025-06-30T00:00:00"/>
  </r>
  <r>
    <n v="807"/>
    <x v="268"/>
    <n v="3"/>
    <x v="0"/>
    <x v="1"/>
    <n v="19"/>
    <x v="0"/>
    <x v="3"/>
    <x v="1"/>
    <d v="2025-04-28T00:00:00"/>
    <x v="3"/>
    <s v="Mon"/>
    <s v="Jan–Jun 2025"/>
    <x v="2"/>
    <s v="Beginner"/>
    <n v="4"/>
    <n v="0.70833333333333337"/>
    <n v="48"/>
    <x v="0"/>
    <x v="0"/>
    <n v="1"/>
    <x v="1"/>
    <x v="0"/>
    <d v="2025-06-30T00:00:00"/>
  </r>
  <r>
    <n v="808"/>
    <x v="269"/>
    <n v="1"/>
    <x v="1"/>
    <x v="0"/>
    <n v="28"/>
    <x v="2"/>
    <x v="2"/>
    <x v="3"/>
    <d v="2025-05-27T00:00:00"/>
    <x v="1"/>
    <s v="Tue"/>
    <s v="Jan–Jun 2025"/>
    <x v="0"/>
    <s v="Beginner"/>
    <n v="4"/>
    <n v="0.83333333333333337"/>
    <n v="75.5"/>
    <x v="1"/>
    <x v="0"/>
    <n v="1"/>
    <x v="1"/>
    <x v="0"/>
    <d v="2025-06-30T00:00:00"/>
  </r>
  <r>
    <n v="809"/>
    <x v="269"/>
    <n v="2"/>
    <x v="0"/>
    <x v="0"/>
    <n v="28"/>
    <x v="2"/>
    <x v="2"/>
    <x v="3"/>
    <d v="2025-05-27T00:00:00"/>
    <x v="1"/>
    <s v="Tue"/>
    <s v="Jan–Jun 2025"/>
    <x v="1"/>
    <s v="Beginner"/>
    <n v="4"/>
    <n v="0.85416666666666663"/>
    <n v="69.5"/>
    <x v="1"/>
    <x v="0"/>
    <n v="1"/>
    <x v="1"/>
    <x v="0"/>
    <d v="2025-06-30T00:00:00"/>
  </r>
  <r>
    <n v="810"/>
    <x v="269"/>
    <n v="3"/>
    <x v="2"/>
    <x v="0"/>
    <n v="28"/>
    <x v="2"/>
    <x v="2"/>
    <x v="3"/>
    <d v="2025-05-27T00:00:00"/>
    <x v="1"/>
    <s v="Tue"/>
    <s v="Jan–Jun 2025"/>
    <x v="2"/>
    <s v="Beginner"/>
    <n v="4"/>
    <n v="0.77083333333333337"/>
    <n v="67.5"/>
    <x v="1"/>
    <x v="0"/>
    <n v="1"/>
    <x v="1"/>
    <x v="0"/>
    <d v="2025-06-30T00:00:00"/>
  </r>
  <r>
    <n v="811"/>
    <x v="270"/>
    <n v="1"/>
    <x v="2"/>
    <x v="1"/>
    <n v="31"/>
    <x v="1"/>
    <x v="5"/>
    <x v="1"/>
    <d v="2025-04-14T00:00:00"/>
    <x v="3"/>
    <s v="Mon"/>
    <s v="Jan–Jun 2025"/>
    <x v="0"/>
    <s v="Beginner"/>
    <n v="4"/>
    <n v="0.8125"/>
    <n v="69.5"/>
    <x v="1"/>
    <x v="0"/>
    <n v="1"/>
    <x v="1"/>
    <x v="0"/>
    <d v="2025-06-30T00:00:00"/>
  </r>
  <r>
    <n v="812"/>
    <x v="270"/>
    <n v="2"/>
    <x v="0"/>
    <x v="1"/>
    <n v="31"/>
    <x v="1"/>
    <x v="5"/>
    <x v="1"/>
    <d v="2025-04-14T00:00:00"/>
    <x v="3"/>
    <s v="Mon"/>
    <s v="Jan–Jun 2025"/>
    <x v="1"/>
    <s v="Beginner"/>
    <n v="4"/>
    <n v="0.85416666666666663"/>
    <n v="75.5"/>
    <x v="1"/>
    <x v="0"/>
    <n v="1"/>
    <x v="1"/>
    <x v="0"/>
    <d v="2025-06-30T00:00:00"/>
  </r>
  <r>
    <n v="813"/>
    <x v="270"/>
    <n v="3"/>
    <x v="1"/>
    <x v="1"/>
    <n v="31"/>
    <x v="1"/>
    <x v="5"/>
    <x v="1"/>
    <d v="2025-04-14T00:00:00"/>
    <x v="3"/>
    <s v="Mon"/>
    <s v="Jan–Jun 2025"/>
    <x v="2"/>
    <s v="Beginner"/>
    <n v="4"/>
    <n v="0.83333333333333337"/>
    <n v="77.5"/>
    <x v="1"/>
    <x v="0"/>
    <n v="1"/>
    <x v="1"/>
    <x v="0"/>
    <d v="2025-06-30T00:00:00"/>
  </r>
  <r>
    <n v="814"/>
    <x v="271"/>
    <n v="1"/>
    <x v="0"/>
    <x v="0"/>
    <n v="28"/>
    <x v="2"/>
    <x v="4"/>
    <x v="3"/>
    <d v="2025-04-03T00:00:00"/>
    <x v="3"/>
    <s v="Thu"/>
    <s v="Jan–Jun 2025"/>
    <x v="0"/>
    <s v="Beginner"/>
    <n v="4"/>
    <n v="0.89583333333333337"/>
    <n v="88"/>
    <x v="2"/>
    <x v="0"/>
    <n v="1"/>
    <x v="1"/>
    <x v="1"/>
    <d v="2025-06-30T00:00:00"/>
  </r>
  <r>
    <n v="815"/>
    <x v="271"/>
    <n v="2"/>
    <x v="0"/>
    <x v="0"/>
    <n v="28"/>
    <x v="2"/>
    <x v="4"/>
    <x v="3"/>
    <d v="2025-04-03T00:00:00"/>
    <x v="3"/>
    <s v="Thu"/>
    <s v="Jan–Jun 2025"/>
    <x v="1"/>
    <s v="Beginner"/>
    <n v="4"/>
    <n v="0.85416666666666663"/>
    <n v="61.5"/>
    <x v="1"/>
    <x v="0"/>
    <n v="1"/>
    <x v="1"/>
    <x v="1"/>
    <d v="2025-06-30T00:00:00"/>
  </r>
  <r>
    <n v="816"/>
    <x v="271"/>
    <n v="3"/>
    <x v="0"/>
    <x v="0"/>
    <n v="28"/>
    <x v="2"/>
    <x v="4"/>
    <x v="3"/>
    <d v="2025-04-03T00:00:00"/>
    <x v="3"/>
    <s v="Thu"/>
    <s v="Jan–Jun 2025"/>
    <x v="2"/>
    <s v="Beginner"/>
    <n v="4"/>
    <n v="0.72916666666666663"/>
    <n v="64.5"/>
    <x v="1"/>
    <x v="0"/>
    <n v="1"/>
    <x v="1"/>
    <x v="1"/>
    <d v="2025-06-30T00:00:00"/>
  </r>
  <r>
    <n v="817"/>
    <x v="272"/>
    <n v="1"/>
    <x v="0"/>
    <x v="0"/>
    <n v="31"/>
    <x v="1"/>
    <x v="1"/>
    <x v="2"/>
    <d v="2025-04-22T00:00:00"/>
    <x v="3"/>
    <s v="Tue"/>
    <s v="Jan–Jun 2025"/>
    <x v="0"/>
    <s v="Beginner"/>
    <n v="4"/>
    <n v="0.8125"/>
    <n v="87.5"/>
    <x v="2"/>
    <x v="0"/>
    <n v="1"/>
    <x v="0"/>
    <x v="0"/>
    <d v="2025-06-30T00:00:00"/>
  </r>
  <r>
    <n v="818"/>
    <x v="272"/>
    <n v="2"/>
    <x v="0"/>
    <x v="0"/>
    <n v="31"/>
    <x v="1"/>
    <x v="1"/>
    <x v="2"/>
    <d v="2025-04-22T00:00:00"/>
    <x v="3"/>
    <s v="Tue"/>
    <s v="Jan–Jun 2025"/>
    <x v="1"/>
    <s v="Beginner"/>
    <n v="4"/>
    <n v="0.875"/>
    <n v="77"/>
    <x v="1"/>
    <x v="0"/>
    <n v="1"/>
    <x v="0"/>
    <x v="0"/>
    <d v="2025-06-30T00:00:00"/>
  </r>
  <r>
    <n v="819"/>
    <x v="272"/>
    <n v="3"/>
    <x v="2"/>
    <x v="0"/>
    <n v="31"/>
    <x v="1"/>
    <x v="1"/>
    <x v="2"/>
    <d v="2025-04-22T00:00:00"/>
    <x v="3"/>
    <s v="Tue"/>
    <s v="Jan–Jun 2025"/>
    <x v="2"/>
    <s v="Beginner"/>
    <n v="4"/>
    <n v="0.91666666666666663"/>
    <n v="67"/>
    <x v="1"/>
    <x v="0"/>
    <n v="1"/>
    <x v="0"/>
    <x v="0"/>
    <d v="2025-06-30T00:00:00"/>
  </r>
  <r>
    <n v="820"/>
    <x v="273"/>
    <n v="1"/>
    <x v="0"/>
    <x v="1"/>
    <n v="34"/>
    <x v="1"/>
    <x v="1"/>
    <x v="3"/>
    <d v="2025-03-21T00:00:00"/>
    <x v="0"/>
    <s v="Fri"/>
    <s v="Jan–Jun 2025"/>
    <x v="0"/>
    <s v="Beginner"/>
    <n v="4"/>
    <n v="0.8125"/>
    <n v="78.5"/>
    <x v="1"/>
    <x v="0"/>
    <n v="1"/>
    <x v="1"/>
    <x v="0"/>
    <d v="2025-06-30T00:00:00"/>
  </r>
  <r>
    <n v="821"/>
    <x v="273"/>
    <n v="2"/>
    <x v="0"/>
    <x v="1"/>
    <n v="34"/>
    <x v="1"/>
    <x v="1"/>
    <x v="3"/>
    <d v="2025-03-21T00:00:00"/>
    <x v="0"/>
    <s v="Fri"/>
    <s v="Jan–Jun 2025"/>
    <x v="1"/>
    <s v="Beginner"/>
    <n v="4"/>
    <n v="0.9375"/>
    <n v="79.5"/>
    <x v="2"/>
    <x v="0"/>
    <n v="1"/>
    <x v="1"/>
    <x v="0"/>
    <d v="2025-06-30T00:00:00"/>
  </r>
  <r>
    <n v="822"/>
    <x v="273"/>
    <n v="3"/>
    <x v="0"/>
    <x v="1"/>
    <n v="34"/>
    <x v="1"/>
    <x v="1"/>
    <x v="3"/>
    <d v="2025-03-21T00:00:00"/>
    <x v="0"/>
    <s v="Fri"/>
    <s v="Jan–Jun 2025"/>
    <x v="2"/>
    <s v="Beginner"/>
    <n v="4"/>
    <n v="0.875"/>
    <n v="67.5"/>
    <x v="1"/>
    <x v="0"/>
    <n v="1"/>
    <x v="1"/>
    <x v="0"/>
    <d v="2025-06-30T00:00:00"/>
  </r>
  <r>
    <n v="823"/>
    <x v="274"/>
    <n v="1"/>
    <x v="2"/>
    <x v="1"/>
    <n v="25"/>
    <x v="2"/>
    <x v="5"/>
    <x v="2"/>
    <d v="2025-01-20T00:00:00"/>
    <x v="2"/>
    <s v="Mon"/>
    <s v="Jan–Jun 2025"/>
    <x v="0"/>
    <s v="Beginner"/>
    <n v="4"/>
    <n v="0.77083333333333337"/>
    <n v="72.5"/>
    <x v="1"/>
    <x v="0"/>
    <n v="1"/>
    <x v="0"/>
    <x v="1"/>
    <d v="2025-06-30T00:00:00"/>
  </r>
  <r>
    <n v="824"/>
    <x v="274"/>
    <n v="2"/>
    <x v="2"/>
    <x v="1"/>
    <n v="25"/>
    <x v="2"/>
    <x v="5"/>
    <x v="2"/>
    <d v="2025-01-20T00:00:00"/>
    <x v="2"/>
    <s v="Mon"/>
    <s v="Jan–Jun 2025"/>
    <x v="1"/>
    <s v="Beginner"/>
    <n v="4"/>
    <n v="0.89583333333333337"/>
    <n v="54"/>
    <x v="0"/>
    <x v="0"/>
    <n v="1"/>
    <x v="0"/>
    <x v="1"/>
    <d v="2025-06-30T00:00:00"/>
  </r>
  <r>
    <n v="825"/>
    <x v="274"/>
    <n v="3"/>
    <x v="0"/>
    <x v="1"/>
    <n v="25"/>
    <x v="2"/>
    <x v="5"/>
    <x v="2"/>
    <d v="2025-01-20T00:00:00"/>
    <x v="2"/>
    <s v="Mon"/>
    <s v="Jan–Jun 2025"/>
    <x v="2"/>
    <s v="Beginner"/>
    <n v="4"/>
    <n v="0.77083333333333337"/>
    <n v="47.5"/>
    <x v="0"/>
    <x v="0"/>
    <n v="1"/>
    <x v="0"/>
    <x v="1"/>
    <d v="2025-06-30T00:00:00"/>
  </r>
  <r>
    <n v="826"/>
    <x v="275"/>
    <n v="1"/>
    <x v="0"/>
    <x v="0"/>
    <n v="34"/>
    <x v="1"/>
    <x v="2"/>
    <x v="2"/>
    <d v="2025-03-31T00:00:00"/>
    <x v="0"/>
    <s v="Mon"/>
    <s v="Jan–Jun 2025"/>
    <x v="0"/>
    <s v="Beginner"/>
    <n v="4"/>
    <n v="0.8125"/>
    <n v="89.5"/>
    <x v="2"/>
    <x v="0"/>
    <n v="1"/>
    <x v="1"/>
    <x v="1"/>
    <d v="2025-06-30T00:00:00"/>
  </r>
  <r>
    <n v="827"/>
    <x v="275"/>
    <n v="2"/>
    <x v="2"/>
    <x v="0"/>
    <n v="34"/>
    <x v="1"/>
    <x v="2"/>
    <x v="2"/>
    <d v="2025-03-31T00:00:00"/>
    <x v="0"/>
    <s v="Mon"/>
    <s v="Jan–Jun 2025"/>
    <x v="1"/>
    <s v="Beginner"/>
    <n v="4"/>
    <n v="0.83333333333333337"/>
    <n v="69.5"/>
    <x v="1"/>
    <x v="0"/>
    <n v="1"/>
    <x v="1"/>
    <x v="1"/>
    <d v="2025-06-30T00:00:00"/>
  </r>
  <r>
    <n v="828"/>
    <x v="275"/>
    <n v="3"/>
    <x v="0"/>
    <x v="0"/>
    <n v="34"/>
    <x v="1"/>
    <x v="2"/>
    <x v="2"/>
    <d v="2025-03-31T00:00:00"/>
    <x v="0"/>
    <s v="Mon"/>
    <s v="Jan–Jun 2025"/>
    <x v="2"/>
    <s v="Beginner"/>
    <n v="4"/>
    <n v="0.89583333333333337"/>
    <n v="68"/>
    <x v="1"/>
    <x v="0"/>
    <n v="1"/>
    <x v="1"/>
    <x v="1"/>
    <d v="2025-06-30T00:00:00"/>
  </r>
  <r>
    <n v="829"/>
    <x v="276"/>
    <n v="1"/>
    <x v="0"/>
    <x v="1"/>
    <n v="22"/>
    <x v="0"/>
    <x v="4"/>
    <x v="1"/>
    <d v="2025-02-07T00:00:00"/>
    <x v="4"/>
    <s v="Fri"/>
    <s v="Jan–Jun 2025"/>
    <x v="0"/>
    <s v="Beginner"/>
    <n v="4"/>
    <n v="0.875"/>
    <n v="60"/>
    <x v="1"/>
    <x v="1"/>
    <n v="0"/>
    <x v="0"/>
    <x v="0"/>
    <d v="2025-06-30T00:00:00"/>
  </r>
  <r>
    <n v="830"/>
    <x v="276"/>
    <n v="2"/>
    <x v="1"/>
    <x v="1"/>
    <n v="22"/>
    <x v="0"/>
    <x v="4"/>
    <x v="1"/>
    <d v="2025-02-07T00:00:00"/>
    <x v="4"/>
    <s v="Fri"/>
    <s v="Jan–Jun 2025"/>
    <x v="1"/>
    <s v="Beginner"/>
    <n v="4"/>
    <n v="0.89583333333333337"/>
    <n v="90.5"/>
    <x v="2"/>
    <x v="1"/>
    <n v="0"/>
    <x v="0"/>
    <x v="0"/>
    <d v="2025-06-30T00:00:00"/>
  </r>
  <r>
    <n v="831"/>
    <x v="276"/>
    <n v="3"/>
    <x v="0"/>
    <x v="1"/>
    <n v="22"/>
    <x v="0"/>
    <x v="4"/>
    <x v="1"/>
    <d v="2025-02-07T00:00:00"/>
    <x v="4"/>
    <s v="Fri"/>
    <s v="Jan–Jun 2025"/>
    <x v="2"/>
    <s v="Beginner"/>
    <n v="4"/>
    <n v="0.8125"/>
    <n v="79"/>
    <x v="2"/>
    <x v="1"/>
    <n v="0"/>
    <x v="0"/>
    <x v="0"/>
    <d v="2025-06-30T00:00:00"/>
  </r>
  <r>
    <n v="832"/>
    <x v="277"/>
    <n v="1"/>
    <x v="0"/>
    <x v="1"/>
    <n v="24"/>
    <x v="0"/>
    <x v="4"/>
    <x v="2"/>
    <d v="2025-01-20T00:00:00"/>
    <x v="2"/>
    <s v="Mon"/>
    <s v="Jan–Jun 2025"/>
    <x v="0"/>
    <s v="Beginner"/>
    <n v="4"/>
    <n v="0.83333333333333337"/>
    <n v="67"/>
    <x v="1"/>
    <x v="0"/>
    <n v="1"/>
    <x v="1"/>
    <x v="0"/>
    <d v="2025-06-30T00:00:00"/>
  </r>
  <r>
    <n v="833"/>
    <x v="277"/>
    <n v="2"/>
    <x v="0"/>
    <x v="1"/>
    <n v="24"/>
    <x v="0"/>
    <x v="4"/>
    <x v="2"/>
    <d v="2025-01-20T00:00:00"/>
    <x v="2"/>
    <s v="Mon"/>
    <s v="Jan–Jun 2025"/>
    <x v="1"/>
    <s v="Beginner"/>
    <n v="4"/>
    <n v="0.8125"/>
    <n v="74.5"/>
    <x v="1"/>
    <x v="0"/>
    <n v="1"/>
    <x v="1"/>
    <x v="0"/>
    <d v="2025-06-30T00:00:00"/>
  </r>
  <r>
    <n v="834"/>
    <x v="277"/>
    <n v="3"/>
    <x v="0"/>
    <x v="1"/>
    <n v="24"/>
    <x v="0"/>
    <x v="4"/>
    <x v="2"/>
    <d v="2025-01-20T00:00:00"/>
    <x v="2"/>
    <s v="Mon"/>
    <s v="Jan–Jun 2025"/>
    <x v="2"/>
    <s v="Beginner"/>
    <n v="4"/>
    <n v="0.8125"/>
    <n v="85.5"/>
    <x v="2"/>
    <x v="0"/>
    <n v="1"/>
    <x v="1"/>
    <x v="0"/>
    <d v="2025-06-30T00:00:00"/>
  </r>
  <r>
    <n v="835"/>
    <x v="278"/>
    <n v="1"/>
    <x v="0"/>
    <x v="0"/>
    <n v="33"/>
    <x v="1"/>
    <x v="3"/>
    <x v="3"/>
    <d v="2025-05-25T00:00:00"/>
    <x v="1"/>
    <s v="Sun"/>
    <s v="Jan–Jun 2025"/>
    <x v="0"/>
    <s v="Beginner"/>
    <n v="4"/>
    <n v="0.85416666666666663"/>
    <n v="54.5"/>
    <x v="0"/>
    <x v="0"/>
    <n v="1"/>
    <x v="1"/>
    <x v="0"/>
    <d v="2025-06-30T00:00:00"/>
  </r>
  <r>
    <n v="836"/>
    <x v="278"/>
    <n v="2"/>
    <x v="0"/>
    <x v="0"/>
    <n v="33"/>
    <x v="1"/>
    <x v="3"/>
    <x v="3"/>
    <d v="2025-05-25T00:00:00"/>
    <x v="1"/>
    <s v="Sun"/>
    <s v="Jan–Jun 2025"/>
    <x v="1"/>
    <s v="Beginner"/>
    <n v="4"/>
    <n v="0.77083333333333337"/>
    <n v="65"/>
    <x v="1"/>
    <x v="0"/>
    <n v="1"/>
    <x v="1"/>
    <x v="0"/>
    <d v="2025-06-30T00:00:00"/>
  </r>
  <r>
    <n v="837"/>
    <x v="278"/>
    <n v="3"/>
    <x v="0"/>
    <x v="0"/>
    <n v="33"/>
    <x v="1"/>
    <x v="3"/>
    <x v="3"/>
    <d v="2025-05-25T00:00:00"/>
    <x v="1"/>
    <s v="Sun"/>
    <s v="Jan–Jun 2025"/>
    <x v="2"/>
    <s v="Beginner"/>
    <n v="4"/>
    <n v="0.83333333333333337"/>
    <n v="93"/>
    <x v="2"/>
    <x v="0"/>
    <n v="1"/>
    <x v="1"/>
    <x v="0"/>
    <d v="2025-06-30T00:00:00"/>
  </r>
  <r>
    <n v="838"/>
    <x v="279"/>
    <n v="1"/>
    <x v="2"/>
    <x v="1"/>
    <n v="28"/>
    <x v="2"/>
    <x v="4"/>
    <x v="3"/>
    <d v="2025-01-18T00:00:00"/>
    <x v="2"/>
    <s v="Sat"/>
    <s v="Jan–Jun 2025"/>
    <x v="0"/>
    <s v="Beginner"/>
    <n v="4"/>
    <n v="0.85416666666666663"/>
    <n v="80"/>
    <x v="2"/>
    <x v="0"/>
    <n v="1"/>
    <x v="0"/>
    <x v="0"/>
    <d v="2025-06-30T00:00:00"/>
  </r>
  <r>
    <n v="839"/>
    <x v="279"/>
    <n v="2"/>
    <x v="2"/>
    <x v="1"/>
    <n v="28"/>
    <x v="2"/>
    <x v="4"/>
    <x v="3"/>
    <d v="2025-01-18T00:00:00"/>
    <x v="2"/>
    <s v="Sat"/>
    <s v="Jan–Jun 2025"/>
    <x v="1"/>
    <s v="Beginner"/>
    <n v="4"/>
    <n v="0.89583333333333337"/>
    <n v="58"/>
    <x v="0"/>
    <x v="0"/>
    <n v="1"/>
    <x v="0"/>
    <x v="0"/>
    <d v="2025-06-30T00:00:00"/>
  </r>
  <r>
    <n v="840"/>
    <x v="279"/>
    <n v="3"/>
    <x v="2"/>
    <x v="1"/>
    <n v="28"/>
    <x v="2"/>
    <x v="4"/>
    <x v="3"/>
    <d v="2025-01-18T00:00:00"/>
    <x v="2"/>
    <s v="Sat"/>
    <s v="Jan–Jun 2025"/>
    <x v="2"/>
    <s v="Beginner"/>
    <n v="4"/>
    <n v="0.77083333333333337"/>
    <n v="59"/>
    <x v="0"/>
    <x v="0"/>
    <n v="1"/>
    <x v="0"/>
    <x v="0"/>
    <d v="2025-06-30T00:00:00"/>
  </r>
  <r>
    <n v="841"/>
    <x v="280"/>
    <n v="1"/>
    <x v="0"/>
    <x v="1"/>
    <n v="32"/>
    <x v="1"/>
    <x v="0"/>
    <x v="0"/>
    <d v="2025-03-12T00:00:00"/>
    <x v="0"/>
    <s v="Wed"/>
    <s v="Jan–Jun 2025"/>
    <x v="0"/>
    <s v="Beginner"/>
    <n v="4"/>
    <n v="0.8125"/>
    <n v="74"/>
    <x v="1"/>
    <x v="0"/>
    <n v="1"/>
    <x v="1"/>
    <x v="0"/>
    <d v="2025-06-30T00:00:00"/>
  </r>
  <r>
    <n v="842"/>
    <x v="280"/>
    <n v="2"/>
    <x v="0"/>
    <x v="1"/>
    <n v="32"/>
    <x v="1"/>
    <x v="0"/>
    <x v="0"/>
    <d v="2025-03-12T00:00:00"/>
    <x v="0"/>
    <s v="Wed"/>
    <s v="Jan–Jun 2025"/>
    <x v="1"/>
    <s v="Beginner"/>
    <n v="4"/>
    <n v="0.91666666666666663"/>
    <n v="73.5"/>
    <x v="1"/>
    <x v="0"/>
    <n v="1"/>
    <x v="1"/>
    <x v="0"/>
    <d v="2025-06-30T00:00:00"/>
  </r>
  <r>
    <n v="843"/>
    <x v="280"/>
    <n v="3"/>
    <x v="0"/>
    <x v="1"/>
    <n v="32"/>
    <x v="1"/>
    <x v="0"/>
    <x v="0"/>
    <d v="2025-03-12T00:00:00"/>
    <x v="0"/>
    <s v="Wed"/>
    <s v="Jan–Jun 2025"/>
    <x v="2"/>
    <s v="Beginner"/>
    <n v="4"/>
    <n v="0.875"/>
    <n v="82.5"/>
    <x v="2"/>
    <x v="0"/>
    <n v="1"/>
    <x v="1"/>
    <x v="0"/>
    <d v="2025-06-30T00:00:00"/>
  </r>
  <r>
    <n v="844"/>
    <x v="281"/>
    <n v="1"/>
    <x v="0"/>
    <x v="0"/>
    <n v="29"/>
    <x v="2"/>
    <x v="2"/>
    <x v="1"/>
    <d v="2025-03-21T00:00:00"/>
    <x v="0"/>
    <s v="Fri"/>
    <s v="Jan–Jun 2025"/>
    <x v="0"/>
    <s v="Beginner"/>
    <n v="4"/>
    <n v="0.77083333333333337"/>
    <n v="78"/>
    <x v="1"/>
    <x v="0"/>
    <n v="1"/>
    <x v="0"/>
    <x v="0"/>
    <d v="2025-06-30T00:00:00"/>
  </r>
  <r>
    <n v="845"/>
    <x v="281"/>
    <n v="2"/>
    <x v="2"/>
    <x v="0"/>
    <n v="29"/>
    <x v="2"/>
    <x v="2"/>
    <x v="1"/>
    <d v="2025-03-21T00:00:00"/>
    <x v="0"/>
    <s v="Fri"/>
    <s v="Jan–Jun 2025"/>
    <x v="1"/>
    <s v="Beginner"/>
    <n v="4"/>
    <n v="0.8125"/>
    <n v="81"/>
    <x v="2"/>
    <x v="0"/>
    <n v="1"/>
    <x v="0"/>
    <x v="0"/>
    <d v="2025-06-30T00:00:00"/>
  </r>
  <r>
    <n v="846"/>
    <x v="281"/>
    <n v="3"/>
    <x v="0"/>
    <x v="0"/>
    <n v="29"/>
    <x v="2"/>
    <x v="2"/>
    <x v="1"/>
    <d v="2025-03-21T00:00:00"/>
    <x v="0"/>
    <s v="Fri"/>
    <s v="Jan–Jun 2025"/>
    <x v="2"/>
    <s v="Beginner"/>
    <n v="4"/>
    <n v="0.91666666666666663"/>
    <n v="69.5"/>
    <x v="1"/>
    <x v="0"/>
    <n v="1"/>
    <x v="0"/>
    <x v="0"/>
    <d v="2025-06-30T00:00:00"/>
  </r>
  <r>
    <n v="847"/>
    <x v="282"/>
    <n v="1"/>
    <x v="0"/>
    <x v="1"/>
    <n v="32"/>
    <x v="1"/>
    <x v="1"/>
    <x v="1"/>
    <d v="2025-04-05T00:00:00"/>
    <x v="3"/>
    <s v="Sat"/>
    <s v="Jan–Jun 2025"/>
    <x v="0"/>
    <s v="Beginner"/>
    <n v="4"/>
    <n v="0.83333333333333337"/>
    <n v="68.5"/>
    <x v="1"/>
    <x v="0"/>
    <n v="1"/>
    <x v="0"/>
    <x v="0"/>
    <d v="2025-06-30T00:00:00"/>
  </r>
  <r>
    <n v="848"/>
    <x v="282"/>
    <n v="2"/>
    <x v="1"/>
    <x v="1"/>
    <n v="32"/>
    <x v="1"/>
    <x v="1"/>
    <x v="1"/>
    <d v="2025-04-05T00:00:00"/>
    <x v="3"/>
    <s v="Sat"/>
    <s v="Jan–Jun 2025"/>
    <x v="1"/>
    <s v="Beginner"/>
    <n v="4"/>
    <n v="0.875"/>
    <n v="82.5"/>
    <x v="2"/>
    <x v="0"/>
    <n v="1"/>
    <x v="0"/>
    <x v="0"/>
    <d v="2025-06-30T00:00:00"/>
  </r>
  <r>
    <n v="849"/>
    <x v="282"/>
    <n v="3"/>
    <x v="1"/>
    <x v="1"/>
    <n v="32"/>
    <x v="1"/>
    <x v="1"/>
    <x v="1"/>
    <d v="2025-04-05T00:00:00"/>
    <x v="3"/>
    <s v="Sat"/>
    <s v="Jan–Jun 2025"/>
    <x v="2"/>
    <s v="Beginner"/>
    <n v="4"/>
    <n v="0.875"/>
    <n v="53.5"/>
    <x v="0"/>
    <x v="0"/>
    <n v="1"/>
    <x v="0"/>
    <x v="0"/>
    <d v="2025-06-30T00:00:00"/>
  </r>
  <r>
    <n v="850"/>
    <x v="283"/>
    <n v="1"/>
    <x v="0"/>
    <x v="1"/>
    <n v="20"/>
    <x v="0"/>
    <x v="0"/>
    <x v="1"/>
    <d v="2025-05-10T00:00:00"/>
    <x v="1"/>
    <s v="Sat"/>
    <s v="Jan–Jun 2025"/>
    <x v="0"/>
    <s v="Beginner"/>
    <n v="4"/>
    <n v="0.89583333333333337"/>
    <n v="84"/>
    <x v="2"/>
    <x v="0"/>
    <n v="1"/>
    <x v="1"/>
    <x v="0"/>
    <d v="2025-06-30T00:00:00"/>
  </r>
  <r>
    <n v="851"/>
    <x v="283"/>
    <n v="2"/>
    <x v="0"/>
    <x v="1"/>
    <n v="20"/>
    <x v="0"/>
    <x v="0"/>
    <x v="1"/>
    <d v="2025-05-10T00:00:00"/>
    <x v="1"/>
    <s v="Sat"/>
    <s v="Jan–Jun 2025"/>
    <x v="1"/>
    <s v="Beginner"/>
    <n v="4"/>
    <n v="0.75"/>
    <n v="78"/>
    <x v="1"/>
    <x v="0"/>
    <n v="1"/>
    <x v="1"/>
    <x v="0"/>
    <d v="2025-06-30T00:00:00"/>
  </r>
  <r>
    <n v="852"/>
    <x v="283"/>
    <n v="3"/>
    <x v="0"/>
    <x v="1"/>
    <n v="20"/>
    <x v="0"/>
    <x v="0"/>
    <x v="1"/>
    <d v="2025-05-10T00:00:00"/>
    <x v="1"/>
    <s v="Sat"/>
    <s v="Jan–Jun 2025"/>
    <x v="2"/>
    <s v="Beginner"/>
    <n v="4"/>
    <n v="0.91666666666666663"/>
    <n v="70"/>
    <x v="1"/>
    <x v="0"/>
    <n v="1"/>
    <x v="1"/>
    <x v="0"/>
    <d v="2025-06-30T00:00:00"/>
  </r>
  <r>
    <n v="853"/>
    <x v="284"/>
    <n v="1"/>
    <x v="0"/>
    <x v="1"/>
    <n v="32"/>
    <x v="1"/>
    <x v="2"/>
    <x v="1"/>
    <d v="2025-04-26T00:00:00"/>
    <x v="3"/>
    <s v="Sat"/>
    <s v="Jan–Jun 2025"/>
    <x v="0"/>
    <s v="Beginner"/>
    <n v="4"/>
    <n v="0.85416666666666663"/>
    <n v="79.5"/>
    <x v="2"/>
    <x v="0"/>
    <n v="1"/>
    <x v="1"/>
    <x v="0"/>
    <d v="2025-06-30T00:00:00"/>
  </r>
  <r>
    <n v="854"/>
    <x v="284"/>
    <n v="2"/>
    <x v="0"/>
    <x v="1"/>
    <n v="32"/>
    <x v="1"/>
    <x v="2"/>
    <x v="1"/>
    <d v="2025-04-26T00:00:00"/>
    <x v="3"/>
    <s v="Sat"/>
    <s v="Jan–Jun 2025"/>
    <x v="1"/>
    <s v="Beginner"/>
    <n v="4"/>
    <n v="0.89583333333333337"/>
    <n v="53.5"/>
    <x v="0"/>
    <x v="0"/>
    <n v="1"/>
    <x v="1"/>
    <x v="0"/>
    <d v="2025-06-30T00:00:00"/>
  </r>
  <r>
    <n v="855"/>
    <x v="284"/>
    <n v="3"/>
    <x v="1"/>
    <x v="1"/>
    <n v="32"/>
    <x v="1"/>
    <x v="2"/>
    <x v="1"/>
    <d v="2025-04-26T00:00:00"/>
    <x v="3"/>
    <s v="Sat"/>
    <s v="Jan–Jun 2025"/>
    <x v="2"/>
    <s v="Beginner"/>
    <n v="4"/>
    <n v="0.83333333333333337"/>
    <n v="60.5"/>
    <x v="1"/>
    <x v="0"/>
    <n v="1"/>
    <x v="1"/>
    <x v="0"/>
    <d v="2025-06-30T00:00:00"/>
  </r>
  <r>
    <n v="856"/>
    <x v="285"/>
    <n v="1"/>
    <x v="1"/>
    <x v="0"/>
    <n v="28"/>
    <x v="2"/>
    <x v="2"/>
    <x v="3"/>
    <d v="2025-05-09T00:00:00"/>
    <x v="1"/>
    <s v="Fri"/>
    <s v="Jan–Jun 2025"/>
    <x v="0"/>
    <s v="Beginner"/>
    <n v="4"/>
    <n v="0.75"/>
    <n v="67"/>
    <x v="1"/>
    <x v="1"/>
    <n v="0"/>
    <x v="0"/>
    <x v="0"/>
    <d v="2025-06-30T00:00:00"/>
  </r>
  <r>
    <n v="857"/>
    <x v="285"/>
    <n v="2"/>
    <x v="1"/>
    <x v="0"/>
    <n v="28"/>
    <x v="2"/>
    <x v="2"/>
    <x v="3"/>
    <d v="2025-05-09T00:00:00"/>
    <x v="1"/>
    <s v="Fri"/>
    <s v="Jan–Jun 2025"/>
    <x v="1"/>
    <s v="Beginner"/>
    <n v="4"/>
    <n v="0.83333333333333337"/>
    <n v="73"/>
    <x v="1"/>
    <x v="1"/>
    <n v="0"/>
    <x v="0"/>
    <x v="0"/>
    <d v="2025-06-30T00:00:00"/>
  </r>
  <r>
    <n v="858"/>
    <x v="285"/>
    <n v="3"/>
    <x v="0"/>
    <x v="0"/>
    <n v="28"/>
    <x v="2"/>
    <x v="2"/>
    <x v="3"/>
    <d v="2025-05-09T00:00:00"/>
    <x v="1"/>
    <s v="Fri"/>
    <s v="Jan–Jun 2025"/>
    <x v="2"/>
    <s v="Beginner"/>
    <n v="4"/>
    <n v="0.72916666666666663"/>
    <n v="87"/>
    <x v="2"/>
    <x v="1"/>
    <n v="0"/>
    <x v="0"/>
    <x v="0"/>
    <d v="2025-06-30T00:00:00"/>
  </r>
  <r>
    <n v="859"/>
    <x v="286"/>
    <n v="1"/>
    <x v="2"/>
    <x v="0"/>
    <n v="19"/>
    <x v="0"/>
    <x v="3"/>
    <x v="1"/>
    <d v="2025-03-29T00:00:00"/>
    <x v="0"/>
    <s v="Sat"/>
    <s v="Jan–Jun 2025"/>
    <x v="0"/>
    <s v="Beginner"/>
    <n v="4"/>
    <n v="0.83333333333333337"/>
    <n v="85.5"/>
    <x v="2"/>
    <x v="1"/>
    <n v="0"/>
    <x v="0"/>
    <x v="0"/>
    <d v="2025-06-30T00:00:00"/>
  </r>
  <r>
    <n v="860"/>
    <x v="286"/>
    <n v="2"/>
    <x v="0"/>
    <x v="0"/>
    <n v="19"/>
    <x v="0"/>
    <x v="3"/>
    <x v="1"/>
    <d v="2025-03-29T00:00:00"/>
    <x v="0"/>
    <s v="Sat"/>
    <s v="Jan–Jun 2025"/>
    <x v="1"/>
    <s v="Beginner"/>
    <n v="4"/>
    <n v="0.79166666666666663"/>
    <n v="75.5"/>
    <x v="1"/>
    <x v="1"/>
    <n v="0"/>
    <x v="0"/>
    <x v="0"/>
    <d v="2025-06-30T00:00:00"/>
  </r>
  <r>
    <n v="861"/>
    <x v="286"/>
    <n v="3"/>
    <x v="0"/>
    <x v="0"/>
    <n v="19"/>
    <x v="0"/>
    <x v="3"/>
    <x v="1"/>
    <d v="2025-03-29T00:00:00"/>
    <x v="0"/>
    <s v="Sat"/>
    <s v="Jan–Jun 2025"/>
    <x v="2"/>
    <s v="Beginner"/>
    <n v="4"/>
    <n v="0.75"/>
    <n v="69.5"/>
    <x v="1"/>
    <x v="1"/>
    <n v="0"/>
    <x v="0"/>
    <x v="0"/>
    <d v="2025-06-30T00:00:00"/>
  </r>
  <r>
    <n v="862"/>
    <x v="287"/>
    <n v="1"/>
    <x v="2"/>
    <x v="0"/>
    <n v="34"/>
    <x v="1"/>
    <x v="0"/>
    <x v="2"/>
    <d v="2025-01-11T00:00:00"/>
    <x v="2"/>
    <s v="Sat"/>
    <s v="Jan–Jun 2025"/>
    <x v="0"/>
    <s v="Beginner"/>
    <n v="4"/>
    <n v="0.75"/>
    <n v="81.5"/>
    <x v="2"/>
    <x v="0"/>
    <n v="1"/>
    <x v="1"/>
    <x v="1"/>
    <d v="2025-06-30T00:00:00"/>
  </r>
  <r>
    <n v="863"/>
    <x v="287"/>
    <n v="2"/>
    <x v="2"/>
    <x v="0"/>
    <n v="34"/>
    <x v="1"/>
    <x v="0"/>
    <x v="2"/>
    <d v="2025-01-11T00:00:00"/>
    <x v="2"/>
    <s v="Sat"/>
    <s v="Jan–Jun 2025"/>
    <x v="1"/>
    <s v="Beginner"/>
    <n v="4"/>
    <n v="0.8125"/>
    <n v="85"/>
    <x v="2"/>
    <x v="0"/>
    <n v="1"/>
    <x v="1"/>
    <x v="1"/>
    <d v="2025-06-30T00:00:00"/>
  </r>
  <r>
    <n v="864"/>
    <x v="287"/>
    <n v="3"/>
    <x v="1"/>
    <x v="0"/>
    <n v="34"/>
    <x v="1"/>
    <x v="0"/>
    <x v="2"/>
    <d v="2025-01-11T00:00:00"/>
    <x v="2"/>
    <s v="Sat"/>
    <s v="Jan–Jun 2025"/>
    <x v="2"/>
    <s v="Beginner"/>
    <n v="4"/>
    <n v="0.875"/>
    <n v="67.5"/>
    <x v="1"/>
    <x v="0"/>
    <n v="1"/>
    <x v="1"/>
    <x v="1"/>
    <d v="2025-06-30T00:00:00"/>
  </r>
  <r>
    <n v="865"/>
    <x v="288"/>
    <n v="1"/>
    <x v="2"/>
    <x v="0"/>
    <n v="32"/>
    <x v="1"/>
    <x v="3"/>
    <x v="2"/>
    <d v="2025-04-04T00:00:00"/>
    <x v="3"/>
    <s v="Fri"/>
    <s v="Jan–Jun 2025"/>
    <x v="0"/>
    <s v="Beginner"/>
    <n v="4"/>
    <n v="0.79166666666666663"/>
    <n v="81"/>
    <x v="2"/>
    <x v="0"/>
    <n v="1"/>
    <x v="1"/>
    <x v="0"/>
    <d v="2025-06-30T00:00:00"/>
  </r>
  <r>
    <n v="866"/>
    <x v="288"/>
    <n v="2"/>
    <x v="0"/>
    <x v="0"/>
    <n v="32"/>
    <x v="1"/>
    <x v="3"/>
    <x v="2"/>
    <d v="2025-04-04T00:00:00"/>
    <x v="3"/>
    <s v="Fri"/>
    <s v="Jan–Jun 2025"/>
    <x v="1"/>
    <s v="Beginner"/>
    <n v="4"/>
    <n v="0.89583333333333337"/>
    <n v="72.5"/>
    <x v="1"/>
    <x v="0"/>
    <n v="1"/>
    <x v="1"/>
    <x v="0"/>
    <d v="2025-06-30T00:00:00"/>
  </r>
  <r>
    <n v="867"/>
    <x v="288"/>
    <n v="3"/>
    <x v="0"/>
    <x v="0"/>
    <n v="32"/>
    <x v="1"/>
    <x v="3"/>
    <x v="2"/>
    <d v="2025-04-04T00:00:00"/>
    <x v="3"/>
    <s v="Fri"/>
    <s v="Jan–Jun 2025"/>
    <x v="2"/>
    <s v="Beginner"/>
    <n v="4"/>
    <n v="0.8125"/>
    <n v="82.5"/>
    <x v="2"/>
    <x v="0"/>
    <n v="1"/>
    <x v="1"/>
    <x v="0"/>
    <d v="2025-06-30T00:00:00"/>
  </r>
  <r>
    <n v="868"/>
    <x v="289"/>
    <n v="1"/>
    <x v="0"/>
    <x v="1"/>
    <n v="27"/>
    <x v="2"/>
    <x v="3"/>
    <x v="3"/>
    <d v="2025-03-28T00:00:00"/>
    <x v="0"/>
    <s v="Fri"/>
    <s v="Jan–Jun 2025"/>
    <x v="0"/>
    <s v="Beginner"/>
    <n v="4"/>
    <n v="0.83333333333333337"/>
    <n v="70.5"/>
    <x v="1"/>
    <x v="0"/>
    <n v="1"/>
    <x v="0"/>
    <x v="0"/>
    <d v="2025-06-30T00:00:00"/>
  </r>
  <r>
    <n v="869"/>
    <x v="289"/>
    <n v="2"/>
    <x v="0"/>
    <x v="1"/>
    <n v="27"/>
    <x v="2"/>
    <x v="3"/>
    <x v="3"/>
    <d v="2025-03-28T00:00:00"/>
    <x v="0"/>
    <s v="Fri"/>
    <s v="Jan–Jun 2025"/>
    <x v="1"/>
    <s v="Beginner"/>
    <n v="4"/>
    <n v="0.79166666666666663"/>
    <n v="82.5"/>
    <x v="2"/>
    <x v="0"/>
    <n v="1"/>
    <x v="0"/>
    <x v="0"/>
    <d v="2025-06-30T00:00:00"/>
  </r>
  <r>
    <n v="870"/>
    <x v="289"/>
    <n v="3"/>
    <x v="0"/>
    <x v="1"/>
    <n v="27"/>
    <x v="2"/>
    <x v="3"/>
    <x v="3"/>
    <d v="2025-03-28T00:00:00"/>
    <x v="0"/>
    <s v="Fri"/>
    <s v="Jan–Jun 2025"/>
    <x v="2"/>
    <s v="Beginner"/>
    <n v="4"/>
    <n v="0.75"/>
    <n v="83.5"/>
    <x v="2"/>
    <x v="0"/>
    <n v="1"/>
    <x v="0"/>
    <x v="0"/>
    <d v="2025-06-30T00:00:00"/>
  </r>
  <r>
    <n v="871"/>
    <x v="290"/>
    <n v="1"/>
    <x v="2"/>
    <x v="0"/>
    <n v="28"/>
    <x v="2"/>
    <x v="1"/>
    <x v="0"/>
    <d v="2025-01-25T00:00:00"/>
    <x v="2"/>
    <s v="Sat"/>
    <s v="Jan–Jun 2025"/>
    <x v="0"/>
    <s v="Beginner"/>
    <n v="4"/>
    <n v="0.79166666666666663"/>
    <n v="53"/>
    <x v="0"/>
    <x v="0"/>
    <n v="1"/>
    <x v="1"/>
    <x v="1"/>
    <d v="2025-06-30T00:00:00"/>
  </r>
  <r>
    <n v="872"/>
    <x v="290"/>
    <n v="2"/>
    <x v="0"/>
    <x v="0"/>
    <n v="28"/>
    <x v="2"/>
    <x v="1"/>
    <x v="0"/>
    <d v="2025-01-25T00:00:00"/>
    <x v="2"/>
    <s v="Sat"/>
    <s v="Jan–Jun 2025"/>
    <x v="1"/>
    <s v="Beginner"/>
    <n v="4"/>
    <n v="0.875"/>
    <n v="80"/>
    <x v="2"/>
    <x v="0"/>
    <n v="1"/>
    <x v="1"/>
    <x v="1"/>
    <d v="2025-06-30T00:00:00"/>
  </r>
  <r>
    <n v="873"/>
    <x v="290"/>
    <n v="3"/>
    <x v="0"/>
    <x v="0"/>
    <n v="28"/>
    <x v="2"/>
    <x v="1"/>
    <x v="0"/>
    <d v="2025-01-25T00:00:00"/>
    <x v="2"/>
    <s v="Sat"/>
    <s v="Jan–Jun 2025"/>
    <x v="2"/>
    <s v="Beginner"/>
    <n v="4"/>
    <n v="0.8125"/>
    <n v="96"/>
    <x v="2"/>
    <x v="0"/>
    <n v="1"/>
    <x v="1"/>
    <x v="1"/>
    <d v="2025-06-30T00:00:00"/>
  </r>
  <r>
    <n v="874"/>
    <x v="291"/>
    <n v="1"/>
    <x v="0"/>
    <x v="1"/>
    <n v="27"/>
    <x v="2"/>
    <x v="5"/>
    <x v="2"/>
    <d v="2025-03-27T00:00:00"/>
    <x v="0"/>
    <s v="Thu"/>
    <s v="Jan–Jun 2025"/>
    <x v="0"/>
    <s v="Beginner"/>
    <n v="4"/>
    <n v="0.89583333333333337"/>
    <n v="77.5"/>
    <x v="1"/>
    <x v="1"/>
    <n v="0"/>
    <x v="0"/>
    <x v="0"/>
    <d v="2025-06-30T00:00:00"/>
  </r>
  <r>
    <n v="875"/>
    <x v="291"/>
    <n v="2"/>
    <x v="0"/>
    <x v="1"/>
    <n v="27"/>
    <x v="2"/>
    <x v="5"/>
    <x v="2"/>
    <d v="2025-03-27T00:00:00"/>
    <x v="0"/>
    <s v="Thu"/>
    <s v="Jan–Jun 2025"/>
    <x v="1"/>
    <s v="Beginner"/>
    <n v="4"/>
    <n v="0.85416666666666663"/>
    <n v="53.5"/>
    <x v="0"/>
    <x v="1"/>
    <n v="0"/>
    <x v="0"/>
    <x v="0"/>
    <d v="2025-06-30T00:00:00"/>
  </r>
  <r>
    <n v="876"/>
    <x v="291"/>
    <n v="3"/>
    <x v="2"/>
    <x v="1"/>
    <n v="27"/>
    <x v="2"/>
    <x v="5"/>
    <x v="2"/>
    <d v="2025-03-27T00:00:00"/>
    <x v="0"/>
    <s v="Thu"/>
    <s v="Jan–Jun 2025"/>
    <x v="2"/>
    <s v="Beginner"/>
    <n v="4"/>
    <n v="0.85416666666666663"/>
    <n v="88.5"/>
    <x v="2"/>
    <x v="1"/>
    <n v="0"/>
    <x v="0"/>
    <x v="0"/>
    <d v="2025-06-30T00:00:00"/>
  </r>
  <r>
    <n v="877"/>
    <x v="292"/>
    <n v="1"/>
    <x v="0"/>
    <x v="0"/>
    <n v="22"/>
    <x v="0"/>
    <x v="5"/>
    <x v="0"/>
    <d v="2025-04-11T00:00:00"/>
    <x v="3"/>
    <s v="Fri"/>
    <s v="Jan–Jun 2025"/>
    <x v="0"/>
    <s v="Beginner"/>
    <n v="4"/>
    <n v="0.85416666666666663"/>
    <n v="76.5"/>
    <x v="1"/>
    <x v="0"/>
    <n v="1"/>
    <x v="1"/>
    <x v="1"/>
    <d v="2025-06-30T00:00:00"/>
  </r>
  <r>
    <n v="878"/>
    <x v="292"/>
    <n v="2"/>
    <x v="0"/>
    <x v="0"/>
    <n v="22"/>
    <x v="0"/>
    <x v="5"/>
    <x v="0"/>
    <d v="2025-04-11T00:00:00"/>
    <x v="3"/>
    <s v="Fri"/>
    <s v="Jan–Jun 2025"/>
    <x v="1"/>
    <s v="Beginner"/>
    <n v="4"/>
    <n v="0.79166666666666663"/>
    <n v="73"/>
    <x v="1"/>
    <x v="0"/>
    <n v="1"/>
    <x v="1"/>
    <x v="1"/>
    <d v="2025-06-30T00:00:00"/>
  </r>
  <r>
    <n v="879"/>
    <x v="292"/>
    <n v="3"/>
    <x v="0"/>
    <x v="0"/>
    <n v="22"/>
    <x v="0"/>
    <x v="5"/>
    <x v="0"/>
    <d v="2025-04-11T00:00:00"/>
    <x v="3"/>
    <s v="Fri"/>
    <s v="Jan–Jun 2025"/>
    <x v="2"/>
    <s v="Beginner"/>
    <n v="4"/>
    <n v="0.95833333333333337"/>
    <n v="62"/>
    <x v="1"/>
    <x v="0"/>
    <n v="1"/>
    <x v="1"/>
    <x v="1"/>
    <d v="2025-06-30T00:00:00"/>
  </r>
  <r>
    <n v="880"/>
    <x v="293"/>
    <n v="1"/>
    <x v="0"/>
    <x v="0"/>
    <n v="20"/>
    <x v="0"/>
    <x v="5"/>
    <x v="3"/>
    <d v="2025-03-26T00:00:00"/>
    <x v="0"/>
    <s v="Wed"/>
    <s v="Jan–Jun 2025"/>
    <x v="0"/>
    <s v="Beginner"/>
    <n v="4"/>
    <n v="0.875"/>
    <n v="82"/>
    <x v="2"/>
    <x v="0"/>
    <n v="1"/>
    <x v="1"/>
    <x v="0"/>
    <d v="2025-06-30T00:00:00"/>
  </r>
  <r>
    <n v="881"/>
    <x v="293"/>
    <n v="2"/>
    <x v="0"/>
    <x v="0"/>
    <n v="20"/>
    <x v="0"/>
    <x v="5"/>
    <x v="3"/>
    <d v="2025-03-26T00:00:00"/>
    <x v="0"/>
    <s v="Wed"/>
    <s v="Jan–Jun 2025"/>
    <x v="1"/>
    <s v="Beginner"/>
    <n v="4"/>
    <n v="0.875"/>
    <n v="86.5"/>
    <x v="2"/>
    <x v="0"/>
    <n v="1"/>
    <x v="1"/>
    <x v="0"/>
    <d v="2025-06-30T00:00:00"/>
  </r>
  <r>
    <n v="882"/>
    <x v="293"/>
    <n v="3"/>
    <x v="0"/>
    <x v="0"/>
    <n v="20"/>
    <x v="0"/>
    <x v="5"/>
    <x v="3"/>
    <d v="2025-03-26T00:00:00"/>
    <x v="0"/>
    <s v="Wed"/>
    <s v="Jan–Jun 2025"/>
    <x v="2"/>
    <s v="Beginner"/>
    <n v="4"/>
    <n v="0.83333333333333337"/>
    <n v="69.5"/>
    <x v="1"/>
    <x v="0"/>
    <n v="1"/>
    <x v="1"/>
    <x v="0"/>
    <d v="2025-06-30T00:00:00"/>
  </r>
  <r>
    <n v="883"/>
    <x v="294"/>
    <n v="1"/>
    <x v="0"/>
    <x v="0"/>
    <n v="34"/>
    <x v="1"/>
    <x v="1"/>
    <x v="3"/>
    <d v="2025-05-11T00:00:00"/>
    <x v="1"/>
    <s v="Sun"/>
    <s v="Jan–Jun 2025"/>
    <x v="0"/>
    <s v="Beginner"/>
    <n v="4"/>
    <n v="0.85416666666666663"/>
    <n v="84.5"/>
    <x v="2"/>
    <x v="0"/>
    <n v="1"/>
    <x v="0"/>
    <x v="0"/>
    <d v="2025-06-30T00:00:00"/>
  </r>
  <r>
    <n v="884"/>
    <x v="294"/>
    <n v="2"/>
    <x v="2"/>
    <x v="0"/>
    <n v="34"/>
    <x v="1"/>
    <x v="1"/>
    <x v="3"/>
    <d v="2025-05-11T00:00:00"/>
    <x v="1"/>
    <s v="Sun"/>
    <s v="Jan–Jun 2025"/>
    <x v="1"/>
    <s v="Beginner"/>
    <n v="4"/>
    <n v="0.83333333333333337"/>
    <n v="72"/>
    <x v="1"/>
    <x v="0"/>
    <n v="1"/>
    <x v="0"/>
    <x v="0"/>
    <d v="2025-06-30T00:00:00"/>
  </r>
  <r>
    <n v="885"/>
    <x v="294"/>
    <n v="3"/>
    <x v="0"/>
    <x v="0"/>
    <n v="34"/>
    <x v="1"/>
    <x v="1"/>
    <x v="3"/>
    <d v="2025-05-11T00:00:00"/>
    <x v="1"/>
    <s v="Sun"/>
    <s v="Jan–Jun 2025"/>
    <x v="2"/>
    <s v="Beginner"/>
    <n v="4"/>
    <n v="0.91666666666666663"/>
    <n v="71.5"/>
    <x v="1"/>
    <x v="0"/>
    <n v="1"/>
    <x v="0"/>
    <x v="0"/>
    <d v="2025-06-30T00:00:00"/>
  </r>
  <r>
    <n v="886"/>
    <x v="295"/>
    <n v="1"/>
    <x v="0"/>
    <x v="1"/>
    <n v="18"/>
    <x v="0"/>
    <x v="5"/>
    <x v="0"/>
    <d v="2025-02-16T00:00:00"/>
    <x v="4"/>
    <s v="Sun"/>
    <s v="Jan–Jun 2025"/>
    <x v="0"/>
    <s v="Beginner"/>
    <n v="4"/>
    <n v="0.85416666666666663"/>
    <n v="64.5"/>
    <x v="1"/>
    <x v="0"/>
    <n v="1"/>
    <x v="0"/>
    <x v="0"/>
    <d v="2025-06-30T00:00:00"/>
  </r>
  <r>
    <n v="887"/>
    <x v="295"/>
    <n v="2"/>
    <x v="0"/>
    <x v="1"/>
    <n v="18"/>
    <x v="0"/>
    <x v="5"/>
    <x v="0"/>
    <d v="2025-02-16T00:00:00"/>
    <x v="4"/>
    <s v="Sun"/>
    <s v="Jan–Jun 2025"/>
    <x v="1"/>
    <s v="Beginner"/>
    <n v="4"/>
    <n v="0.83333333333333337"/>
    <n v="64"/>
    <x v="1"/>
    <x v="0"/>
    <n v="1"/>
    <x v="0"/>
    <x v="0"/>
    <d v="2025-06-30T00:00:00"/>
  </r>
  <r>
    <n v="888"/>
    <x v="295"/>
    <n v="3"/>
    <x v="2"/>
    <x v="1"/>
    <n v="18"/>
    <x v="0"/>
    <x v="5"/>
    <x v="0"/>
    <d v="2025-02-16T00:00:00"/>
    <x v="4"/>
    <s v="Sun"/>
    <s v="Jan–Jun 2025"/>
    <x v="2"/>
    <s v="Beginner"/>
    <n v="4"/>
    <n v="0.89583333333333337"/>
    <n v="84.5"/>
    <x v="2"/>
    <x v="0"/>
    <n v="1"/>
    <x v="0"/>
    <x v="0"/>
    <d v="2025-06-30T00:00:00"/>
  </r>
  <r>
    <n v="889"/>
    <x v="296"/>
    <n v="1"/>
    <x v="2"/>
    <x v="0"/>
    <n v="28"/>
    <x v="2"/>
    <x v="3"/>
    <x v="2"/>
    <d v="2025-02-27T00:00:00"/>
    <x v="4"/>
    <s v="Thu"/>
    <s v="Jan–Jun 2025"/>
    <x v="0"/>
    <s v="Beginner"/>
    <n v="4"/>
    <n v="0.89583333333333337"/>
    <n v="68.5"/>
    <x v="1"/>
    <x v="0"/>
    <n v="1"/>
    <x v="1"/>
    <x v="1"/>
    <d v="2025-06-30T00:00:00"/>
  </r>
  <r>
    <n v="890"/>
    <x v="296"/>
    <n v="2"/>
    <x v="0"/>
    <x v="0"/>
    <n v="28"/>
    <x v="2"/>
    <x v="3"/>
    <x v="2"/>
    <d v="2025-02-27T00:00:00"/>
    <x v="4"/>
    <s v="Thu"/>
    <s v="Jan–Jun 2025"/>
    <x v="1"/>
    <s v="Beginner"/>
    <n v="4"/>
    <n v="0.875"/>
    <n v="69"/>
    <x v="1"/>
    <x v="0"/>
    <n v="1"/>
    <x v="1"/>
    <x v="1"/>
    <d v="2025-06-30T00:00:00"/>
  </r>
  <r>
    <n v="891"/>
    <x v="296"/>
    <n v="3"/>
    <x v="2"/>
    <x v="0"/>
    <n v="28"/>
    <x v="2"/>
    <x v="3"/>
    <x v="2"/>
    <d v="2025-02-27T00:00:00"/>
    <x v="4"/>
    <s v="Thu"/>
    <s v="Jan–Jun 2025"/>
    <x v="2"/>
    <s v="Beginner"/>
    <n v="4"/>
    <n v="0.70833333333333337"/>
    <n v="88"/>
    <x v="2"/>
    <x v="0"/>
    <n v="1"/>
    <x v="1"/>
    <x v="1"/>
    <d v="2025-06-30T00:00:00"/>
  </r>
  <r>
    <n v="892"/>
    <x v="297"/>
    <n v="1"/>
    <x v="2"/>
    <x v="0"/>
    <n v="22"/>
    <x v="0"/>
    <x v="1"/>
    <x v="0"/>
    <d v="2025-01-26T00:00:00"/>
    <x v="2"/>
    <s v="Sun"/>
    <s v="Jan–Jun 2025"/>
    <x v="0"/>
    <s v="Beginner"/>
    <n v="4"/>
    <n v="0.85416666666666663"/>
    <n v="62.5"/>
    <x v="1"/>
    <x v="0"/>
    <n v="1"/>
    <x v="1"/>
    <x v="1"/>
    <d v="2025-06-30T00:00:00"/>
  </r>
  <r>
    <n v="893"/>
    <x v="297"/>
    <n v="2"/>
    <x v="2"/>
    <x v="0"/>
    <n v="22"/>
    <x v="0"/>
    <x v="1"/>
    <x v="0"/>
    <d v="2025-01-26T00:00:00"/>
    <x v="2"/>
    <s v="Sun"/>
    <s v="Jan–Jun 2025"/>
    <x v="1"/>
    <s v="Beginner"/>
    <n v="4"/>
    <n v="0.79166666666666663"/>
    <n v="86.5"/>
    <x v="2"/>
    <x v="0"/>
    <n v="1"/>
    <x v="1"/>
    <x v="1"/>
    <d v="2025-06-30T00:00:00"/>
  </r>
  <r>
    <n v="894"/>
    <x v="297"/>
    <n v="3"/>
    <x v="0"/>
    <x v="0"/>
    <n v="22"/>
    <x v="0"/>
    <x v="1"/>
    <x v="0"/>
    <d v="2025-01-26T00:00:00"/>
    <x v="2"/>
    <s v="Sun"/>
    <s v="Jan–Jun 2025"/>
    <x v="2"/>
    <s v="Beginner"/>
    <n v="4"/>
    <n v="0.875"/>
    <n v="80.5"/>
    <x v="2"/>
    <x v="0"/>
    <n v="1"/>
    <x v="1"/>
    <x v="1"/>
    <d v="2025-06-30T00:00:00"/>
  </r>
  <r>
    <n v="895"/>
    <x v="298"/>
    <n v="1"/>
    <x v="0"/>
    <x v="0"/>
    <n v="28"/>
    <x v="2"/>
    <x v="2"/>
    <x v="2"/>
    <d v="2025-04-07T00:00:00"/>
    <x v="3"/>
    <s v="Mon"/>
    <s v="Jan–Jun 2025"/>
    <x v="0"/>
    <s v="Beginner"/>
    <n v="4"/>
    <n v="0.83333333333333337"/>
    <n v="65"/>
    <x v="1"/>
    <x v="1"/>
    <n v="0"/>
    <x v="0"/>
    <x v="0"/>
    <d v="2025-06-30T00:00:00"/>
  </r>
  <r>
    <n v="896"/>
    <x v="298"/>
    <n v="2"/>
    <x v="0"/>
    <x v="0"/>
    <n v="28"/>
    <x v="2"/>
    <x v="2"/>
    <x v="2"/>
    <d v="2025-04-07T00:00:00"/>
    <x v="3"/>
    <s v="Mon"/>
    <s v="Jan–Jun 2025"/>
    <x v="1"/>
    <s v="Beginner"/>
    <n v="4"/>
    <n v="0.875"/>
    <n v="84"/>
    <x v="2"/>
    <x v="1"/>
    <n v="0"/>
    <x v="0"/>
    <x v="0"/>
    <d v="2025-06-30T00:00:00"/>
  </r>
  <r>
    <n v="897"/>
    <x v="298"/>
    <n v="3"/>
    <x v="0"/>
    <x v="0"/>
    <n v="28"/>
    <x v="2"/>
    <x v="2"/>
    <x v="2"/>
    <d v="2025-04-07T00:00:00"/>
    <x v="3"/>
    <s v="Mon"/>
    <s v="Jan–Jun 2025"/>
    <x v="2"/>
    <s v="Beginner"/>
    <n v="4"/>
    <n v="0.77083333333333337"/>
    <n v="61"/>
    <x v="1"/>
    <x v="1"/>
    <n v="0"/>
    <x v="0"/>
    <x v="0"/>
    <d v="2025-06-30T00:00:00"/>
  </r>
  <r>
    <n v="898"/>
    <x v="299"/>
    <n v="1"/>
    <x v="0"/>
    <x v="0"/>
    <n v="23"/>
    <x v="0"/>
    <x v="4"/>
    <x v="2"/>
    <d v="2025-04-23T00:00:00"/>
    <x v="3"/>
    <s v="Wed"/>
    <s v="Jan–Jun 2025"/>
    <x v="0"/>
    <s v="Beginner"/>
    <n v="4"/>
    <n v="0.83333333333333337"/>
    <n v="65.5"/>
    <x v="1"/>
    <x v="0"/>
    <n v="1"/>
    <x v="1"/>
    <x v="0"/>
    <d v="2025-06-30T00:00:00"/>
  </r>
  <r>
    <n v="899"/>
    <x v="299"/>
    <n v="2"/>
    <x v="0"/>
    <x v="0"/>
    <n v="23"/>
    <x v="0"/>
    <x v="4"/>
    <x v="2"/>
    <d v="2025-04-23T00:00:00"/>
    <x v="3"/>
    <s v="Wed"/>
    <s v="Jan–Jun 2025"/>
    <x v="1"/>
    <s v="Beginner"/>
    <n v="4"/>
    <n v="0.85416666666666663"/>
    <n v="62"/>
    <x v="1"/>
    <x v="0"/>
    <n v="1"/>
    <x v="1"/>
    <x v="0"/>
    <d v="2025-06-30T00:00:00"/>
  </r>
  <r>
    <n v="900"/>
    <x v="299"/>
    <n v="3"/>
    <x v="2"/>
    <x v="0"/>
    <n v="23"/>
    <x v="0"/>
    <x v="4"/>
    <x v="2"/>
    <d v="2025-04-23T00:00:00"/>
    <x v="3"/>
    <s v="Wed"/>
    <s v="Jan–Jun 2025"/>
    <x v="2"/>
    <s v="Beginner"/>
    <n v="4"/>
    <n v="0.9375"/>
    <n v="65"/>
    <x v="1"/>
    <x v="0"/>
    <n v="1"/>
    <x v="1"/>
    <x v="0"/>
    <d v="2025-06-30T00:00:00"/>
  </r>
  <r>
    <n v="901"/>
    <x v="300"/>
    <n v="1"/>
    <x v="2"/>
    <x v="0"/>
    <n v="31"/>
    <x v="1"/>
    <x v="5"/>
    <x v="2"/>
    <d v="2025-04-24T00:00:00"/>
    <x v="3"/>
    <s v="Thu"/>
    <s v="Jan–Jun 2025"/>
    <x v="0"/>
    <s v="Beginner"/>
    <n v="4"/>
    <n v="0.875"/>
    <n v="52.5"/>
    <x v="0"/>
    <x v="1"/>
    <n v="0"/>
    <x v="0"/>
    <x v="0"/>
    <d v="2025-06-30T00:00:00"/>
  </r>
  <r>
    <n v="902"/>
    <x v="300"/>
    <n v="2"/>
    <x v="0"/>
    <x v="0"/>
    <n v="31"/>
    <x v="1"/>
    <x v="5"/>
    <x v="2"/>
    <d v="2025-04-24T00:00:00"/>
    <x v="3"/>
    <s v="Thu"/>
    <s v="Jan–Jun 2025"/>
    <x v="1"/>
    <s v="Beginner"/>
    <n v="4"/>
    <n v="0.8125"/>
    <n v="73"/>
    <x v="1"/>
    <x v="1"/>
    <n v="0"/>
    <x v="0"/>
    <x v="0"/>
    <d v="2025-06-30T00:00:00"/>
  </r>
  <r>
    <n v="903"/>
    <x v="300"/>
    <n v="3"/>
    <x v="2"/>
    <x v="0"/>
    <n v="31"/>
    <x v="1"/>
    <x v="5"/>
    <x v="2"/>
    <d v="2025-04-24T00:00:00"/>
    <x v="3"/>
    <s v="Thu"/>
    <s v="Jan–Jun 2025"/>
    <x v="2"/>
    <s v="Beginner"/>
    <n v="4"/>
    <n v="0.875"/>
    <n v="62.5"/>
    <x v="1"/>
    <x v="1"/>
    <n v="0"/>
    <x v="0"/>
    <x v="0"/>
    <d v="2025-06-30T00:00:00"/>
  </r>
  <r>
    <n v="904"/>
    <x v="301"/>
    <n v="1"/>
    <x v="2"/>
    <x v="1"/>
    <n v="32"/>
    <x v="1"/>
    <x v="4"/>
    <x v="2"/>
    <d v="2025-03-21T00:00:00"/>
    <x v="0"/>
    <s v="Fri"/>
    <s v="Jan–Jun 2025"/>
    <x v="0"/>
    <s v="Beginner"/>
    <n v="4"/>
    <n v="0.8125"/>
    <n v="85.5"/>
    <x v="2"/>
    <x v="0"/>
    <n v="1"/>
    <x v="1"/>
    <x v="0"/>
    <d v="2025-06-30T00:00:00"/>
  </r>
  <r>
    <n v="905"/>
    <x v="301"/>
    <n v="2"/>
    <x v="0"/>
    <x v="1"/>
    <n v="32"/>
    <x v="1"/>
    <x v="4"/>
    <x v="2"/>
    <d v="2025-03-21T00:00:00"/>
    <x v="0"/>
    <s v="Fri"/>
    <s v="Jan–Jun 2025"/>
    <x v="1"/>
    <s v="Beginner"/>
    <n v="4"/>
    <n v="0.83333333333333337"/>
    <n v="85.5"/>
    <x v="2"/>
    <x v="0"/>
    <n v="1"/>
    <x v="1"/>
    <x v="0"/>
    <d v="2025-06-30T00:00:00"/>
  </r>
  <r>
    <n v="906"/>
    <x v="301"/>
    <n v="3"/>
    <x v="1"/>
    <x v="1"/>
    <n v="32"/>
    <x v="1"/>
    <x v="4"/>
    <x v="2"/>
    <d v="2025-03-21T00:00:00"/>
    <x v="0"/>
    <s v="Fri"/>
    <s v="Jan–Jun 2025"/>
    <x v="2"/>
    <s v="Beginner"/>
    <n v="4"/>
    <n v="0.85416666666666663"/>
    <n v="85.5"/>
    <x v="2"/>
    <x v="0"/>
    <n v="1"/>
    <x v="1"/>
    <x v="0"/>
    <d v="2025-06-30T00:00:00"/>
  </r>
  <r>
    <n v="907"/>
    <x v="302"/>
    <n v="1"/>
    <x v="0"/>
    <x v="1"/>
    <n v="24"/>
    <x v="0"/>
    <x v="5"/>
    <x v="3"/>
    <d v="2025-04-29T00:00:00"/>
    <x v="3"/>
    <s v="Tue"/>
    <s v="Jan–Jun 2025"/>
    <x v="0"/>
    <s v="Beginner"/>
    <n v="4"/>
    <n v="0.83333333333333337"/>
    <n v="74.5"/>
    <x v="1"/>
    <x v="0"/>
    <n v="1"/>
    <x v="1"/>
    <x v="0"/>
    <d v="2025-06-30T00:00:00"/>
  </r>
  <r>
    <n v="908"/>
    <x v="302"/>
    <n v="2"/>
    <x v="2"/>
    <x v="1"/>
    <n v="24"/>
    <x v="0"/>
    <x v="5"/>
    <x v="3"/>
    <d v="2025-04-29T00:00:00"/>
    <x v="3"/>
    <s v="Tue"/>
    <s v="Jan–Jun 2025"/>
    <x v="1"/>
    <s v="Beginner"/>
    <n v="4"/>
    <n v="0.85416666666666663"/>
    <n v="86.5"/>
    <x v="2"/>
    <x v="0"/>
    <n v="1"/>
    <x v="1"/>
    <x v="0"/>
    <d v="2025-06-30T00:00:00"/>
  </r>
  <r>
    <n v="909"/>
    <x v="302"/>
    <n v="3"/>
    <x v="2"/>
    <x v="1"/>
    <n v="24"/>
    <x v="0"/>
    <x v="5"/>
    <x v="3"/>
    <d v="2025-04-29T00:00:00"/>
    <x v="3"/>
    <s v="Tue"/>
    <s v="Jan–Jun 2025"/>
    <x v="2"/>
    <s v="Beginner"/>
    <n v="4"/>
    <n v="0.8125"/>
    <n v="71"/>
    <x v="1"/>
    <x v="0"/>
    <n v="1"/>
    <x v="1"/>
    <x v="0"/>
    <d v="2025-06-30T00:00:00"/>
  </r>
  <r>
    <n v="910"/>
    <x v="303"/>
    <n v="1"/>
    <x v="0"/>
    <x v="1"/>
    <n v="30"/>
    <x v="1"/>
    <x v="2"/>
    <x v="3"/>
    <d v="2025-02-11T00:00:00"/>
    <x v="4"/>
    <s v="Tue"/>
    <s v="Jan–Jun 2025"/>
    <x v="0"/>
    <s v="Beginner"/>
    <n v="4"/>
    <n v="0.75"/>
    <n v="60"/>
    <x v="1"/>
    <x v="1"/>
    <n v="0"/>
    <x v="0"/>
    <x v="0"/>
    <d v="2025-06-30T00:00:00"/>
  </r>
  <r>
    <n v="911"/>
    <x v="303"/>
    <n v="2"/>
    <x v="0"/>
    <x v="1"/>
    <n v="30"/>
    <x v="1"/>
    <x v="2"/>
    <x v="3"/>
    <d v="2025-02-11T00:00:00"/>
    <x v="4"/>
    <s v="Tue"/>
    <s v="Jan–Jun 2025"/>
    <x v="1"/>
    <s v="Beginner"/>
    <n v="4"/>
    <n v="0.79166666666666663"/>
    <n v="70"/>
    <x v="1"/>
    <x v="1"/>
    <n v="0"/>
    <x v="0"/>
    <x v="0"/>
    <d v="2025-06-30T00:00:00"/>
  </r>
  <r>
    <n v="912"/>
    <x v="303"/>
    <n v="3"/>
    <x v="2"/>
    <x v="1"/>
    <n v="30"/>
    <x v="1"/>
    <x v="2"/>
    <x v="3"/>
    <d v="2025-02-11T00:00:00"/>
    <x v="4"/>
    <s v="Tue"/>
    <s v="Jan–Jun 2025"/>
    <x v="2"/>
    <s v="Beginner"/>
    <n v="4"/>
    <n v="0.83333333333333337"/>
    <n v="65.5"/>
    <x v="1"/>
    <x v="1"/>
    <n v="0"/>
    <x v="0"/>
    <x v="0"/>
    <d v="2025-06-30T00:00:00"/>
  </r>
  <r>
    <n v="913"/>
    <x v="304"/>
    <n v="1"/>
    <x v="0"/>
    <x v="0"/>
    <n v="22"/>
    <x v="0"/>
    <x v="5"/>
    <x v="1"/>
    <d v="2025-05-04T00:00:00"/>
    <x v="1"/>
    <s v="Sun"/>
    <s v="Jan–Jun 2025"/>
    <x v="0"/>
    <s v="Beginner"/>
    <n v="4"/>
    <n v="0.91666666666666663"/>
    <n v="84.5"/>
    <x v="2"/>
    <x v="1"/>
    <n v="0"/>
    <x v="0"/>
    <x v="0"/>
    <d v="2025-06-30T00:00:00"/>
  </r>
  <r>
    <n v="914"/>
    <x v="304"/>
    <n v="2"/>
    <x v="1"/>
    <x v="0"/>
    <n v="22"/>
    <x v="0"/>
    <x v="5"/>
    <x v="1"/>
    <d v="2025-05-04T00:00:00"/>
    <x v="1"/>
    <s v="Sun"/>
    <s v="Jan–Jun 2025"/>
    <x v="1"/>
    <s v="Beginner"/>
    <n v="4"/>
    <n v="0.85416666666666663"/>
    <n v="70"/>
    <x v="1"/>
    <x v="1"/>
    <n v="0"/>
    <x v="0"/>
    <x v="0"/>
    <d v="2025-06-30T00:00:00"/>
  </r>
  <r>
    <n v="915"/>
    <x v="304"/>
    <n v="3"/>
    <x v="2"/>
    <x v="0"/>
    <n v="22"/>
    <x v="0"/>
    <x v="5"/>
    <x v="1"/>
    <d v="2025-05-04T00:00:00"/>
    <x v="1"/>
    <s v="Sun"/>
    <s v="Jan–Jun 2025"/>
    <x v="2"/>
    <s v="Beginner"/>
    <n v="4"/>
    <n v="0.8125"/>
    <n v="72"/>
    <x v="1"/>
    <x v="1"/>
    <n v="0"/>
    <x v="0"/>
    <x v="0"/>
    <d v="2025-06-30T00:00:00"/>
  </r>
  <r>
    <n v="916"/>
    <x v="305"/>
    <n v="1"/>
    <x v="0"/>
    <x v="1"/>
    <n v="35"/>
    <x v="1"/>
    <x v="1"/>
    <x v="1"/>
    <d v="2025-03-14T00:00:00"/>
    <x v="0"/>
    <s v="Fri"/>
    <s v="Jan–Jun 2025"/>
    <x v="0"/>
    <s v="Beginner"/>
    <n v="4"/>
    <n v="0.79166666666666663"/>
    <n v="83"/>
    <x v="2"/>
    <x v="0"/>
    <n v="1"/>
    <x v="1"/>
    <x v="1"/>
    <d v="2025-06-30T00:00:00"/>
  </r>
  <r>
    <n v="917"/>
    <x v="305"/>
    <n v="2"/>
    <x v="2"/>
    <x v="1"/>
    <n v="35"/>
    <x v="1"/>
    <x v="1"/>
    <x v="1"/>
    <d v="2025-03-14T00:00:00"/>
    <x v="0"/>
    <s v="Fri"/>
    <s v="Jan–Jun 2025"/>
    <x v="1"/>
    <s v="Beginner"/>
    <n v="4"/>
    <n v="0.8125"/>
    <n v="65"/>
    <x v="1"/>
    <x v="0"/>
    <n v="1"/>
    <x v="1"/>
    <x v="1"/>
    <d v="2025-06-30T00:00:00"/>
  </r>
  <r>
    <n v="918"/>
    <x v="305"/>
    <n v="3"/>
    <x v="0"/>
    <x v="1"/>
    <n v="35"/>
    <x v="1"/>
    <x v="1"/>
    <x v="1"/>
    <d v="2025-03-14T00:00:00"/>
    <x v="0"/>
    <s v="Fri"/>
    <s v="Jan–Jun 2025"/>
    <x v="2"/>
    <s v="Beginner"/>
    <n v="4"/>
    <n v="0.875"/>
    <n v="71"/>
    <x v="1"/>
    <x v="0"/>
    <n v="1"/>
    <x v="1"/>
    <x v="1"/>
    <d v="2025-06-30T00:00:00"/>
  </r>
  <r>
    <n v="919"/>
    <x v="306"/>
    <n v="1"/>
    <x v="0"/>
    <x v="0"/>
    <n v="23"/>
    <x v="0"/>
    <x v="5"/>
    <x v="3"/>
    <d v="2025-05-12T00:00:00"/>
    <x v="1"/>
    <s v="Mon"/>
    <s v="Jan–Jun 2025"/>
    <x v="0"/>
    <s v="Beginner"/>
    <n v="4"/>
    <n v="0.77083333333333337"/>
    <n v="83.5"/>
    <x v="2"/>
    <x v="1"/>
    <n v="0"/>
    <x v="0"/>
    <x v="0"/>
    <d v="2025-06-30T00:00:00"/>
  </r>
  <r>
    <n v="920"/>
    <x v="306"/>
    <n v="2"/>
    <x v="2"/>
    <x v="0"/>
    <n v="23"/>
    <x v="0"/>
    <x v="5"/>
    <x v="3"/>
    <d v="2025-05-12T00:00:00"/>
    <x v="1"/>
    <s v="Mon"/>
    <s v="Jan–Jun 2025"/>
    <x v="1"/>
    <s v="Beginner"/>
    <n v="4"/>
    <n v="0.875"/>
    <n v="53.5"/>
    <x v="0"/>
    <x v="1"/>
    <n v="0"/>
    <x v="0"/>
    <x v="0"/>
    <d v="2025-06-30T00:00:00"/>
  </r>
  <r>
    <n v="921"/>
    <x v="306"/>
    <n v="3"/>
    <x v="0"/>
    <x v="0"/>
    <n v="23"/>
    <x v="0"/>
    <x v="5"/>
    <x v="3"/>
    <d v="2025-05-12T00:00:00"/>
    <x v="1"/>
    <s v="Mon"/>
    <s v="Jan–Jun 2025"/>
    <x v="2"/>
    <s v="Beginner"/>
    <n v="4"/>
    <n v="0.77083333333333337"/>
    <n v="81.5"/>
    <x v="2"/>
    <x v="1"/>
    <n v="0"/>
    <x v="0"/>
    <x v="0"/>
    <d v="2025-06-30T00:00:00"/>
  </r>
  <r>
    <n v="922"/>
    <x v="307"/>
    <n v="1"/>
    <x v="0"/>
    <x v="0"/>
    <n v="31"/>
    <x v="1"/>
    <x v="1"/>
    <x v="2"/>
    <d v="2025-04-26T00:00:00"/>
    <x v="3"/>
    <s v="Sat"/>
    <s v="Jan–Jun 2025"/>
    <x v="0"/>
    <s v="Beginner"/>
    <n v="4"/>
    <n v="0.89583333333333337"/>
    <n v="68"/>
    <x v="1"/>
    <x v="0"/>
    <n v="1"/>
    <x v="1"/>
    <x v="0"/>
    <d v="2025-06-30T00:00:00"/>
  </r>
  <r>
    <n v="923"/>
    <x v="307"/>
    <n v="2"/>
    <x v="0"/>
    <x v="0"/>
    <n v="31"/>
    <x v="1"/>
    <x v="1"/>
    <x v="2"/>
    <d v="2025-04-26T00:00:00"/>
    <x v="3"/>
    <s v="Sat"/>
    <s v="Jan–Jun 2025"/>
    <x v="1"/>
    <s v="Beginner"/>
    <n v="4"/>
    <n v="0.8125"/>
    <n v="48"/>
    <x v="0"/>
    <x v="0"/>
    <n v="1"/>
    <x v="1"/>
    <x v="0"/>
    <d v="2025-06-30T00:00:00"/>
  </r>
  <r>
    <n v="924"/>
    <x v="307"/>
    <n v="3"/>
    <x v="0"/>
    <x v="0"/>
    <n v="31"/>
    <x v="1"/>
    <x v="1"/>
    <x v="2"/>
    <d v="2025-04-26T00:00:00"/>
    <x v="3"/>
    <s v="Sat"/>
    <s v="Jan–Jun 2025"/>
    <x v="2"/>
    <s v="Beginner"/>
    <n v="4"/>
    <n v="0.85416666666666663"/>
    <n v="62"/>
    <x v="1"/>
    <x v="0"/>
    <n v="1"/>
    <x v="1"/>
    <x v="0"/>
    <d v="2025-06-30T00:00:00"/>
  </r>
  <r>
    <n v="925"/>
    <x v="308"/>
    <n v="1"/>
    <x v="0"/>
    <x v="1"/>
    <n v="18"/>
    <x v="0"/>
    <x v="3"/>
    <x v="1"/>
    <d v="2025-04-12T00:00:00"/>
    <x v="3"/>
    <s v="Sat"/>
    <s v="Jan–Jun 2025"/>
    <x v="0"/>
    <s v="Beginner"/>
    <n v="4"/>
    <n v="0.8125"/>
    <n v="69.5"/>
    <x v="1"/>
    <x v="0"/>
    <n v="1"/>
    <x v="1"/>
    <x v="0"/>
    <d v="2025-06-30T00:00:00"/>
  </r>
  <r>
    <n v="926"/>
    <x v="308"/>
    <n v="2"/>
    <x v="0"/>
    <x v="1"/>
    <n v="18"/>
    <x v="0"/>
    <x v="3"/>
    <x v="1"/>
    <d v="2025-04-12T00:00:00"/>
    <x v="3"/>
    <s v="Sat"/>
    <s v="Jan–Jun 2025"/>
    <x v="1"/>
    <s v="Beginner"/>
    <n v="4"/>
    <n v="0.75"/>
    <n v="62"/>
    <x v="1"/>
    <x v="0"/>
    <n v="1"/>
    <x v="1"/>
    <x v="0"/>
    <d v="2025-06-30T00:00:00"/>
  </r>
  <r>
    <n v="927"/>
    <x v="308"/>
    <n v="3"/>
    <x v="0"/>
    <x v="1"/>
    <n v="18"/>
    <x v="0"/>
    <x v="3"/>
    <x v="1"/>
    <d v="2025-04-12T00:00:00"/>
    <x v="3"/>
    <s v="Sat"/>
    <s v="Jan–Jun 2025"/>
    <x v="2"/>
    <s v="Beginner"/>
    <n v="4"/>
    <n v="0.875"/>
    <n v="60.5"/>
    <x v="1"/>
    <x v="0"/>
    <n v="1"/>
    <x v="1"/>
    <x v="0"/>
    <d v="2025-06-30T00:00:00"/>
  </r>
  <r>
    <n v="928"/>
    <x v="309"/>
    <n v="1"/>
    <x v="0"/>
    <x v="1"/>
    <n v="25"/>
    <x v="2"/>
    <x v="3"/>
    <x v="1"/>
    <d v="2025-04-06T00:00:00"/>
    <x v="3"/>
    <s v="Sun"/>
    <s v="Jan–Jun 2025"/>
    <x v="0"/>
    <s v="Beginner"/>
    <n v="4"/>
    <n v="0.8125"/>
    <n v="60"/>
    <x v="1"/>
    <x v="1"/>
    <n v="0"/>
    <x v="0"/>
    <x v="0"/>
    <d v="2025-06-30T00:00:00"/>
  </r>
  <r>
    <n v="929"/>
    <x v="309"/>
    <n v="2"/>
    <x v="0"/>
    <x v="1"/>
    <n v="25"/>
    <x v="2"/>
    <x v="3"/>
    <x v="1"/>
    <d v="2025-04-06T00:00:00"/>
    <x v="3"/>
    <s v="Sun"/>
    <s v="Jan–Jun 2025"/>
    <x v="1"/>
    <s v="Beginner"/>
    <n v="4"/>
    <n v="0.8125"/>
    <n v="80.5"/>
    <x v="2"/>
    <x v="1"/>
    <n v="0"/>
    <x v="0"/>
    <x v="0"/>
    <d v="2025-06-30T00:00:00"/>
  </r>
  <r>
    <n v="930"/>
    <x v="309"/>
    <n v="3"/>
    <x v="0"/>
    <x v="1"/>
    <n v="25"/>
    <x v="2"/>
    <x v="3"/>
    <x v="1"/>
    <d v="2025-04-06T00:00:00"/>
    <x v="3"/>
    <s v="Sun"/>
    <s v="Jan–Jun 2025"/>
    <x v="2"/>
    <s v="Beginner"/>
    <n v="4"/>
    <n v="0.8125"/>
    <n v="69"/>
    <x v="1"/>
    <x v="1"/>
    <n v="0"/>
    <x v="0"/>
    <x v="0"/>
    <d v="2025-06-30T00:00:00"/>
  </r>
  <r>
    <n v="931"/>
    <x v="310"/>
    <n v="1"/>
    <x v="2"/>
    <x v="0"/>
    <n v="18"/>
    <x v="0"/>
    <x v="5"/>
    <x v="1"/>
    <d v="2025-03-27T00:00:00"/>
    <x v="0"/>
    <s v="Thu"/>
    <s v="Jan–Jun 2025"/>
    <x v="0"/>
    <s v="Beginner"/>
    <n v="4"/>
    <n v="0.77083333333333337"/>
    <n v="61.5"/>
    <x v="1"/>
    <x v="0"/>
    <n v="1"/>
    <x v="1"/>
    <x v="0"/>
    <d v="2025-06-30T00:00:00"/>
  </r>
  <r>
    <n v="932"/>
    <x v="310"/>
    <n v="2"/>
    <x v="0"/>
    <x v="0"/>
    <n v="18"/>
    <x v="0"/>
    <x v="5"/>
    <x v="1"/>
    <d v="2025-03-27T00:00:00"/>
    <x v="0"/>
    <s v="Thu"/>
    <s v="Jan–Jun 2025"/>
    <x v="1"/>
    <s v="Beginner"/>
    <n v="4"/>
    <n v="0.79166666666666663"/>
    <n v="72.5"/>
    <x v="1"/>
    <x v="0"/>
    <n v="1"/>
    <x v="1"/>
    <x v="0"/>
    <d v="2025-06-30T00:00:00"/>
  </r>
  <r>
    <n v="933"/>
    <x v="310"/>
    <n v="3"/>
    <x v="0"/>
    <x v="0"/>
    <n v="18"/>
    <x v="0"/>
    <x v="5"/>
    <x v="1"/>
    <d v="2025-03-27T00:00:00"/>
    <x v="0"/>
    <s v="Thu"/>
    <s v="Jan–Jun 2025"/>
    <x v="2"/>
    <s v="Beginner"/>
    <n v="4"/>
    <n v="0.77083333333333337"/>
    <n v="72"/>
    <x v="1"/>
    <x v="0"/>
    <n v="1"/>
    <x v="1"/>
    <x v="0"/>
    <d v="2025-06-30T00:00:00"/>
  </r>
  <r>
    <n v="934"/>
    <x v="311"/>
    <n v="1"/>
    <x v="0"/>
    <x v="0"/>
    <n v="22"/>
    <x v="0"/>
    <x v="1"/>
    <x v="0"/>
    <d v="2025-05-01T00:00:00"/>
    <x v="1"/>
    <s v="Thu"/>
    <s v="Jan–Jun 2025"/>
    <x v="0"/>
    <s v="Beginner"/>
    <n v="4"/>
    <n v="0.79166666666666663"/>
    <n v="62.5"/>
    <x v="1"/>
    <x v="1"/>
    <n v="0"/>
    <x v="0"/>
    <x v="0"/>
    <d v="2025-06-30T00:00:00"/>
  </r>
  <r>
    <n v="935"/>
    <x v="311"/>
    <n v="2"/>
    <x v="2"/>
    <x v="0"/>
    <n v="22"/>
    <x v="0"/>
    <x v="1"/>
    <x v="0"/>
    <d v="2025-05-01T00:00:00"/>
    <x v="1"/>
    <s v="Thu"/>
    <s v="Jan–Jun 2025"/>
    <x v="1"/>
    <s v="Beginner"/>
    <n v="4"/>
    <n v="0.83333333333333337"/>
    <n v="66.5"/>
    <x v="1"/>
    <x v="1"/>
    <n v="0"/>
    <x v="0"/>
    <x v="0"/>
    <d v="2025-06-30T00:00:00"/>
  </r>
  <r>
    <n v="936"/>
    <x v="311"/>
    <n v="3"/>
    <x v="0"/>
    <x v="0"/>
    <n v="22"/>
    <x v="0"/>
    <x v="1"/>
    <x v="0"/>
    <d v="2025-05-01T00:00:00"/>
    <x v="1"/>
    <s v="Thu"/>
    <s v="Jan–Jun 2025"/>
    <x v="2"/>
    <s v="Beginner"/>
    <n v="4"/>
    <n v="0.77083333333333337"/>
    <n v="94"/>
    <x v="2"/>
    <x v="1"/>
    <n v="0"/>
    <x v="0"/>
    <x v="0"/>
    <d v="2025-06-30T00:00:00"/>
  </r>
  <r>
    <n v="937"/>
    <x v="312"/>
    <n v="1"/>
    <x v="0"/>
    <x v="0"/>
    <n v="33"/>
    <x v="1"/>
    <x v="3"/>
    <x v="1"/>
    <d v="2025-01-21T00:00:00"/>
    <x v="2"/>
    <s v="Tue"/>
    <s v="Jan–Jun 2025"/>
    <x v="0"/>
    <s v="Beginner"/>
    <n v="4"/>
    <n v="0.89583333333333337"/>
    <n v="78"/>
    <x v="1"/>
    <x v="0"/>
    <n v="1"/>
    <x v="1"/>
    <x v="0"/>
    <d v="2025-06-30T00:00:00"/>
  </r>
  <r>
    <n v="938"/>
    <x v="312"/>
    <n v="2"/>
    <x v="0"/>
    <x v="0"/>
    <n v="33"/>
    <x v="1"/>
    <x v="3"/>
    <x v="1"/>
    <d v="2025-01-21T00:00:00"/>
    <x v="2"/>
    <s v="Tue"/>
    <s v="Jan–Jun 2025"/>
    <x v="1"/>
    <s v="Beginner"/>
    <n v="4"/>
    <n v="0.91666666666666663"/>
    <n v="80"/>
    <x v="2"/>
    <x v="0"/>
    <n v="1"/>
    <x v="1"/>
    <x v="0"/>
    <d v="2025-06-30T00:00:00"/>
  </r>
  <r>
    <n v="939"/>
    <x v="312"/>
    <n v="3"/>
    <x v="0"/>
    <x v="0"/>
    <n v="33"/>
    <x v="1"/>
    <x v="3"/>
    <x v="1"/>
    <d v="2025-01-21T00:00:00"/>
    <x v="2"/>
    <s v="Tue"/>
    <s v="Jan–Jun 2025"/>
    <x v="2"/>
    <s v="Beginner"/>
    <n v="4"/>
    <n v="0.83333333333333337"/>
    <n v="62"/>
    <x v="1"/>
    <x v="0"/>
    <n v="1"/>
    <x v="1"/>
    <x v="0"/>
    <d v="2025-06-30T00:00:00"/>
  </r>
  <r>
    <n v="940"/>
    <x v="313"/>
    <n v="1"/>
    <x v="1"/>
    <x v="0"/>
    <n v="26"/>
    <x v="2"/>
    <x v="4"/>
    <x v="2"/>
    <d v="2025-05-21T00:00:00"/>
    <x v="1"/>
    <s v="Wed"/>
    <s v="Jan–Jun 2025"/>
    <x v="0"/>
    <s v="Beginner"/>
    <n v="4"/>
    <n v="0.9375"/>
    <n v="62"/>
    <x v="1"/>
    <x v="1"/>
    <n v="0"/>
    <x v="0"/>
    <x v="0"/>
    <d v="2025-06-30T00:00:00"/>
  </r>
  <r>
    <n v="941"/>
    <x v="313"/>
    <n v="2"/>
    <x v="2"/>
    <x v="0"/>
    <n v="26"/>
    <x v="2"/>
    <x v="4"/>
    <x v="2"/>
    <d v="2025-05-21T00:00:00"/>
    <x v="1"/>
    <s v="Wed"/>
    <s v="Jan–Jun 2025"/>
    <x v="1"/>
    <s v="Beginner"/>
    <n v="4"/>
    <n v="0.83333333333333337"/>
    <n v="50.5"/>
    <x v="0"/>
    <x v="1"/>
    <n v="0"/>
    <x v="0"/>
    <x v="0"/>
    <d v="2025-06-30T00:00:00"/>
  </r>
  <r>
    <n v="942"/>
    <x v="313"/>
    <n v="3"/>
    <x v="0"/>
    <x v="0"/>
    <n v="26"/>
    <x v="2"/>
    <x v="4"/>
    <x v="2"/>
    <d v="2025-05-21T00:00:00"/>
    <x v="1"/>
    <s v="Wed"/>
    <s v="Jan–Jun 2025"/>
    <x v="2"/>
    <s v="Beginner"/>
    <n v="4"/>
    <n v="0.75"/>
    <n v="72"/>
    <x v="1"/>
    <x v="1"/>
    <n v="0"/>
    <x v="0"/>
    <x v="0"/>
    <d v="2025-06-30T00:00:00"/>
  </r>
  <r>
    <n v="943"/>
    <x v="314"/>
    <n v="1"/>
    <x v="1"/>
    <x v="1"/>
    <n v="21"/>
    <x v="0"/>
    <x v="5"/>
    <x v="2"/>
    <d v="2025-03-19T00:00:00"/>
    <x v="0"/>
    <s v="Wed"/>
    <s v="Jan–Jun 2025"/>
    <x v="0"/>
    <s v="Beginner"/>
    <n v="4"/>
    <n v="0.875"/>
    <n v="66"/>
    <x v="1"/>
    <x v="0"/>
    <n v="1"/>
    <x v="1"/>
    <x v="0"/>
    <d v="2025-06-30T00:00:00"/>
  </r>
  <r>
    <n v="944"/>
    <x v="314"/>
    <n v="2"/>
    <x v="2"/>
    <x v="1"/>
    <n v="21"/>
    <x v="0"/>
    <x v="5"/>
    <x v="2"/>
    <d v="2025-03-19T00:00:00"/>
    <x v="0"/>
    <s v="Wed"/>
    <s v="Jan–Jun 2025"/>
    <x v="1"/>
    <s v="Beginner"/>
    <n v="4"/>
    <n v="0.875"/>
    <n v="77.5"/>
    <x v="1"/>
    <x v="0"/>
    <n v="1"/>
    <x v="1"/>
    <x v="0"/>
    <d v="2025-06-30T00:00:00"/>
  </r>
  <r>
    <n v="945"/>
    <x v="314"/>
    <n v="3"/>
    <x v="0"/>
    <x v="1"/>
    <n v="21"/>
    <x v="0"/>
    <x v="5"/>
    <x v="2"/>
    <d v="2025-03-19T00:00:00"/>
    <x v="0"/>
    <s v="Wed"/>
    <s v="Jan–Jun 2025"/>
    <x v="2"/>
    <s v="Beginner"/>
    <n v="4"/>
    <n v="0.72916666666666663"/>
    <n v="86.5"/>
    <x v="2"/>
    <x v="0"/>
    <n v="1"/>
    <x v="1"/>
    <x v="0"/>
    <d v="2025-06-30T00:00:00"/>
  </r>
  <r>
    <n v="946"/>
    <x v="315"/>
    <n v="1"/>
    <x v="0"/>
    <x v="0"/>
    <n v="19"/>
    <x v="0"/>
    <x v="4"/>
    <x v="3"/>
    <d v="2025-04-28T00:00:00"/>
    <x v="3"/>
    <s v="Mon"/>
    <s v="Jan–Jun 2025"/>
    <x v="0"/>
    <s v="Beginner"/>
    <n v="4"/>
    <n v="0.77083333333333337"/>
    <n v="88.5"/>
    <x v="2"/>
    <x v="0"/>
    <n v="1"/>
    <x v="1"/>
    <x v="0"/>
    <d v="2025-06-30T00:00:00"/>
  </r>
  <r>
    <n v="947"/>
    <x v="315"/>
    <n v="2"/>
    <x v="0"/>
    <x v="0"/>
    <n v="19"/>
    <x v="0"/>
    <x v="4"/>
    <x v="3"/>
    <d v="2025-04-28T00:00:00"/>
    <x v="3"/>
    <s v="Mon"/>
    <s v="Jan–Jun 2025"/>
    <x v="1"/>
    <s v="Beginner"/>
    <n v="4"/>
    <n v="0.79166666666666663"/>
    <n v="77"/>
    <x v="1"/>
    <x v="0"/>
    <n v="1"/>
    <x v="1"/>
    <x v="0"/>
    <d v="2025-06-30T00:00:00"/>
  </r>
  <r>
    <n v="948"/>
    <x v="315"/>
    <n v="3"/>
    <x v="2"/>
    <x v="0"/>
    <n v="19"/>
    <x v="0"/>
    <x v="4"/>
    <x v="3"/>
    <d v="2025-04-28T00:00:00"/>
    <x v="3"/>
    <s v="Mon"/>
    <s v="Jan–Jun 2025"/>
    <x v="2"/>
    <s v="Beginner"/>
    <n v="4"/>
    <n v="0.89583333333333337"/>
    <n v="61"/>
    <x v="1"/>
    <x v="0"/>
    <n v="1"/>
    <x v="1"/>
    <x v="0"/>
    <d v="2025-06-30T00:00:00"/>
  </r>
  <r>
    <n v="949"/>
    <x v="316"/>
    <n v="1"/>
    <x v="0"/>
    <x v="0"/>
    <n v="21"/>
    <x v="0"/>
    <x v="3"/>
    <x v="1"/>
    <d v="2025-05-12T00:00:00"/>
    <x v="1"/>
    <s v="Mon"/>
    <s v="Jan–Jun 2025"/>
    <x v="0"/>
    <s v="Beginner"/>
    <n v="4"/>
    <n v="0.83333333333333337"/>
    <n v="58"/>
    <x v="0"/>
    <x v="1"/>
    <n v="0"/>
    <x v="0"/>
    <x v="0"/>
    <d v="2025-06-30T00:00:00"/>
  </r>
  <r>
    <n v="950"/>
    <x v="316"/>
    <n v="2"/>
    <x v="0"/>
    <x v="0"/>
    <n v="21"/>
    <x v="0"/>
    <x v="3"/>
    <x v="1"/>
    <d v="2025-05-12T00:00:00"/>
    <x v="1"/>
    <s v="Mon"/>
    <s v="Jan–Jun 2025"/>
    <x v="1"/>
    <s v="Beginner"/>
    <n v="4"/>
    <n v="0.89583333333333337"/>
    <n v="67.5"/>
    <x v="1"/>
    <x v="1"/>
    <n v="0"/>
    <x v="0"/>
    <x v="0"/>
    <d v="2025-06-30T00:00:00"/>
  </r>
  <r>
    <n v="951"/>
    <x v="316"/>
    <n v="3"/>
    <x v="0"/>
    <x v="0"/>
    <n v="21"/>
    <x v="0"/>
    <x v="3"/>
    <x v="1"/>
    <d v="2025-05-12T00:00:00"/>
    <x v="1"/>
    <s v="Mon"/>
    <s v="Jan–Jun 2025"/>
    <x v="2"/>
    <s v="Beginner"/>
    <n v="4"/>
    <n v="0.79166666666666663"/>
    <n v="68.5"/>
    <x v="1"/>
    <x v="1"/>
    <n v="0"/>
    <x v="0"/>
    <x v="0"/>
    <d v="2025-06-30T00:00:00"/>
  </r>
  <r>
    <n v="952"/>
    <x v="317"/>
    <n v="1"/>
    <x v="0"/>
    <x v="0"/>
    <n v="22"/>
    <x v="0"/>
    <x v="5"/>
    <x v="3"/>
    <d v="2025-01-01T00:00:00"/>
    <x v="2"/>
    <s v="Wed"/>
    <s v="Jan–Jun 2025"/>
    <x v="0"/>
    <s v="Beginner"/>
    <n v="4"/>
    <n v="0.83333333333333337"/>
    <n v="86"/>
    <x v="2"/>
    <x v="0"/>
    <n v="1"/>
    <x v="1"/>
    <x v="0"/>
    <d v="2025-06-30T00:00:00"/>
  </r>
  <r>
    <n v="953"/>
    <x v="317"/>
    <n v="2"/>
    <x v="1"/>
    <x v="0"/>
    <n v="22"/>
    <x v="0"/>
    <x v="5"/>
    <x v="3"/>
    <d v="2025-01-01T00:00:00"/>
    <x v="2"/>
    <s v="Wed"/>
    <s v="Jan–Jun 2025"/>
    <x v="1"/>
    <s v="Beginner"/>
    <n v="4"/>
    <n v="0.83333333333333337"/>
    <n v="74"/>
    <x v="1"/>
    <x v="0"/>
    <n v="1"/>
    <x v="1"/>
    <x v="0"/>
    <d v="2025-06-30T00:00:00"/>
  </r>
  <r>
    <n v="954"/>
    <x v="317"/>
    <n v="3"/>
    <x v="0"/>
    <x v="0"/>
    <n v="22"/>
    <x v="0"/>
    <x v="5"/>
    <x v="3"/>
    <d v="2025-01-01T00:00:00"/>
    <x v="2"/>
    <s v="Wed"/>
    <s v="Jan–Jun 2025"/>
    <x v="2"/>
    <s v="Beginner"/>
    <n v="4"/>
    <n v="0.875"/>
    <n v="87"/>
    <x v="2"/>
    <x v="0"/>
    <n v="1"/>
    <x v="1"/>
    <x v="0"/>
    <d v="2025-06-30T00:00:00"/>
  </r>
  <r>
    <n v="955"/>
    <x v="318"/>
    <n v="1"/>
    <x v="2"/>
    <x v="1"/>
    <n v="25"/>
    <x v="2"/>
    <x v="2"/>
    <x v="3"/>
    <d v="2025-02-17T00:00:00"/>
    <x v="4"/>
    <s v="Mon"/>
    <s v="Jan–Jun 2025"/>
    <x v="0"/>
    <s v="Beginner"/>
    <n v="4"/>
    <n v="0.95833333333333337"/>
    <n v="55.5"/>
    <x v="0"/>
    <x v="1"/>
    <n v="0"/>
    <x v="0"/>
    <x v="0"/>
    <d v="2025-06-30T00:00:00"/>
  </r>
  <r>
    <n v="956"/>
    <x v="318"/>
    <n v="2"/>
    <x v="1"/>
    <x v="1"/>
    <n v="25"/>
    <x v="2"/>
    <x v="2"/>
    <x v="3"/>
    <d v="2025-02-17T00:00:00"/>
    <x v="4"/>
    <s v="Mon"/>
    <s v="Jan–Jun 2025"/>
    <x v="1"/>
    <s v="Beginner"/>
    <n v="4"/>
    <n v="0.79166666666666663"/>
    <n v="68.5"/>
    <x v="1"/>
    <x v="1"/>
    <n v="0"/>
    <x v="0"/>
    <x v="0"/>
    <d v="2025-06-30T00:00:00"/>
  </r>
  <r>
    <n v="957"/>
    <x v="318"/>
    <n v="3"/>
    <x v="1"/>
    <x v="1"/>
    <n v="25"/>
    <x v="2"/>
    <x v="2"/>
    <x v="3"/>
    <d v="2025-02-17T00:00:00"/>
    <x v="4"/>
    <s v="Mon"/>
    <s v="Jan–Jun 2025"/>
    <x v="2"/>
    <s v="Beginner"/>
    <n v="4"/>
    <n v="0.85416666666666663"/>
    <n v="74.5"/>
    <x v="1"/>
    <x v="1"/>
    <n v="0"/>
    <x v="0"/>
    <x v="0"/>
    <d v="2025-06-30T00:00:00"/>
  </r>
  <r>
    <n v="958"/>
    <x v="319"/>
    <n v="1"/>
    <x v="0"/>
    <x v="0"/>
    <n v="34"/>
    <x v="1"/>
    <x v="5"/>
    <x v="1"/>
    <d v="2025-05-15T00:00:00"/>
    <x v="1"/>
    <s v="Thu"/>
    <s v="Jan–Jun 2025"/>
    <x v="0"/>
    <s v="Beginner"/>
    <n v="4"/>
    <n v="0.79166666666666663"/>
    <n v="75.5"/>
    <x v="1"/>
    <x v="0"/>
    <n v="1"/>
    <x v="0"/>
    <x v="0"/>
    <d v="2025-06-30T00:00:00"/>
  </r>
  <r>
    <n v="959"/>
    <x v="319"/>
    <n v="2"/>
    <x v="0"/>
    <x v="0"/>
    <n v="34"/>
    <x v="1"/>
    <x v="5"/>
    <x v="1"/>
    <d v="2025-05-15T00:00:00"/>
    <x v="1"/>
    <s v="Thu"/>
    <s v="Jan–Jun 2025"/>
    <x v="1"/>
    <s v="Beginner"/>
    <n v="4"/>
    <n v="0.83333333333333337"/>
    <n v="80.5"/>
    <x v="2"/>
    <x v="0"/>
    <n v="1"/>
    <x v="0"/>
    <x v="0"/>
    <d v="2025-06-30T00:00:00"/>
  </r>
  <r>
    <n v="960"/>
    <x v="319"/>
    <n v="3"/>
    <x v="0"/>
    <x v="0"/>
    <n v="34"/>
    <x v="1"/>
    <x v="5"/>
    <x v="1"/>
    <d v="2025-05-15T00:00:00"/>
    <x v="1"/>
    <s v="Thu"/>
    <s v="Jan–Jun 2025"/>
    <x v="2"/>
    <s v="Beginner"/>
    <n v="4"/>
    <n v="0.83333333333333337"/>
    <n v="81.5"/>
    <x v="2"/>
    <x v="0"/>
    <n v="1"/>
    <x v="0"/>
    <x v="0"/>
    <d v="2025-06-30T00:00:00"/>
  </r>
  <r>
    <n v="961"/>
    <x v="320"/>
    <n v="1"/>
    <x v="2"/>
    <x v="0"/>
    <n v="30"/>
    <x v="1"/>
    <x v="3"/>
    <x v="1"/>
    <d v="2025-04-10T00:00:00"/>
    <x v="3"/>
    <s v="Thu"/>
    <s v="Jan–Jun 2025"/>
    <x v="0"/>
    <s v="Beginner"/>
    <n v="4"/>
    <n v="0.9375"/>
    <n v="94.5"/>
    <x v="2"/>
    <x v="0"/>
    <n v="1"/>
    <x v="1"/>
    <x v="1"/>
    <d v="2025-06-30T00:00:00"/>
  </r>
  <r>
    <n v="962"/>
    <x v="320"/>
    <n v="2"/>
    <x v="0"/>
    <x v="0"/>
    <n v="30"/>
    <x v="1"/>
    <x v="3"/>
    <x v="1"/>
    <d v="2025-04-10T00:00:00"/>
    <x v="3"/>
    <s v="Thu"/>
    <s v="Jan–Jun 2025"/>
    <x v="1"/>
    <s v="Beginner"/>
    <n v="4"/>
    <n v="0.85416666666666663"/>
    <n v="82"/>
    <x v="2"/>
    <x v="0"/>
    <n v="1"/>
    <x v="1"/>
    <x v="1"/>
    <d v="2025-06-30T00:00:00"/>
  </r>
  <r>
    <n v="963"/>
    <x v="320"/>
    <n v="3"/>
    <x v="0"/>
    <x v="0"/>
    <n v="30"/>
    <x v="1"/>
    <x v="3"/>
    <x v="1"/>
    <d v="2025-04-10T00:00:00"/>
    <x v="3"/>
    <s v="Thu"/>
    <s v="Jan–Jun 2025"/>
    <x v="2"/>
    <s v="Beginner"/>
    <n v="4"/>
    <n v="0.79166666666666663"/>
    <n v="56.5"/>
    <x v="0"/>
    <x v="0"/>
    <n v="1"/>
    <x v="1"/>
    <x v="1"/>
    <d v="2025-06-30T00:00:00"/>
  </r>
  <r>
    <n v="964"/>
    <x v="321"/>
    <n v="1"/>
    <x v="0"/>
    <x v="1"/>
    <n v="26"/>
    <x v="2"/>
    <x v="0"/>
    <x v="1"/>
    <d v="2025-04-02T00:00:00"/>
    <x v="3"/>
    <s v="Wed"/>
    <s v="Jan–Jun 2025"/>
    <x v="0"/>
    <s v="Beginner"/>
    <n v="4"/>
    <n v="0.85416666666666663"/>
    <n v="69"/>
    <x v="1"/>
    <x v="1"/>
    <n v="0"/>
    <x v="0"/>
    <x v="0"/>
    <d v="2025-06-30T00:00:00"/>
  </r>
  <r>
    <n v="965"/>
    <x v="321"/>
    <n v="2"/>
    <x v="0"/>
    <x v="1"/>
    <n v="26"/>
    <x v="2"/>
    <x v="0"/>
    <x v="1"/>
    <d v="2025-04-02T00:00:00"/>
    <x v="3"/>
    <s v="Wed"/>
    <s v="Jan–Jun 2025"/>
    <x v="1"/>
    <s v="Beginner"/>
    <n v="4"/>
    <n v="0.79166666666666663"/>
    <n v="87.5"/>
    <x v="2"/>
    <x v="1"/>
    <n v="0"/>
    <x v="0"/>
    <x v="0"/>
    <d v="2025-06-30T00:00:00"/>
  </r>
  <r>
    <n v="966"/>
    <x v="321"/>
    <n v="3"/>
    <x v="0"/>
    <x v="1"/>
    <n v="26"/>
    <x v="2"/>
    <x v="0"/>
    <x v="1"/>
    <d v="2025-04-02T00:00:00"/>
    <x v="3"/>
    <s v="Wed"/>
    <s v="Jan–Jun 2025"/>
    <x v="2"/>
    <s v="Beginner"/>
    <n v="4"/>
    <n v="0.85416666666666663"/>
    <n v="71"/>
    <x v="1"/>
    <x v="1"/>
    <n v="0"/>
    <x v="0"/>
    <x v="0"/>
    <d v="2025-06-30T00:00:00"/>
  </r>
  <r>
    <n v="967"/>
    <x v="322"/>
    <n v="1"/>
    <x v="0"/>
    <x v="0"/>
    <n v="29"/>
    <x v="2"/>
    <x v="4"/>
    <x v="1"/>
    <d v="2025-05-29T00:00:00"/>
    <x v="1"/>
    <s v="Thu"/>
    <s v="Jan–Jun 2025"/>
    <x v="0"/>
    <s v="Beginner"/>
    <n v="4"/>
    <n v="0.875"/>
    <n v="83"/>
    <x v="2"/>
    <x v="1"/>
    <n v="0"/>
    <x v="0"/>
    <x v="0"/>
    <d v="2025-06-30T00:00:00"/>
  </r>
  <r>
    <n v="968"/>
    <x v="322"/>
    <n v="2"/>
    <x v="0"/>
    <x v="0"/>
    <n v="29"/>
    <x v="2"/>
    <x v="4"/>
    <x v="1"/>
    <d v="2025-05-29T00:00:00"/>
    <x v="1"/>
    <s v="Thu"/>
    <s v="Jan–Jun 2025"/>
    <x v="1"/>
    <s v="Beginner"/>
    <n v="4"/>
    <n v="0.83333333333333337"/>
    <n v="62"/>
    <x v="1"/>
    <x v="1"/>
    <n v="0"/>
    <x v="0"/>
    <x v="0"/>
    <d v="2025-06-30T00:00:00"/>
  </r>
  <r>
    <n v="969"/>
    <x v="322"/>
    <n v="3"/>
    <x v="0"/>
    <x v="0"/>
    <n v="29"/>
    <x v="2"/>
    <x v="4"/>
    <x v="1"/>
    <d v="2025-05-29T00:00:00"/>
    <x v="1"/>
    <s v="Thu"/>
    <s v="Jan–Jun 2025"/>
    <x v="2"/>
    <s v="Beginner"/>
    <n v="4"/>
    <n v="0.77083333333333337"/>
    <n v="74.5"/>
    <x v="1"/>
    <x v="1"/>
    <n v="0"/>
    <x v="0"/>
    <x v="0"/>
    <d v="2025-06-30T00:00:00"/>
  </r>
  <r>
    <n v="970"/>
    <x v="323"/>
    <n v="1"/>
    <x v="0"/>
    <x v="1"/>
    <n v="22"/>
    <x v="0"/>
    <x v="1"/>
    <x v="0"/>
    <d v="2025-05-20T00:00:00"/>
    <x v="1"/>
    <s v="Tue"/>
    <s v="Jan–Jun 2025"/>
    <x v="0"/>
    <s v="Beginner"/>
    <n v="4"/>
    <n v="0.72916666666666663"/>
    <n v="80.5"/>
    <x v="2"/>
    <x v="1"/>
    <n v="0"/>
    <x v="0"/>
    <x v="0"/>
    <d v="2025-06-30T00:00:00"/>
  </r>
  <r>
    <n v="971"/>
    <x v="323"/>
    <n v="2"/>
    <x v="0"/>
    <x v="1"/>
    <n v="22"/>
    <x v="0"/>
    <x v="1"/>
    <x v="0"/>
    <d v="2025-05-20T00:00:00"/>
    <x v="1"/>
    <s v="Tue"/>
    <s v="Jan–Jun 2025"/>
    <x v="1"/>
    <s v="Beginner"/>
    <n v="4"/>
    <n v="0.8125"/>
    <n v="88.5"/>
    <x v="2"/>
    <x v="1"/>
    <n v="0"/>
    <x v="0"/>
    <x v="0"/>
    <d v="2025-06-30T00:00:00"/>
  </r>
  <r>
    <n v="972"/>
    <x v="323"/>
    <n v="3"/>
    <x v="2"/>
    <x v="1"/>
    <n v="22"/>
    <x v="0"/>
    <x v="1"/>
    <x v="0"/>
    <d v="2025-05-20T00:00:00"/>
    <x v="1"/>
    <s v="Tue"/>
    <s v="Jan–Jun 2025"/>
    <x v="2"/>
    <s v="Beginner"/>
    <n v="4"/>
    <n v="0.85416666666666663"/>
    <n v="73.5"/>
    <x v="1"/>
    <x v="1"/>
    <n v="0"/>
    <x v="0"/>
    <x v="0"/>
    <d v="2025-06-30T00:00:00"/>
  </r>
  <r>
    <n v="973"/>
    <x v="324"/>
    <n v="1"/>
    <x v="0"/>
    <x v="1"/>
    <n v="23"/>
    <x v="0"/>
    <x v="0"/>
    <x v="3"/>
    <d v="2025-05-03T00:00:00"/>
    <x v="1"/>
    <s v="Sat"/>
    <s v="Jan–Jun 2025"/>
    <x v="0"/>
    <s v="Beginner"/>
    <n v="4"/>
    <n v="0.77083333333333337"/>
    <n v="61"/>
    <x v="1"/>
    <x v="1"/>
    <n v="0"/>
    <x v="0"/>
    <x v="0"/>
    <d v="2025-06-30T00:00:00"/>
  </r>
  <r>
    <n v="974"/>
    <x v="324"/>
    <n v="2"/>
    <x v="1"/>
    <x v="1"/>
    <n v="23"/>
    <x v="0"/>
    <x v="0"/>
    <x v="3"/>
    <d v="2025-05-03T00:00:00"/>
    <x v="1"/>
    <s v="Sat"/>
    <s v="Jan–Jun 2025"/>
    <x v="1"/>
    <s v="Beginner"/>
    <n v="4"/>
    <n v="0.79166666666666663"/>
    <n v="88"/>
    <x v="2"/>
    <x v="1"/>
    <n v="0"/>
    <x v="0"/>
    <x v="0"/>
    <d v="2025-06-30T00:00:00"/>
  </r>
  <r>
    <n v="975"/>
    <x v="324"/>
    <n v="3"/>
    <x v="2"/>
    <x v="1"/>
    <n v="23"/>
    <x v="0"/>
    <x v="0"/>
    <x v="3"/>
    <d v="2025-05-03T00:00:00"/>
    <x v="1"/>
    <s v="Sat"/>
    <s v="Jan–Jun 2025"/>
    <x v="2"/>
    <s v="Beginner"/>
    <n v="4"/>
    <n v="0.875"/>
    <n v="98"/>
    <x v="2"/>
    <x v="1"/>
    <n v="0"/>
    <x v="0"/>
    <x v="0"/>
    <d v="2025-06-30T00:00:00"/>
  </r>
  <r>
    <n v="976"/>
    <x v="325"/>
    <n v="1"/>
    <x v="0"/>
    <x v="0"/>
    <n v="22"/>
    <x v="0"/>
    <x v="1"/>
    <x v="3"/>
    <d v="2025-01-10T00:00:00"/>
    <x v="2"/>
    <s v="Fri"/>
    <s v="Jan–Jun 2025"/>
    <x v="0"/>
    <s v="Beginner"/>
    <n v="4"/>
    <n v="0.875"/>
    <n v="86"/>
    <x v="2"/>
    <x v="0"/>
    <n v="1"/>
    <x v="0"/>
    <x v="1"/>
    <d v="2025-06-30T00:00:00"/>
  </r>
  <r>
    <n v="977"/>
    <x v="325"/>
    <n v="2"/>
    <x v="0"/>
    <x v="0"/>
    <n v="22"/>
    <x v="0"/>
    <x v="1"/>
    <x v="3"/>
    <d v="2025-01-10T00:00:00"/>
    <x v="2"/>
    <s v="Fri"/>
    <s v="Jan–Jun 2025"/>
    <x v="1"/>
    <s v="Beginner"/>
    <n v="4"/>
    <n v="0.875"/>
    <n v="62.5"/>
    <x v="1"/>
    <x v="0"/>
    <n v="1"/>
    <x v="0"/>
    <x v="1"/>
    <d v="2025-06-30T00:00:00"/>
  </r>
  <r>
    <n v="978"/>
    <x v="325"/>
    <n v="3"/>
    <x v="0"/>
    <x v="0"/>
    <n v="22"/>
    <x v="0"/>
    <x v="1"/>
    <x v="3"/>
    <d v="2025-01-10T00:00:00"/>
    <x v="2"/>
    <s v="Fri"/>
    <s v="Jan–Jun 2025"/>
    <x v="2"/>
    <s v="Beginner"/>
    <n v="4"/>
    <n v="0.77083333333333337"/>
    <n v="65.5"/>
    <x v="1"/>
    <x v="0"/>
    <n v="1"/>
    <x v="0"/>
    <x v="1"/>
    <d v="2025-06-30T00:00:00"/>
  </r>
  <r>
    <n v="979"/>
    <x v="326"/>
    <n v="1"/>
    <x v="0"/>
    <x v="1"/>
    <n v="24"/>
    <x v="0"/>
    <x v="1"/>
    <x v="2"/>
    <d v="2025-01-11T00:00:00"/>
    <x v="2"/>
    <s v="Sat"/>
    <s v="Jan–Jun 2025"/>
    <x v="0"/>
    <s v="Beginner"/>
    <n v="4"/>
    <n v="0.77083333333333337"/>
    <n v="82"/>
    <x v="2"/>
    <x v="0"/>
    <n v="1"/>
    <x v="0"/>
    <x v="1"/>
    <d v="2025-06-30T00:00:00"/>
  </r>
  <r>
    <n v="980"/>
    <x v="326"/>
    <n v="2"/>
    <x v="0"/>
    <x v="1"/>
    <n v="24"/>
    <x v="0"/>
    <x v="1"/>
    <x v="2"/>
    <d v="2025-01-11T00:00:00"/>
    <x v="2"/>
    <s v="Sat"/>
    <s v="Jan–Jun 2025"/>
    <x v="1"/>
    <s v="Beginner"/>
    <n v="4"/>
    <n v="0.79166666666666663"/>
    <n v="68.5"/>
    <x v="1"/>
    <x v="0"/>
    <n v="1"/>
    <x v="0"/>
    <x v="1"/>
    <d v="2025-06-30T00:00:00"/>
  </r>
  <r>
    <n v="981"/>
    <x v="326"/>
    <n v="3"/>
    <x v="2"/>
    <x v="1"/>
    <n v="24"/>
    <x v="0"/>
    <x v="1"/>
    <x v="2"/>
    <d v="2025-01-11T00:00:00"/>
    <x v="2"/>
    <s v="Sat"/>
    <s v="Jan–Jun 2025"/>
    <x v="2"/>
    <s v="Beginner"/>
    <n v="4"/>
    <n v="0.83333333333333337"/>
    <n v="80"/>
    <x v="2"/>
    <x v="0"/>
    <n v="1"/>
    <x v="0"/>
    <x v="1"/>
    <d v="2025-06-30T00:00:00"/>
  </r>
  <r>
    <n v="982"/>
    <x v="327"/>
    <n v="1"/>
    <x v="2"/>
    <x v="1"/>
    <n v="27"/>
    <x v="2"/>
    <x v="2"/>
    <x v="3"/>
    <d v="2025-05-20T00:00:00"/>
    <x v="1"/>
    <s v="Tue"/>
    <s v="Jan–Jun 2025"/>
    <x v="0"/>
    <s v="Beginner"/>
    <n v="4"/>
    <n v="0.8125"/>
    <n v="73"/>
    <x v="1"/>
    <x v="1"/>
    <n v="0"/>
    <x v="0"/>
    <x v="0"/>
    <d v="2025-06-30T00:00:00"/>
  </r>
  <r>
    <n v="983"/>
    <x v="327"/>
    <n v="2"/>
    <x v="1"/>
    <x v="1"/>
    <n v="27"/>
    <x v="2"/>
    <x v="2"/>
    <x v="3"/>
    <d v="2025-05-20T00:00:00"/>
    <x v="1"/>
    <s v="Tue"/>
    <s v="Jan–Jun 2025"/>
    <x v="1"/>
    <s v="Beginner"/>
    <n v="4"/>
    <n v="0.875"/>
    <n v="70"/>
    <x v="1"/>
    <x v="1"/>
    <n v="0"/>
    <x v="0"/>
    <x v="0"/>
    <d v="2025-06-30T00:00:00"/>
  </r>
  <r>
    <n v="984"/>
    <x v="327"/>
    <n v="3"/>
    <x v="0"/>
    <x v="1"/>
    <n v="27"/>
    <x v="2"/>
    <x v="2"/>
    <x v="3"/>
    <d v="2025-05-20T00:00:00"/>
    <x v="1"/>
    <s v="Tue"/>
    <s v="Jan–Jun 2025"/>
    <x v="2"/>
    <s v="Beginner"/>
    <n v="4"/>
    <n v="0.85416666666666663"/>
    <n v="65"/>
    <x v="1"/>
    <x v="1"/>
    <n v="0"/>
    <x v="0"/>
    <x v="0"/>
    <d v="2025-06-30T00:00:00"/>
  </r>
  <r>
    <n v="985"/>
    <x v="328"/>
    <n v="1"/>
    <x v="0"/>
    <x v="1"/>
    <n v="26"/>
    <x v="2"/>
    <x v="1"/>
    <x v="2"/>
    <d v="2025-03-15T00:00:00"/>
    <x v="0"/>
    <s v="Sat"/>
    <s v="Jan–Jun 2025"/>
    <x v="0"/>
    <s v="Beginner"/>
    <n v="4"/>
    <n v="0.89583333333333337"/>
    <n v="79"/>
    <x v="2"/>
    <x v="0"/>
    <n v="1"/>
    <x v="1"/>
    <x v="0"/>
    <d v="2025-06-30T00:00:00"/>
  </r>
  <r>
    <n v="986"/>
    <x v="328"/>
    <n v="2"/>
    <x v="2"/>
    <x v="1"/>
    <n v="26"/>
    <x v="2"/>
    <x v="1"/>
    <x v="2"/>
    <d v="2025-03-15T00:00:00"/>
    <x v="0"/>
    <s v="Sat"/>
    <s v="Jan–Jun 2025"/>
    <x v="1"/>
    <s v="Beginner"/>
    <n v="4"/>
    <n v="0.83333333333333337"/>
    <n v="68"/>
    <x v="1"/>
    <x v="0"/>
    <n v="1"/>
    <x v="1"/>
    <x v="0"/>
    <d v="2025-06-30T00:00:00"/>
  </r>
  <r>
    <n v="987"/>
    <x v="328"/>
    <n v="3"/>
    <x v="2"/>
    <x v="1"/>
    <n v="26"/>
    <x v="2"/>
    <x v="1"/>
    <x v="2"/>
    <d v="2025-03-15T00:00:00"/>
    <x v="0"/>
    <s v="Sat"/>
    <s v="Jan–Jun 2025"/>
    <x v="2"/>
    <s v="Beginner"/>
    <n v="4"/>
    <n v="0.83333333333333337"/>
    <n v="51.5"/>
    <x v="0"/>
    <x v="0"/>
    <n v="1"/>
    <x v="1"/>
    <x v="0"/>
    <d v="2025-06-30T00:00:00"/>
  </r>
  <r>
    <n v="988"/>
    <x v="329"/>
    <n v="1"/>
    <x v="0"/>
    <x v="1"/>
    <n v="19"/>
    <x v="0"/>
    <x v="0"/>
    <x v="0"/>
    <d v="2025-03-11T00:00:00"/>
    <x v="0"/>
    <s v="Tue"/>
    <s v="Jan–Jun 2025"/>
    <x v="0"/>
    <s v="Beginner"/>
    <n v="4"/>
    <n v="0.85416666666666663"/>
    <n v="70.5"/>
    <x v="1"/>
    <x v="0"/>
    <n v="1"/>
    <x v="1"/>
    <x v="0"/>
    <d v="2025-06-30T00:00:00"/>
  </r>
  <r>
    <n v="989"/>
    <x v="329"/>
    <n v="2"/>
    <x v="0"/>
    <x v="1"/>
    <n v="19"/>
    <x v="0"/>
    <x v="0"/>
    <x v="0"/>
    <d v="2025-03-11T00:00:00"/>
    <x v="0"/>
    <s v="Tue"/>
    <s v="Jan–Jun 2025"/>
    <x v="1"/>
    <s v="Beginner"/>
    <n v="4"/>
    <n v="0.91666666666666663"/>
    <n v="72"/>
    <x v="1"/>
    <x v="0"/>
    <n v="1"/>
    <x v="1"/>
    <x v="0"/>
    <d v="2025-06-30T00:00:00"/>
  </r>
  <r>
    <n v="990"/>
    <x v="329"/>
    <n v="3"/>
    <x v="0"/>
    <x v="1"/>
    <n v="19"/>
    <x v="0"/>
    <x v="0"/>
    <x v="0"/>
    <d v="2025-03-11T00:00:00"/>
    <x v="0"/>
    <s v="Tue"/>
    <s v="Jan–Jun 2025"/>
    <x v="2"/>
    <s v="Beginner"/>
    <n v="4"/>
    <n v="0.89583333333333337"/>
    <n v="77"/>
    <x v="1"/>
    <x v="0"/>
    <n v="1"/>
    <x v="1"/>
    <x v="0"/>
    <d v="2025-06-30T00:00:00"/>
  </r>
  <r>
    <n v="991"/>
    <x v="330"/>
    <n v="1"/>
    <x v="0"/>
    <x v="0"/>
    <n v="29"/>
    <x v="2"/>
    <x v="3"/>
    <x v="3"/>
    <d v="2025-04-23T00:00:00"/>
    <x v="3"/>
    <s v="Wed"/>
    <s v="Jan–Jun 2025"/>
    <x v="0"/>
    <s v="Beginner"/>
    <n v="4"/>
    <n v="0.83333333333333337"/>
    <n v="74.5"/>
    <x v="1"/>
    <x v="0"/>
    <n v="1"/>
    <x v="1"/>
    <x v="0"/>
    <d v="2025-06-30T00:00:00"/>
  </r>
  <r>
    <n v="992"/>
    <x v="330"/>
    <n v="2"/>
    <x v="0"/>
    <x v="0"/>
    <n v="29"/>
    <x v="2"/>
    <x v="3"/>
    <x v="3"/>
    <d v="2025-04-23T00:00:00"/>
    <x v="3"/>
    <s v="Wed"/>
    <s v="Jan–Jun 2025"/>
    <x v="1"/>
    <s v="Beginner"/>
    <n v="4"/>
    <n v="0.8125"/>
    <n v="76"/>
    <x v="1"/>
    <x v="0"/>
    <n v="1"/>
    <x v="1"/>
    <x v="0"/>
    <d v="2025-06-30T00:00:00"/>
  </r>
  <r>
    <n v="993"/>
    <x v="330"/>
    <n v="3"/>
    <x v="1"/>
    <x v="0"/>
    <n v="29"/>
    <x v="2"/>
    <x v="3"/>
    <x v="3"/>
    <d v="2025-04-23T00:00:00"/>
    <x v="3"/>
    <s v="Wed"/>
    <s v="Jan–Jun 2025"/>
    <x v="2"/>
    <s v="Beginner"/>
    <n v="4"/>
    <n v="0.8125"/>
    <n v="80"/>
    <x v="2"/>
    <x v="0"/>
    <n v="1"/>
    <x v="1"/>
    <x v="0"/>
    <d v="2025-06-30T00:00:00"/>
  </r>
  <r>
    <n v="994"/>
    <x v="331"/>
    <n v="1"/>
    <x v="2"/>
    <x v="1"/>
    <n v="28"/>
    <x v="2"/>
    <x v="4"/>
    <x v="3"/>
    <d v="2025-05-08T00:00:00"/>
    <x v="1"/>
    <s v="Thu"/>
    <s v="Jan–Jun 2025"/>
    <x v="0"/>
    <s v="Beginner"/>
    <n v="4"/>
    <n v="0.8125"/>
    <n v="79.5"/>
    <x v="2"/>
    <x v="0"/>
    <n v="1"/>
    <x v="1"/>
    <x v="1"/>
    <d v="2025-06-30T00:00:00"/>
  </r>
  <r>
    <n v="995"/>
    <x v="331"/>
    <n v="2"/>
    <x v="0"/>
    <x v="1"/>
    <n v="28"/>
    <x v="2"/>
    <x v="4"/>
    <x v="3"/>
    <d v="2025-05-08T00:00:00"/>
    <x v="1"/>
    <s v="Thu"/>
    <s v="Jan–Jun 2025"/>
    <x v="1"/>
    <s v="Beginner"/>
    <n v="4"/>
    <n v="0.875"/>
    <n v="82.5"/>
    <x v="2"/>
    <x v="0"/>
    <n v="1"/>
    <x v="1"/>
    <x v="1"/>
    <d v="2025-06-30T00:00:00"/>
  </r>
  <r>
    <n v="996"/>
    <x v="331"/>
    <n v="3"/>
    <x v="1"/>
    <x v="1"/>
    <n v="28"/>
    <x v="2"/>
    <x v="4"/>
    <x v="3"/>
    <d v="2025-05-08T00:00:00"/>
    <x v="1"/>
    <s v="Thu"/>
    <s v="Jan–Jun 2025"/>
    <x v="2"/>
    <s v="Beginner"/>
    <n v="4"/>
    <n v="0.70833333333333337"/>
    <n v="94"/>
    <x v="2"/>
    <x v="0"/>
    <n v="1"/>
    <x v="1"/>
    <x v="1"/>
    <d v="2025-06-30T00:00:00"/>
  </r>
  <r>
    <n v="997"/>
    <x v="332"/>
    <n v="1"/>
    <x v="1"/>
    <x v="1"/>
    <n v="34"/>
    <x v="1"/>
    <x v="5"/>
    <x v="1"/>
    <d v="2025-04-19T00:00:00"/>
    <x v="3"/>
    <s v="Sat"/>
    <s v="Jan–Jun 2025"/>
    <x v="0"/>
    <s v="Beginner"/>
    <n v="4"/>
    <n v="0.8125"/>
    <n v="71.5"/>
    <x v="1"/>
    <x v="1"/>
    <n v="0"/>
    <x v="0"/>
    <x v="0"/>
    <d v="2025-06-30T00:00:00"/>
  </r>
  <r>
    <n v="998"/>
    <x v="332"/>
    <n v="2"/>
    <x v="0"/>
    <x v="1"/>
    <n v="34"/>
    <x v="1"/>
    <x v="5"/>
    <x v="1"/>
    <d v="2025-04-19T00:00:00"/>
    <x v="3"/>
    <s v="Sat"/>
    <s v="Jan–Jun 2025"/>
    <x v="1"/>
    <s v="Beginner"/>
    <n v="4"/>
    <n v="0.83333333333333337"/>
    <n v="73.5"/>
    <x v="1"/>
    <x v="1"/>
    <n v="0"/>
    <x v="0"/>
    <x v="0"/>
    <d v="2025-06-30T00:00:00"/>
  </r>
  <r>
    <n v="999"/>
    <x v="332"/>
    <n v="3"/>
    <x v="2"/>
    <x v="1"/>
    <n v="34"/>
    <x v="1"/>
    <x v="5"/>
    <x v="1"/>
    <d v="2025-04-19T00:00:00"/>
    <x v="3"/>
    <s v="Sat"/>
    <s v="Jan–Jun 2025"/>
    <x v="2"/>
    <s v="Beginner"/>
    <n v="4"/>
    <n v="0.79166666666666663"/>
    <n v="87.5"/>
    <x v="2"/>
    <x v="1"/>
    <n v="0"/>
    <x v="0"/>
    <x v="0"/>
    <d v="2025-06-30T00:00:00"/>
  </r>
  <r>
    <n v="1000"/>
    <x v="333"/>
    <n v="1"/>
    <x v="0"/>
    <x v="0"/>
    <n v="31"/>
    <x v="1"/>
    <x v="2"/>
    <x v="2"/>
    <d v="2025-05-20T00:00:00"/>
    <x v="1"/>
    <s v="Tue"/>
    <s v="Jan–Jun 2025"/>
    <x v="0"/>
    <s v="Beginner"/>
    <n v="4"/>
    <n v="0.95833333333333337"/>
    <n v="56.5"/>
    <x v="0"/>
    <x v="1"/>
    <n v="0"/>
    <x v="0"/>
    <x v="0"/>
    <d v="2025-06-30T00:00:00"/>
  </r>
  <r>
    <n v="1001"/>
    <x v="333"/>
    <n v="2"/>
    <x v="1"/>
    <x v="0"/>
    <n v="31"/>
    <x v="1"/>
    <x v="2"/>
    <x v="2"/>
    <d v="2025-05-20T00:00:00"/>
    <x v="1"/>
    <s v="Tue"/>
    <s v="Jan–Jun 2025"/>
    <x v="1"/>
    <s v="Beginner"/>
    <n v="4"/>
    <n v="0.79166666666666663"/>
    <n v="52"/>
    <x v="0"/>
    <x v="1"/>
    <n v="0"/>
    <x v="0"/>
    <x v="0"/>
    <d v="2025-06-30T00:00:00"/>
  </r>
  <r>
    <n v="1002"/>
    <x v="333"/>
    <n v="3"/>
    <x v="0"/>
    <x v="0"/>
    <n v="31"/>
    <x v="1"/>
    <x v="2"/>
    <x v="2"/>
    <d v="2025-05-20T00:00:00"/>
    <x v="1"/>
    <s v="Tue"/>
    <s v="Jan–Jun 2025"/>
    <x v="2"/>
    <s v="Beginner"/>
    <n v="4"/>
    <n v="0.77083333333333337"/>
    <n v="79.5"/>
    <x v="2"/>
    <x v="1"/>
    <n v="0"/>
    <x v="0"/>
    <x v="0"/>
    <d v="2025-06-30T00:00:00"/>
  </r>
  <r>
    <n v="1003"/>
    <x v="334"/>
    <n v="1"/>
    <x v="0"/>
    <x v="1"/>
    <n v="28"/>
    <x v="2"/>
    <x v="1"/>
    <x v="1"/>
    <d v="2025-03-25T00:00:00"/>
    <x v="0"/>
    <s v="Tue"/>
    <s v="Jan–Jun 2025"/>
    <x v="0"/>
    <s v="Beginner"/>
    <n v="4"/>
    <n v="0.79166666666666663"/>
    <n v="80.5"/>
    <x v="2"/>
    <x v="0"/>
    <n v="1"/>
    <x v="1"/>
    <x v="0"/>
    <d v="2025-06-30T00:00:00"/>
  </r>
  <r>
    <n v="1004"/>
    <x v="334"/>
    <n v="2"/>
    <x v="0"/>
    <x v="1"/>
    <n v="28"/>
    <x v="2"/>
    <x v="1"/>
    <x v="1"/>
    <d v="2025-03-25T00:00:00"/>
    <x v="0"/>
    <s v="Tue"/>
    <s v="Jan–Jun 2025"/>
    <x v="1"/>
    <s v="Beginner"/>
    <n v="4"/>
    <n v="0.79166666666666663"/>
    <n v="67.5"/>
    <x v="1"/>
    <x v="0"/>
    <n v="1"/>
    <x v="1"/>
    <x v="0"/>
    <d v="2025-06-30T00:00:00"/>
  </r>
  <r>
    <n v="1005"/>
    <x v="334"/>
    <n v="3"/>
    <x v="2"/>
    <x v="1"/>
    <n v="28"/>
    <x v="2"/>
    <x v="1"/>
    <x v="1"/>
    <d v="2025-03-25T00:00:00"/>
    <x v="0"/>
    <s v="Tue"/>
    <s v="Jan–Jun 2025"/>
    <x v="2"/>
    <s v="Beginner"/>
    <n v="4"/>
    <n v="0.875"/>
    <n v="58.5"/>
    <x v="0"/>
    <x v="0"/>
    <n v="1"/>
    <x v="1"/>
    <x v="0"/>
    <d v="2025-06-30T00:00:00"/>
  </r>
  <r>
    <n v="1006"/>
    <x v="335"/>
    <n v="1"/>
    <x v="0"/>
    <x v="1"/>
    <n v="27"/>
    <x v="2"/>
    <x v="3"/>
    <x v="3"/>
    <d v="2025-02-12T00:00:00"/>
    <x v="4"/>
    <s v="Wed"/>
    <s v="Jan–Jun 2025"/>
    <x v="0"/>
    <s v="Beginner"/>
    <n v="4"/>
    <n v="0.875"/>
    <n v="75"/>
    <x v="1"/>
    <x v="0"/>
    <n v="1"/>
    <x v="0"/>
    <x v="1"/>
    <d v="2025-06-30T00:00:00"/>
  </r>
  <r>
    <n v="1007"/>
    <x v="335"/>
    <n v="2"/>
    <x v="0"/>
    <x v="1"/>
    <n v="27"/>
    <x v="2"/>
    <x v="3"/>
    <x v="3"/>
    <d v="2025-02-12T00:00:00"/>
    <x v="4"/>
    <s v="Wed"/>
    <s v="Jan–Jun 2025"/>
    <x v="1"/>
    <s v="Beginner"/>
    <n v="4"/>
    <n v="0.83333333333333337"/>
    <n v="84"/>
    <x v="2"/>
    <x v="0"/>
    <n v="1"/>
    <x v="0"/>
    <x v="1"/>
    <d v="2025-06-30T00:00:00"/>
  </r>
  <r>
    <n v="1008"/>
    <x v="335"/>
    <n v="3"/>
    <x v="0"/>
    <x v="1"/>
    <n v="27"/>
    <x v="2"/>
    <x v="3"/>
    <x v="3"/>
    <d v="2025-02-12T00:00:00"/>
    <x v="4"/>
    <s v="Wed"/>
    <s v="Jan–Jun 2025"/>
    <x v="2"/>
    <s v="Beginner"/>
    <n v="4"/>
    <n v="0.875"/>
    <n v="68"/>
    <x v="1"/>
    <x v="0"/>
    <n v="1"/>
    <x v="0"/>
    <x v="1"/>
    <d v="2025-06-30T00:00:00"/>
  </r>
  <r>
    <n v="1009"/>
    <x v="336"/>
    <n v="1"/>
    <x v="1"/>
    <x v="1"/>
    <n v="29"/>
    <x v="2"/>
    <x v="3"/>
    <x v="1"/>
    <d v="2025-04-01T00:00:00"/>
    <x v="3"/>
    <s v="Tue"/>
    <s v="Jan–Jun 2025"/>
    <x v="0"/>
    <s v="Beginner"/>
    <n v="4"/>
    <n v="0.83333333333333337"/>
    <n v="69"/>
    <x v="1"/>
    <x v="1"/>
    <n v="0"/>
    <x v="0"/>
    <x v="0"/>
    <d v="2025-06-30T00:00:00"/>
  </r>
  <r>
    <n v="1010"/>
    <x v="336"/>
    <n v="2"/>
    <x v="0"/>
    <x v="1"/>
    <n v="29"/>
    <x v="2"/>
    <x v="3"/>
    <x v="1"/>
    <d v="2025-04-01T00:00:00"/>
    <x v="3"/>
    <s v="Tue"/>
    <s v="Jan–Jun 2025"/>
    <x v="1"/>
    <s v="Beginner"/>
    <n v="4"/>
    <n v="0.83333333333333337"/>
    <n v="68"/>
    <x v="1"/>
    <x v="1"/>
    <n v="0"/>
    <x v="0"/>
    <x v="0"/>
    <d v="2025-06-30T00:00:00"/>
  </r>
  <r>
    <n v="1011"/>
    <x v="336"/>
    <n v="3"/>
    <x v="0"/>
    <x v="1"/>
    <n v="29"/>
    <x v="2"/>
    <x v="3"/>
    <x v="1"/>
    <d v="2025-04-01T00:00:00"/>
    <x v="3"/>
    <s v="Tue"/>
    <s v="Jan–Jun 2025"/>
    <x v="2"/>
    <s v="Beginner"/>
    <n v="4"/>
    <n v="0.8125"/>
    <n v="80"/>
    <x v="2"/>
    <x v="1"/>
    <n v="0"/>
    <x v="0"/>
    <x v="0"/>
    <d v="2025-06-30T00:00:00"/>
  </r>
  <r>
    <n v="1012"/>
    <x v="337"/>
    <n v="1"/>
    <x v="0"/>
    <x v="1"/>
    <n v="26"/>
    <x v="2"/>
    <x v="0"/>
    <x v="1"/>
    <d v="2025-01-20T00:00:00"/>
    <x v="2"/>
    <s v="Mon"/>
    <s v="Jan–Jun 2025"/>
    <x v="0"/>
    <s v="Beginner"/>
    <n v="4"/>
    <n v="0.85416666666666663"/>
    <n v="76.5"/>
    <x v="1"/>
    <x v="0"/>
    <n v="1"/>
    <x v="0"/>
    <x v="0"/>
    <d v="2025-06-30T00:00:00"/>
  </r>
  <r>
    <n v="1013"/>
    <x v="337"/>
    <n v="2"/>
    <x v="2"/>
    <x v="1"/>
    <n v="26"/>
    <x v="2"/>
    <x v="0"/>
    <x v="1"/>
    <d v="2025-01-20T00:00:00"/>
    <x v="2"/>
    <s v="Mon"/>
    <s v="Jan–Jun 2025"/>
    <x v="1"/>
    <s v="Beginner"/>
    <n v="4"/>
    <n v="0.89583333333333337"/>
    <n v="88"/>
    <x v="2"/>
    <x v="0"/>
    <n v="1"/>
    <x v="0"/>
    <x v="0"/>
    <d v="2025-06-30T00:00:00"/>
  </r>
  <r>
    <n v="1014"/>
    <x v="337"/>
    <n v="3"/>
    <x v="2"/>
    <x v="1"/>
    <n v="26"/>
    <x v="2"/>
    <x v="0"/>
    <x v="1"/>
    <d v="2025-01-20T00:00:00"/>
    <x v="2"/>
    <s v="Mon"/>
    <s v="Jan–Jun 2025"/>
    <x v="2"/>
    <s v="Beginner"/>
    <n v="4"/>
    <n v="0.875"/>
    <n v="74"/>
    <x v="1"/>
    <x v="0"/>
    <n v="1"/>
    <x v="0"/>
    <x v="0"/>
    <d v="2025-06-30T00:00:00"/>
  </r>
  <r>
    <n v="1015"/>
    <x v="338"/>
    <n v="1"/>
    <x v="2"/>
    <x v="1"/>
    <n v="29"/>
    <x v="2"/>
    <x v="2"/>
    <x v="2"/>
    <d v="2025-01-08T00:00:00"/>
    <x v="2"/>
    <s v="Wed"/>
    <s v="Jan–Jun 2025"/>
    <x v="0"/>
    <s v="Beginner"/>
    <n v="4"/>
    <n v="0.79166666666666663"/>
    <n v="52"/>
    <x v="0"/>
    <x v="0"/>
    <n v="1"/>
    <x v="1"/>
    <x v="0"/>
    <d v="2025-06-30T00:00:00"/>
  </r>
  <r>
    <n v="1016"/>
    <x v="338"/>
    <n v="2"/>
    <x v="0"/>
    <x v="1"/>
    <n v="29"/>
    <x v="2"/>
    <x v="2"/>
    <x v="2"/>
    <d v="2025-01-08T00:00:00"/>
    <x v="2"/>
    <s v="Wed"/>
    <s v="Jan–Jun 2025"/>
    <x v="1"/>
    <s v="Beginner"/>
    <n v="4"/>
    <n v="0.83333333333333337"/>
    <n v="65.5"/>
    <x v="1"/>
    <x v="0"/>
    <n v="1"/>
    <x v="1"/>
    <x v="0"/>
    <d v="2025-06-30T00:00:00"/>
  </r>
  <r>
    <n v="1017"/>
    <x v="338"/>
    <n v="3"/>
    <x v="0"/>
    <x v="1"/>
    <n v="29"/>
    <x v="2"/>
    <x v="2"/>
    <x v="2"/>
    <d v="2025-01-08T00:00:00"/>
    <x v="2"/>
    <s v="Wed"/>
    <s v="Jan–Jun 2025"/>
    <x v="2"/>
    <s v="Beginner"/>
    <n v="4"/>
    <n v="0.83333333333333337"/>
    <n v="74"/>
    <x v="1"/>
    <x v="0"/>
    <n v="1"/>
    <x v="1"/>
    <x v="0"/>
    <d v="2025-06-30T00:00:00"/>
  </r>
  <r>
    <n v="1018"/>
    <x v="339"/>
    <n v="1"/>
    <x v="0"/>
    <x v="0"/>
    <n v="32"/>
    <x v="1"/>
    <x v="1"/>
    <x v="2"/>
    <d v="2025-01-18T00:00:00"/>
    <x v="2"/>
    <s v="Sat"/>
    <s v="Jan–Jun 2025"/>
    <x v="0"/>
    <s v="Beginner"/>
    <n v="4"/>
    <n v="0.83333333333333337"/>
    <n v="62"/>
    <x v="1"/>
    <x v="0"/>
    <n v="1"/>
    <x v="1"/>
    <x v="0"/>
    <d v="2025-06-30T00:00:00"/>
  </r>
  <r>
    <n v="1019"/>
    <x v="339"/>
    <n v="2"/>
    <x v="0"/>
    <x v="0"/>
    <n v="32"/>
    <x v="1"/>
    <x v="1"/>
    <x v="2"/>
    <d v="2025-01-18T00:00:00"/>
    <x v="2"/>
    <s v="Sat"/>
    <s v="Jan–Jun 2025"/>
    <x v="1"/>
    <s v="Beginner"/>
    <n v="4"/>
    <n v="0.79166666666666663"/>
    <n v="86"/>
    <x v="2"/>
    <x v="0"/>
    <n v="1"/>
    <x v="1"/>
    <x v="0"/>
    <d v="2025-06-30T00:00:00"/>
  </r>
  <r>
    <n v="1020"/>
    <x v="339"/>
    <n v="3"/>
    <x v="2"/>
    <x v="0"/>
    <n v="32"/>
    <x v="1"/>
    <x v="1"/>
    <x v="2"/>
    <d v="2025-01-18T00:00:00"/>
    <x v="2"/>
    <s v="Sat"/>
    <s v="Jan–Jun 2025"/>
    <x v="2"/>
    <s v="Beginner"/>
    <n v="4"/>
    <n v="0.875"/>
    <n v="82.5"/>
    <x v="2"/>
    <x v="0"/>
    <n v="1"/>
    <x v="1"/>
    <x v="0"/>
    <d v="2025-06-30T00:00:00"/>
  </r>
  <r>
    <n v="1021"/>
    <x v="340"/>
    <n v="1"/>
    <x v="0"/>
    <x v="0"/>
    <n v="29"/>
    <x v="2"/>
    <x v="5"/>
    <x v="3"/>
    <d v="2025-05-26T00:00:00"/>
    <x v="1"/>
    <s v="Mon"/>
    <s v="Jan–Jun 2025"/>
    <x v="0"/>
    <s v="Beginner"/>
    <n v="4"/>
    <n v="0.89583333333333337"/>
    <n v="57"/>
    <x v="0"/>
    <x v="0"/>
    <n v="1"/>
    <x v="1"/>
    <x v="0"/>
    <d v="2025-06-30T00:00:00"/>
  </r>
  <r>
    <n v="1022"/>
    <x v="340"/>
    <n v="2"/>
    <x v="0"/>
    <x v="0"/>
    <n v="29"/>
    <x v="2"/>
    <x v="5"/>
    <x v="3"/>
    <d v="2025-05-26T00:00:00"/>
    <x v="1"/>
    <s v="Mon"/>
    <s v="Jan–Jun 2025"/>
    <x v="1"/>
    <s v="Beginner"/>
    <n v="4"/>
    <n v="0.9375"/>
    <n v="60"/>
    <x v="1"/>
    <x v="0"/>
    <n v="1"/>
    <x v="1"/>
    <x v="0"/>
    <d v="2025-06-30T00:00:00"/>
  </r>
  <r>
    <n v="1023"/>
    <x v="340"/>
    <n v="3"/>
    <x v="0"/>
    <x v="0"/>
    <n v="29"/>
    <x v="2"/>
    <x v="5"/>
    <x v="3"/>
    <d v="2025-05-26T00:00:00"/>
    <x v="1"/>
    <s v="Mon"/>
    <s v="Jan–Jun 2025"/>
    <x v="2"/>
    <s v="Beginner"/>
    <n v="4"/>
    <n v="0.77083333333333337"/>
    <n v="76"/>
    <x v="1"/>
    <x v="0"/>
    <n v="1"/>
    <x v="1"/>
    <x v="0"/>
    <d v="2025-06-30T00:00:00"/>
  </r>
  <r>
    <n v="1024"/>
    <x v="341"/>
    <n v="1"/>
    <x v="0"/>
    <x v="0"/>
    <n v="22"/>
    <x v="0"/>
    <x v="0"/>
    <x v="3"/>
    <d v="2025-04-05T00:00:00"/>
    <x v="3"/>
    <s v="Sat"/>
    <s v="Jan–Jun 2025"/>
    <x v="0"/>
    <s v="Beginner"/>
    <n v="4"/>
    <n v="0.8125"/>
    <n v="89.5"/>
    <x v="2"/>
    <x v="0"/>
    <n v="1"/>
    <x v="0"/>
    <x v="0"/>
    <d v="2025-06-30T00:00:00"/>
  </r>
  <r>
    <n v="1025"/>
    <x v="341"/>
    <n v="2"/>
    <x v="0"/>
    <x v="0"/>
    <n v="22"/>
    <x v="0"/>
    <x v="0"/>
    <x v="3"/>
    <d v="2025-04-05T00:00:00"/>
    <x v="3"/>
    <s v="Sat"/>
    <s v="Jan–Jun 2025"/>
    <x v="1"/>
    <s v="Beginner"/>
    <n v="4"/>
    <n v="0.8125"/>
    <n v="70"/>
    <x v="1"/>
    <x v="0"/>
    <n v="1"/>
    <x v="0"/>
    <x v="0"/>
    <d v="2025-06-30T00:00:00"/>
  </r>
  <r>
    <n v="1026"/>
    <x v="341"/>
    <n v="3"/>
    <x v="0"/>
    <x v="0"/>
    <n v="22"/>
    <x v="0"/>
    <x v="0"/>
    <x v="3"/>
    <d v="2025-04-05T00:00:00"/>
    <x v="3"/>
    <s v="Sat"/>
    <s v="Jan–Jun 2025"/>
    <x v="2"/>
    <s v="Beginner"/>
    <n v="4"/>
    <n v="0.85416666666666663"/>
    <n v="81"/>
    <x v="2"/>
    <x v="0"/>
    <n v="1"/>
    <x v="0"/>
    <x v="0"/>
    <d v="2025-06-30T00:00:00"/>
  </r>
  <r>
    <n v="1027"/>
    <x v="342"/>
    <n v="1"/>
    <x v="1"/>
    <x v="1"/>
    <n v="32"/>
    <x v="1"/>
    <x v="1"/>
    <x v="2"/>
    <d v="2025-05-16T00:00:00"/>
    <x v="1"/>
    <s v="Fri"/>
    <s v="Jan–Jun 2025"/>
    <x v="0"/>
    <s v="Beginner"/>
    <n v="4"/>
    <n v="0.77083333333333337"/>
    <n v="68.5"/>
    <x v="1"/>
    <x v="0"/>
    <n v="1"/>
    <x v="0"/>
    <x v="1"/>
    <d v="2025-06-30T00:00:00"/>
  </r>
  <r>
    <n v="1028"/>
    <x v="342"/>
    <n v="2"/>
    <x v="0"/>
    <x v="1"/>
    <n v="32"/>
    <x v="1"/>
    <x v="1"/>
    <x v="2"/>
    <d v="2025-05-16T00:00:00"/>
    <x v="1"/>
    <s v="Fri"/>
    <s v="Jan–Jun 2025"/>
    <x v="1"/>
    <s v="Beginner"/>
    <n v="4"/>
    <n v="0.85416666666666663"/>
    <n v="70.5"/>
    <x v="1"/>
    <x v="0"/>
    <n v="1"/>
    <x v="0"/>
    <x v="1"/>
    <d v="2025-06-30T00:00:00"/>
  </r>
  <r>
    <n v="1029"/>
    <x v="342"/>
    <n v="3"/>
    <x v="0"/>
    <x v="1"/>
    <n v="32"/>
    <x v="1"/>
    <x v="1"/>
    <x v="2"/>
    <d v="2025-05-16T00:00:00"/>
    <x v="1"/>
    <s v="Fri"/>
    <s v="Jan–Jun 2025"/>
    <x v="2"/>
    <s v="Beginner"/>
    <n v="4"/>
    <n v="0.83333333333333337"/>
    <n v="67"/>
    <x v="1"/>
    <x v="0"/>
    <n v="1"/>
    <x v="0"/>
    <x v="1"/>
    <d v="2025-06-30T00:00:00"/>
  </r>
  <r>
    <n v="1030"/>
    <x v="343"/>
    <n v="1"/>
    <x v="0"/>
    <x v="1"/>
    <n v="30"/>
    <x v="1"/>
    <x v="5"/>
    <x v="0"/>
    <d v="2025-03-05T00:00:00"/>
    <x v="0"/>
    <s v="Wed"/>
    <s v="Jan–Jun 2025"/>
    <x v="0"/>
    <s v="Beginner"/>
    <n v="4"/>
    <n v="0.9375"/>
    <n v="51.5"/>
    <x v="0"/>
    <x v="1"/>
    <n v="0"/>
    <x v="0"/>
    <x v="0"/>
    <d v="2025-06-30T00:00:00"/>
  </r>
  <r>
    <n v="1031"/>
    <x v="343"/>
    <n v="2"/>
    <x v="0"/>
    <x v="1"/>
    <n v="30"/>
    <x v="1"/>
    <x v="5"/>
    <x v="0"/>
    <d v="2025-03-05T00:00:00"/>
    <x v="0"/>
    <s v="Wed"/>
    <s v="Jan–Jun 2025"/>
    <x v="1"/>
    <s v="Beginner"/>
    <n v="4"/>
    <n v="0.89583333333333337"/>
    <n v="56.5"/>
    <x v="0"/>
    <x v="1"/>
    <n v="0"/>
    <x v="0"/>
    <x v="0"/>
    <d v="2025-06-30T00:00:00"/>
  </r>
  <r>
    <n v="1032"/>
    <x v="343"/>
    <n v="3"/>
    <x v="0"/>
    <x v="1"/>
    <n v="30"/>
    <x v="1"/>
    <x v="5"/>
    <x v="0"/>
    <d v="2025-03-05T00:00:00"/>
    <x v="0"/>
    <s v="Wed"/>
    <s v="Jan–Jun 2025"/>
    <x v="2"/>
    <s v="Beginner"/>
    <n v="4"/>
    <n v="0.75"/>
    <n v="64.5"/>
    <x v="1"/>
    <x v="1"/>
    <n v="0"/>
    <x v="0"/>
    <x v="0"/>
    <d v="2025-06-30T00:00:00"/>
  </r>
  <r>
    <n v="1033"/>
    <x v="344"/>
    <n v="1"/>
    <x v="2"/>
    <x v="0"/>
    <n v="18"/>
    <x v="0"/>
    <x v="0"/>
    <x v="2"/>
    <d v="2025-05-08T00:00:00"/>
    <x v="1"/>
    <s v="Thu"/>
    <s v="Jan–Jun 2025"/>
    <x v="0"/>
    <s v="Beginner"/>
    <n v="4"/>
    <n v="0.875"/>
    <n v="70.5"/>
    <x v="1"/>
    <x v="0"/>
    <n v="1"/>
    <x v="1"/>
    <x v="0"/>
    <d v="2025-06-30T00:00:00"/>
  </r>
  <r>
    <n v="1034"/>
    <x v="344"/>
    <n v="2"/>
    <x v="2"/>
    <x v="0"/>
    <n v="18"/>
    <x v="0"/>
    <x v="0"/>
    <x v="2"/>
    <d v="2025-05-08T00:00:00"/>
    <x v="1"/>
    <s v="Thu"/>
    <s v="Jan–Jun 2025"/>
    <x v="1"/>
    <s v="Beginner"/>
    <n v="4"/>
    <n v="0.83333333333333337"/>
    <n v="81.5"/>
    <x v="2"/>
    <x v="0"/>
    <n v="1"/>
    <x v="1"/>
    <x v="0"/>
    <d v="2025-06-30T00:00:00"/>
  </r>
  <r>
    <n v="1035"/>
    <x v="344"/>
    <n v="3"/>
    <x v="2"/>
    <x v="0"/>
    <n v="18"/>
    <x v="0"/>
    <x v="0"/>
    <x v="2"/>
    <d v="2025-05-08T00:00:00"/>
    <x v="1"/>
    <s v="Thu"/>
    <s v="Jan–Jun 2025"/>
    <x v="2"/>
    <s v="Beginner"/>
    <n v="4"/>
    <n v="0.70833333333333337"/>
    <n v="70.5"/>
    <x v="1"/>
    <x v="0"/>
    <n v="1"/>
    <x v="1"/>
    <x v="0"/>
    <d v="2025-06-30T00:00:00"/>
  </r>
  <r>
    <n v="1036"/>
    <x v="345"/>
    <n v="1"/>
    <x v="0"/>
    <x v="1"/>
    <n v="35"/>
    <x v="1"/>
    <x v="1"/>
    <x v="0"/>
    <d v="2025-03-08T00:00:00"/>
    <x v="0"/>
    <s v="Sat"/>
    <s v="Jan–Jun 2025"/>
    <x v="0"/>
    <s v="Beginner"/>
    <n v="4"/>
    <n v="0.83333333333333337"/>
    <n v="82"/>
    <x v="2"/>
    <x v="0"/>
    <n v="1"/>
    <x v="1"/>
    <x v="0"/>
    <d v="2025-06-30T00:00:00"/>
  </r>
  <r>
    <n v="1037"/>
    <x v="345"/>
    <n v="2"/>
    <x v="2"/>
    <x v="1"/>
    <n v="35"/>
    <x v="1"/>
    <x v="1"/>
    <x v="0"/>
    <d v="2025-03-08T00:00:00"/>
    <x v="0"/>
    <s v="Sat"/>
    <s v="Jan–Jun 2025"/>
    <x v="1"/>
    <s v="Beginner"/>
    <n v="4"/>
    <n v="0.77083333333333337"/>
    <n v="85"/>
    <x v="2"/>
    <x v="0"/>
    <n v="1"/>
    <x v="1"/>
    <x v="0"/>
    <d v="2025-06-30T00:00:00"/>
  </r>
  <r>
    <n v="1038"/>
    <x v="345"/>
    <n v="3"/>
    <x v="0"/>
    <x v="1"/>
    <n v="35"/>
    <x v="1"/>
    <x v="1"/>
    <x v="0"/>
    <d v="2025-03-08T00:00:00"/>
    <x v="0"/>
    <s v="Sat"/>
    <s v="Jan–Jun 2025"/>
    <x v="2"/>
    <s v="Beginner"/>
    <n v="4"/>
    <n v="0.875"/>
    <n v="70"/>
    <x v="1"/>
    <x v="0"/>
    <n v="1"/>
    <x v="1"/>
    <x v="0"/>
    <d v="2025-06-30T00:00:00"/>
  </r>
  <r>
    <n v="1039"/>
    <x v="346"/>
    <n v="1"/>
    <x v="0"/>
    <x v="1"/>
    <n v="24"/>
    <x v="0"/>
    <x v="2"/>
    <x v="0"/>
    <d v="2025-05-06T00:00:00"/>
    <x v="1"/>
    <s v="Tue"/>
    <s v="Jan–Jun 2025"/>
    <x v="0"/>
    <s v="Beginner"/>
    <n v="4"/>
    <n v="0.77083333333333337"/>
    <n v="95.5"/>
    <x v="2"/>
    <x v="0"/>
    <n v="1"/>
    <x v="1"/>
    <x v="0"/>
    <d v="2025-06-30T00:00:00"/>
  </r>
  <r>
    <n v="1040"/>
    <x v="346"/>
    <n v="2"/>
    <x v="0"/>
    <x v="1"/>
    <n v="24"/>
    <x v="0"/>
    <x v="2"/>
    <x v="0"/>
    <d v="2025-05-06T00:00:00"/>
    <x v="1"/>
    <s v="Tue"/>
    <s v="Jan–Jun 2025"/>
    <x v="1"/>
    <s v="Beginner"/>
    <n v="4"/>
    <n v="0.77083333333333337"/>
    <n v="86"/>
    <x v="2"/>
    <x v="0"/>
    <n v="1"/>
    <x v="1"/>
    <x v="0"/>
    <d v="2025-06-30T00:00:00"/>
  </r>
  <r>
    <n v="1041"/>
    <x v="346"/>
    <n v="3"/>
    <x v="0"/>
    <x v="1"/>
    <n v="24"/>
    <x v="0"/>
    <x v="2"/>
    <x v="0"/>
    <d v="2025-05-06T00:00:00"/>
    <x v="1"/>
    <s v="Tue"/>
    <s v="Jan–Jun 2025"/>
    <x v="2"/>
    <s v="Beginner"/>
    <n v="4"/>
    <n v="0.8125"/>
    <n v="89.5"/>
    <x v="2"/>
    <x v="0"/>
    <n v="1"/>
    <x v="1"/>
    <x v="0"/>
    <d v="2025-06-30T00:00:00"/>
  </r>
  <r>
    <n v="1042"/>
    <x v="347"/>
    <n v="1"/>
    <x v="0"/>
    <x v="0"/>
    <n v="21"/>
    <x v="0"/>
    <x v="4"/>
    <x v="1"/>
    <d v="2025-04-26T00:00:00"/>
    <x v="3"/>
    <s v="Sat"/>
    <s v="Jan–Jun 2025"/>
    <x v="0"/>
    <s v="Beginner"/>
    <n v="4"/>
    <n v="0.79166666666666663"/>
    <n v="67"/>
    <x v="1"/>
    <x v="0"/>
    <n v="1"/>
    <x v="0"/>
    <x v="1"/>
    <d v="2025-06-30T00:00:00"/>
  </r>
  <r>
    <n v="1043"/>
    <x v="347"/>
    <n v="2"/>
    <x v="0"/>
    <x v="0"/>
    <n v="21"/>
    <x v="0"/>
    <x v="4"/>
    <x v="1"/>
    <d v="2025-04-26T00:00:00"/>
    <x v="3"/>
    <s v="Sat"/>
    <s v="Jan–Jun 2025"/>
    <x v="1"/>
    <s v="Beginner"/>
    <n v="4"/>
    <n v="0.85416666666666663"/>
    <n v="90"/>
    <x v="2"/>
    <x v="0"/>
    <n v="1"/>
    <x v="0"/>
    <x v="1"/>
    <d v="2025-06-30T00:00:00"/>
  </r>
  <r>
    <n v="1044"/>
    <x v="347"/>
    <n v="3"/>
    <x v="0"/>
    <x v="0"/>
    <n v="21"/>
    <x v="0"/>
    <x v="4"/>
    <x v="1"/>
    <d v="2025-04-26T00:00:00"/>
    <x v="3"/>
    <s v="Sat"/>
    <s v="Jan–Jun 2025"/>
    <x v="2"/>
    <s v="Beginner"/>
    <n v="4"/>
    <n v="0.85416666666666663"/>
    <n v="75"/>
    <x v="1"/>
    <x v="0"/>
    <n v="1"/>
    <x v="0"/>
    <x v="1"/>
    <d v="2025-06-30T00:00:00"/>
  </r>
  <r>
    <n v="1045"/>
    <x v="348"/>
    <n v="1"/>
    <x v="1"/>
    <x v="0"/>
    <n v="32"/>
    <x v="1"/>
    <x v="1"/>
    <x v="0"/>
    <d v="2025-03-30T00:00:00"/>
    <x v="0"/>
    <s v="Sun"/>
    <s v="Jan–Jun 2025"/>
    <x v="0"/>
    <s v="Beginner"/>
    <n v="4"/>
    <n v="0.875"/>
    <n v="71.5"/>
    <x v="1"/>
    <x v="0"/>
    <n v="1"/>
    <x v="1"/>
    <x v="1"/>
    <d v="2025-06-30T00:00:00"/>
  </r>
  <r>
    <n v="1046"/>
    <x v="348"/>
    <n v="2"/>
    <x v="0"/>
    <x v="0"/>
    <n v="32"/>
    <x v="1"/>
    <x v="1"/>
    <x v="0"/>
    <d v="2025-03-30T00:00:00"/>
    <x v="0"/>
    <s v="Sun"/>
    <s v="Jan–Jun 2025"/>
    <x v="1"/>
    <s v="Beginner"/>
    <n v="4"/>
    <n v="0.79166666666666663"/>
    <n v="81"/>
    <x v="2"/>
    <x v="0"/>
    <n v="1"/>
    <x v="1"/>
    <x v="1"/>
    <d v="2025-06-30T00:00:00"/>
  </r>
  <r>
    <n v="1047"/>
    <x v="348"/>
    <n v="3"/>
    <x v="0"/>
    <x v="0"/>
    <n v="32"/>
    <x v="1"/>
    <x v="1"/>
    <x v="0"/>
    <d v="2025-03-30T00:00:00"/>
    <x v="0"/>
    <s v="Sun"/>
    <s v="Jan–Jun 2025"/>
    <x v="2"/>
    <s v="Beginner"/>
    <n v="4"/>
    <n v="0.875"/>
    <n v="91"/>
    <x v="2"/>
    <x v="0"/>
    <n v="1"/>
    <x v="1"/>
    <x v="1"/>
    <d v="2025-06-30T00:00:00"/>
  </r>
  <r>
    <n v="1048"/>
    <x v="349"/>
    <n v="1"/>
    <x v="0"/>
    <x v="0"/>
    <n v="35"/>
    <x v="1"/>
    <x v="2"/>
    <x v="0"/>
    <d v="2025-03-18T00:00:00"/>
    <x v="0"/>
    <s v="Tue"/>
    <s v="Jan–Jun 2025"/>
    <x v="0"/>
    <s v="Beginner"/>
    <n v="4"/>
    <n v="0.79166666666666663"/>
    <n v="49.5"/>
    <x v="0"/>
    <x v="0"/>
    <n v="1"/>
    <x v="0"/>
    <x v="0"/>
    <d v="2025-06-30T00:00:00"/>
  </r>
  <r>
    <n v="1049"/>
    <x v="349"/>
    <n v="2"/>
    <x v="2"/>
    <x v="0"/>
    <n v="35"/>
    <x v="1"/>
    <x v="2"/>
    <x v="0"/>
    <d v="2025-03-18T00:00:00"/>
    <x v="0"/>
    <s v="Tue"/>
    <s v="Jan–Jun 2025"/>
    <x v="1"/>
    <s v="Beginner"/>
    <n v="4"/>
    <n v="0.75"/>
    <n v="72.5"/>
    <x v="1"/>
    <x v="0"/>
    <n v="1"/>
    <x v="0"/>
    <x v="0"/>
    <d v="2025-06-30T00:00:00"/>
  </r>
  <r>
    <n v="1050"/>
    <x v="349"/>
    <n v="3"/>
    <x v="0"/>
    <x v="0"/>
    <n v="35"/>
    <x v="1"/>
    <x v="2"/>
    <x v="0"/>
    <d v="2025-03-18T00:00:00"/>
    <x v="0"/>
    <s v="Tue"/>
    <s v="Jan–Jun 2025"/>
    <x v="2"/>
    <s v="Beginner"/>
    <n v="4"/>
    <n v="0.85416666666666663"/>
    <n v="67"/>
    <x v="1"/>
    <x v="0"/>
    <n v="1"/>
    <x v="0"/>
    <x v="0"/>
    <d v="2025-06-30T00:00:00"/>
  </r>
  <r>
    <n v="1051"/>
    <x v="350"/>
    <n v="1"/>
    <x v="0"/>
    <x v="0"/>
    <n v="23"/>
    <x v="0"/>
    <x v="5"/>
    <x v="2"/>
    <d v="2025-02-01T00:00:00"/>
    <x v="4"/>
    <s v="Sat"/>
    <s v="Jan–Jun 2025"/>
    <x v="0"/>
    <s v="Beginner"/>
    <n v="4"/>
    <n v="0.875"/>
    <n v="53.5"/>
    <x v="0"/>
    <x v="0"/>
    <n v="1"/>
    <x v="1"/>
    <x v="0"/>
    <d v="2025-06-30T00:00:00"/>
  </r>
  <r>
    <n v="1052"/>
    <x v="350"/>
    <n v="2"/>
    <x v="2"/>
    <x v="0"/>
    <n v="23"/>
    <x v="0"/>
    <x v="5"/>
    <x v="2"/>
    <d v="2025-02-01T00:00:00"/>
    <x v="4"/>
    <s v="Sat"/>
    <s v="Jan–Jun 2025"/>
    <x v="1"/>
    <s v="Beginner"/>
    <n v="4"/>
    <n v="0.9375"/>
    <n v="73"/>
    <x v="1"/>
    <x v="0"/>
    <n v="1"/>
    <x v="1"/>
    <x v="0"/>
    <d v="2025-06-30T00:00:00"/>
  </r>
  <r>
    <n v="1053"/>
    <x v="350"/>
    <n v="3"/>
    <x v="0"/>
    <x v="0"/>
    <n v="23"/>
    <x v="0"/>
    <x v="5"/>
    <x v="2"/>
    <d v="2025-02-01T00:00:00"/>
    <x v="4"/>
    <s v="Sat"/>
    <s v="Jan–Jun 2025"/>
    <x v="2"/>
    <s v="Beginner"/>
    <n v="4"/>
    <n v="0.83333333333333337"/>
    <n v="85.5"/>
    <x v="2"/>
    <x v="0"/>
    <n v="1"/>
    <x v="1"/>
    <x v="0"/>
    <d v="2025-06-30T00:00:00"/>
  </r>
  <r>
    <n v="1054"/>
    <x v="351"/>
    <n v="1"/>
    <x v="0"/>
    <x v="0"/>
    <n v="22"/>
    <x v="0"/>
    <x v="4"/>
    <x v="3"/>
    <d v="2025-01-07T00:00:00"/>
    <x v="2"/>
    <s v="Tue"/>
    <s v="Jan–Jun 2025"/>
    <x v="0"/>
    <s v="Beginner"/>
    <n v="4"/>
    <n v="0.8125"/>
    <n v="61"/>
    <x v="1"/>
    <x v="0"/>
    <n v="1"/>
    <x v="1"/>
    <x v="0"/>
    <d v="2025-06-30T00:00:00"/>
  </r>
  <r>
    <n v="1055"/>
    <x v="351"/>
    <n v="2"/>
    <x v="2"/>
    <x v="0"/>
    <n v="22"/>
    <x v="0"/>
    <x v="4"/>
    <x v="3"/>
    <d v="2025-01-07T00:00:00"/>
    <x v="2"/>
    <s v="Tue"/>
    <s v="Jan–Jun 2025"/>
    <x v="1"/>
    <s v="Beginner"/>
    <n v="4"/>
    <n v="0.89583333333333337"/>
    <n v="80.5"/>
    <x v="2"/>
    <x v="0"/>
    <n v="1"/>
    <x v="1"/>
    <x v="0"/>
    <d v="2025-06-30T00:00:00"/>
  </r>
  <r>
    <n v="1056"/>
    <x v="351"/>
    <n v="3"/>
    <x v="1"/>
    <x v="0"/>
    <n v="22"/>
    <x v="0"/>
    <x v="4"/>
    <x v="3"/>
    <d v="2025-01-07T00:00:00"/>
    <x v="2"/>
    <s v="Tue"/>
    <s v="Jan–Jun 2025"/>
    <x v="2"/>
    <s v="Beginner"/>
    <n v="4"/>
    <n v="0.70833333333333337"/>
    <n v="65.5"/>
    <x v="1"/>
    <x v="0"/>
    <n v="1"/>
    <x v="1"/>
    <x v="0"/>
    <d v="2025-06-30T00:00:00"/>
  </r>
  <r>
    <n v="1057"/>
    <x v="352"/>
    <n v="1"/>
    <x v="0"/>
    <x v="1"/>
    <n v="35"/>
    <x v="1"/>
    <x v="2"/>
    <x v="0"/>
    <d v="2025-04-30T00:00:00"/>
    <x v="3"/>
    <s v="Wed"/>
    <s v="Jan–Jun 2025"/>
    <x v="0"/>
    <s v="Beginner"/>
    <n v="4"/>
    <n v="0.79166666666666663"/>
    <n v="78.5"/>
    <x v="1"/>
    <x v="0"/>
    <n v="1"/>
    <x v="1"/>
    <x v="0"/>
    <d v="2025-06-30T00:00:00"/>
  </r>
  <r>
    <n v="1058"/>
    <x v="352"/>
    <n v="2"/>
    <x v="2"/>
    <x v="1"/>
    <n v="35"/>
    <x v="1"/>
    <x v="2"/>
    <x v="0"/>
    <d v="2025-04-30T00:00:00"/>
    <x v="3"/>
    <s v="Wed"/>
    <s v="Jan–Jun 2025"/>
    <x v="1"/>
    <s v="Beginner"/>
    <n v="4"/>
    <n v="0.8125"/>
    <n v="75"/>
    <x v="1"/>
    <x v="0"/>
    <n v="1"/>
    <x v="1"/>
    <x v="0"/>
    <d v="2025-06-30T00:00:00"/>
  </r>
  <r>
    <n v="1059"/>
    <x v="352"/>
    <n v="3"/>
    <x v="0"/>
    <x v="1"/>
    <n v="35"/>
    <x v="1"/>
    <x v="2"/>
    <x v="0"/>
    <d v="2025-04-30T00:00:00"/>
    <x v="3"/>
    <s v="Wed"/>
    <s v="Jan–Jun 2025"/>
    <x v="2"/>
    <s v="Beginner"/>
    <n v="4"/>
    <n v="0.8125"/>
    <n v="59"/>
    <x v="0"/>
    <x v="0"/>
    <n v="1"/>
    <x v="1"/>
    <x v="0"/>
    <d v="2025-06-30T00:00:00"/>
  </r>
  <r>
    <n v="1060"/>
    <x v="353"/>
    <n v="1"/>
    <x v="0"/>
    <x v="0"/>
    <n v="20"/>
    <x v="0"/>
    <x v="1"/>
    <x v="0"/>
    <d v="2025-04-12T00:00:00"/>
    <x v="3"/>
    <s v="Sat"/>
    <s v="Jan–Jun 2025"/>
    <x v="0"/>
    <s v="Beginner"/>
    <n v="4"/>
    <n v="0.8125"/>
    <n v="73"/>
    <x v="1"/>
    <x v="0"/>
    <n v="1"/>
    <x v="1"/>
    <x v="0"/>
    <d v="2025-06-30T00:00:00"/>
  </r>
  <r>
    <n v="1061"/>
    <x v="353"/>
    <n v="2"/>
    <x v="0"/>
    <x v="0"/>
    <n v="20"/>
    <x v="0"/>
    <x v="1"/>
    <x v="0"/>
    <d v="2025-04-12T00:00:00"/>
    <x v="3"/>
    <s v="Sat"/>
    <s v="Jan–Jun 2025"/>
    <x v="1"/>
    <s v="Beginner"/>
    <n v="4"/>
    <n v="0.6875"/>
    <n v="62"/>
    <x v="1"/>
    <x v="0"/>
    <n v="1"/>
    <x v="1"/>
    <x v="0"/>
    <d v="2025-06-30T00:00:00"/>
  </r>
  <r>
    <n v="1062"/>
    <x v="353"/>
    <n v="3"/>
    <x v="0"/>
    <x v="0"/>
    <n v="20"/>
    <x v="0"/>
    <x v="1"/>
    <x v="0"/>
    <d v="2025-04-12T00:00:00"/>
    <x v="3"/>
    <s v="Sat"/>
    <s v="Jan–Jun 2025"/>
    <x v="2"/>
    <s v="Beginner"/>
    <n v="4"/>
    <n v="0.83333333333333337"/>
    <n v="80"/>
    <x v="2"/>
    <x v="0"/>
    <n v="1"/>
    <x v="1"/>
    <x v="0"/>
    <d v="2025-06-30T00:00:00"/>
  </r>
  <r>
    <n v="1063"/>
    <x v="354"/>
    <n v="1"/>
    <x v="0"/>
    <x v="1"/>
    <n v="34"/>
    <x v="1"/>
    <x v="3"/>
    <x v="3"/>
    <d v="2025-05-28T00:00:00"/>
    <x v="1"/>
    <s v="Wed"/>
    <s v="Jan–Jun 2025"/>
    <x v="0"/>
    <s v="Beginner"/>
    <n v="4"/>
    <n v="0.85416666666666663"/>
    <n v="67"/>
    <x v="1"/>
    <x v="0"/>
    <n v="1"/>
    <x v="0"/>
    <x v="0"/>
    <d v="2025-06-30T00:00:00"/>
  </r>
  <r>
    <n v="1064"/>
    <x v="354"/>
    <n v="2"/>
    <x v="2"/>
    <x v="1"/>
    <n v="34"/>
    <x v="1"/>
    <x v="3"/>
    <x v="3"/>
    <d v="2025-05-28T00:00:00"/>
    <x v="1"/>
    <s v="Wed"/>
    <s v="Jan–Jun 2025"/>
    <x v="1"/>
    <s v="Beginner"/>
    <n v="4"/>
    <n v="0.83333333333333337"/>
    <n v="91"/>
    <x v="2"/>
    <x v="0"/>
    <n v="1"/>
    <x v="0"/>
    <x v="0"/>
    <d v="2025-06-30T00:00:00"/>
  </r>
  <r>
    <n v="1065"/>
    <x v="354"/>
    <n v="3"/>
    <x v="0"/>
    <x v="1"/>
    <n v="34"/>
    <x v="1"/>
    <x v="3"/>
    <x v="3"/>
    <d v="2025-05-28T00:00:00"/>
    <x v="1"/>
    <s v="Wed"/>
    <s v="Jan–Jun 2025"/>
    <x v="2"/>
    <s v="Beginner"/>
    <n v="4"/>
    <n v="0.83333333333333337"/>
    <n v="62.5"/>
    <x v="1"/>
    <x v="0"/>
    <n v="1"/>
    <x v="0"/>
    <x v="0"/>
    <d v="2025-06-30T00:00:00"/>
  </r>
  <r>
    <n v="1066"/>
    <x v="355"/>
    <n v="1"/>
    <x v="0"/>
    <x v="0"/>
    <n v="22"/>
    <x v="0"/>
    <x v="5"/>
    <x v="1"/>
    <d v="2025-04-26T00:00:00"/>
    <x v="3"/>
    <s v="Sat"/>
    <s v="Jan–Jun 2025"/>
    <x v="0"/>
    <s v="Beginner"/>
    <n v="4"/>
    <n v="0.79166666666666663"/>
    <n v="92"/>
    <x v="2"/>
    <x v="1"/>
    <n v="0"/>
    <x v="0"/>
    <x v="0"/>
    <d v="2025-06-30T00:00:00"/>
  </r>
  <r>
    <n v="1067"/>
    <x v="355"/>
    <n v="2"/>
    <x v="1"/>
    <x v="0"/>
    <n v="22"/>
    <x v="0"/>
    <x v="5"/>
    <x v="1"/>
    <d v="2025-04-26T00:00:00"/>
    <x v="3"/>
    <s v="Sat"/>
    <s v="Jan–Jun 2025"/>
    <x v="1"/>
    <s v="Beginner"/>
    <n v="4"/>
    <n v="0.8125"/>
    <n v="61.5"/>
    <x v="1"/>
    <x v="1"/>
    <n v="0"/>
    <x v="0"/>
    <x v="0"/>
    <d v="2025-06-30T00:00:00"/>
  </r>
  <r>
    <n v="1068"/>
    <x v="355"/>
    <n v="3"/>
    <x v="0"/>
    <x v="0"/>
    <n v="22"/>
    <x v="0"/>
    <x v="5"/>
    <x v="1"/>
    <d v="2025-04-26T00:00:00"/>
    <x v="3"/>
    <s v="Sat"/>
    <s v="Jan–Jun 2025"/>
    <x v="2"/>
    <s v="Beginner"/>
    <n v="4"/>
    <n v="0.83333333333333337"/>
    <n v="70"/>
    <x v="1"/>
    <x v="1"/>
    <n v="0"/>
    <x v="0"/>
    <x v="0"/>
    <d v="2025-06-30T00:00:00"/>
  </r>
  <r>
    <n v="1069"/>
    <x v="356"/>
    <n v="1"/>
    <x v="0"/>
    <x v="1"/>
    <n v="34"/>
    <x v="1"/>
    <x v="5"/>
    <x v="2"/>
    <d v="2025-05-22T00:00:00"/>
    <x v="1"/>
    <s v="Thu"/>
    <s v="Jan–Jun 2025"/>
    <x v="0"/>
    <s v="Beginner"/>
    <n v="4"/>
    <n v="0.77083333333333337"/>
    <n v="64"/>
    <x v="1"/>
    <x v="0"/>
    <n v="1"/>
    <x v="0"/>
    <x v="1"/>
    <d v="2025-06-30T00:00:00"/>
  </r>
  <r>
    <n v="1070"/>
    <x v="356"/>
    <n v="2"/>
    <x v="1"/>
    <x v="1"/>
    <n v="34"/>
    <x v="1"/>
    <x v="5"/>
    <x v="2"/>
    <d v="2025-05-22T00:00:00"/>
    <x v="1"/>
    <s v="Thu"/>
    <s v="Jan–Jun 2025"/>
    <x v="1"/>
    <s v="Beginner"/>
    <n v="4"/>
    <n v="0.89583333333333337"/>
    <n v="84"/>
    <x v="2"/>
    <x v="0"/>
    <n v="1"/>
    <x v="0"/>
    <x v="1"/>
    <d v="2025-06-30T00:00:00"/>
  </r>
  <r>
    <n v="1071"/>
    <x v="356"/>
    <n v="3"/>
    <x v="2"/>
    <x v="1"/>
    <n v="34"/>
    <x v="1"/>
    <x v="5"/>
    <x v="2"/>
    <d v="2025-05-22T00:00:00"/>
    <x v="1"/>
    <s v="Thu"/>
    <s v="Jan–Jun 2025"/>
    <x v="2"/>
    <s v="Beginner"/>
    <n v="4"/>
    <n v="0.79166666666666663"/>
    <n v="65"/>
    <x v="1"/>
    <x v="0"/>
    <n v="1"/>
    <x v="0"/>
    <x v="1"/>
    <d v="2025-06-30T00:00:00"/>
  </r>
  <r>
    <n v="1072"/>
    <x v="357"/>
    <n v="1"/>
    <x v="0"/>
    <x v="0"/>
    <n v="22"/>
    <x v="0"/>
    <x v="3"/>
    <x v="1"/>
    <d v="2025-02-01T00:00:00"/>
    <x v="4"/>
    <s v="Sat"/>
    <s v="Jan–Jun 2025"/>
    <x v="0"/>
    <s v="Beginner"/>
    <n v="4"/>
    <n v="0.8125"/>
    <n v="51"/>
    <x v="0"/>
    <x v="0"/>
    <n v="1"/>
    <x v="1"/>
    <x v="0"/>
    <d v="2025-06-30T00:00:00"/>
  </r>
  <r>
    <n v="1073"/>
    <x v="357"/>
    <n v="2"/>
    <x v="0"/>
    <x v="0"/>
    <n v="22"/>
    <x v="0"/>
    <x v="3"/>
    <x v="1"/>
    <d v="2025-02-01T00:00:00"/>
    <x v="4"/>
    <s v="Sat"/>
    <s v="Jan–Jun 2025"/>
    <x v="1"/>
    <s v="Beginner"/>
    <n v="4"/>
    <n v="0.85416666666666663"/>
    <n v="83"/>
    <x v="2"/>
    <x v="0"/>
    <n v="1"/>
    <x v="1"/>
    <x v="0"/>
    <d v="2025-06-30T00:00:00"/>
  </r>
  <r>
    <n v="1074"/>
    <x v="357"/>
    <n v="3"/>
    <x v="0"/>
    <x v="0"/>
    <n v="22"/>
    <x v="0"/>
    <x v="3"/>
    <x v="1"/>
    <d v="2025-02-01T00:00:00"/>
    <x v="4"/>
    <s v="Sat"/>
    <s v="Jan–Jun 2025"/>
    <x v="2"/>
    <s v="Beginner"/>
    <n v="4"/>
    <n v="0.8125"/>
    <n v="76.5"/>
    <x v="1"/>
    <x v="0"/>
    <n v="1"/>
    <x v="1"/>
    <x v="0"/>
    <d v="2025-06-30T00:00:00"/>
  </r>
  <r>
    <n v="1075"/>
    <x v="358"/>
    <n v="1"/>
    <x v="0"/>
    <x v="0"/>
    <n v="27"/>
    <x v="2"/>
    <x v="4"/>
    <x v="2"/>
    <d v="2025-03-24T00:00:00"/>
    <x v="0"/>
    <s v="Mon"/>
    <s v="Jan–Jun 2025"/>
    <x v="0"/>
    <s v="Beginner"/>
    <n v="4"/>
    <n v="0.85416666666666663"/>
    <n v="65"/>
    <x v="1"/>
    <x v="0"/>
    <n v="1"/>
    <x v="1"/>
    <x v="0"/>
    <d v="2025-06-30T00:00:00"/>
  </r>
  <r>
    <n v="1076"/>
    <x v="358"/>
    <n v="2"/>
    <x v="0"/>
    <x v="0"/>
    <n v="27"/>
    <x v="2"/>
    <x v="4"/>
    <x v="2"/>
    <d v="2025-03-24T00:00:00"/>
    <x v="0"/>
    <s v="Mon"/>
    <s v="Jan–Jun 2025"/>
    <x v="1"/>
    <s v="Beginner"/>
    <n v="4"/>
    <n v="0.77083333333333337"/>
    <n v="82.5"/>
    <x v="2"/>
    <x v="0"/>
    <n v="1"/>
    <x v="1"/>
    <x v="0"/>
    <d v="2025-06-30T00:00:00"/>
  </r>
  <r>
    <n v="1077"/>
    <x v="358"/>
    <n v="3"/>
    <x v="2"/>
    <x v="0"/>
    <n v="27"/>
    <x v="2"/>
    <x v="4"/>
    <x v="2"/>
    <d v="2025-03-24T00:00:00"/>
    <x v="0"/>
    <s v="Mon"/>
    <s v="Jan–Jun 2025"/>
    <x v="2"/>
    <s v="Beginner"/>
    <n v="4"/>
    <n v="0.79166666666666663"/>
    <n v="64.5"/>
    <x v="1"/>
    <x v="0"/>
    <n v="1"/>
    <x v="1"/>
    <x v="0"/>
    <d v="2025-06-30T00:00:00"/>
  </r>
  <r>
    <n v="1078"/>
    <x v="359"/>
    <n v="1"/>
    <x v="0"/>
    <x v="0"/>
    <n v="29"/>
    <x v="2"/>
    <x v="2"/>
    <x v="0"/>
    <d v="2025-01-21T00:00:00"/>
    <x v="2"/>
    <s v="Tue"/>
    <s v="Jan–Jun 2025"/>
    <x v="0"/>
    <s v="Beginner"/>
    <n v="4"/>
    <n v="0.79166666666666663"/>
    <n v="65"/>
    <x v="1"/>
    <x v="1"/>
    <n v="0"/>
    <x v="0"/>
    <x v="0"/>
    <d v="2025-06-30T00:00:00"/>
  </r>
  <r>
    <n v="1079"/>
    <x v="359"/>
    <n v="2"/>
    <x v="0"/>
    <x v="0"/>
    <n v="29"/>
    <x v="2"/>
    <x v="2"/>
    <x v="0"/>
    <d v="2025-01-21T00:00:00"/>
    <x v="2"/>
    <s v="Tue"/>
    <s v="Jan–Jun 2025"/>
    <x v="1"/>
    <s v="Beginner"/>
    <n v="4"/>
    <n v="0.875"/>
    <n v="76.5"/>
    <x v="1"/>
    <x v="1"/>
    <n v="0"/>
    <x v="0"/>
    <x v="0"/>
    <d v="2025-06-30T00:00:00"/>
  </r>
  <r>
    <n v="1080"/>
    <x v="359"/>
    <n v="3"/>
    <x v="2"/>
    <x v="0"/>
    <n v="29"/>
    <x v="2"/>
    <x v="2"/>
    <x v="0"/>
    <d v="2025-01-21T00:00:00"/>
    <x v="2"/>
    <s v="Tue"/>
    <s v="Jan–Jun 2025"/>
    <x v="2"/>
    <s v="Beginner"/>
    <n v="4"/>
    <n v="0.85416666666666663"/>
    <n v="70"/>
    <x v="1"/>
    <x v="1"/>
    <n v="0"/>
    <x v="0"/>
    <x v="0"/>
    <d v="2025-06-30T00:00:00"/>
  </r>
  <r>
    <n v="1081"/>
    <x v="360"/>
    <n v="1"/>
    <x v="0"/>
    <x v="1"/>
    <n v="24"/>
    <x v="0"/>
    <x v="0"/>
    <x v="0"/>
    <d v="2025-02-02T00:00:00"/>
    <x v="4"/>
    <s v="Sun"/>
    <s v="Jan–Jun 2025"/>
    <x v="0"/>
    <s v="Beginner"/>
    <n v="4"/>
    <n v="0.83333333333333337"/>
    <n v="88.5"/>
    <x v="2"/>
    <x v="0"/>
    <n v="1"/>
    <x v="0"/>
    <x v="0"/>
    <d v="2025-06-30T00:00:00"/>
  </r>
  <r>
    <n v="1082"/>
    <x v="360"/>
    <n v="2"/>
    <x v="0"/>
    <x v="1"/>
    <n v="24"/>
    <x v="0"/>
    <x v="0"/>
    <x v="0"/>
    <d v="2025-02-02T00:00:00"/>
    <x v="4"/>
    <s v="Sun"/>
    <s v="Jan–Jun 2025"/>
    <x v="1"/>
    <s v="Beginner"/>
    <n v="4"/>
    <n v="0.89583333333333337"/>
    <n v="64.5"/>
    <x v="1"/>
    <x v="0"/>
    <n v="1"/>
    <x v="0"/>
    <x v="0"/>
    <d v="2025-06-30T00:00:00"/>
  </r>
  <r>
    <n v="1083"/>
    <x v="360"/>
    <n v="3"/>
    <x v="0"/>
    <x v="1"/>
    <n v="24"/>
    <x v="0"/>
    <x v="0"/>
    <x v="0"/>
    <d v="2025-02-02T00:00:00"/>
    <x v="4"/>
    <s v="Sun"/>
    <s v="Jan–Jun 2025"/>
    <x v="2"/>
    <s v="Beginner"/>
    <n v="4"/>
    <n v="0.79166666666666663"/>
    <n v="75"/>
    <x v="1"/>
    <x v="0"/>
    <n v="1"/>
    <x v="0"/>
    <x v="0"/>
    <d v="2025-06-30T00:00:00"/>
  </r>
  <r>
    <n v="1084"/>
    <x v="361"/>
    <n v="1"/>
    <x v="0"/>
    <x v="1"/>
    <n v="35"/>
    <x v="1"/>
    <x v="1"/>
    <x v="2"/>
    <d v="2025-05-29T00:00:00"/>
    <x v="1"/>
    <s v="Thu"/>
    <s v="Jan–Jun 2025"/>
    <x v="0"/>
    <s v="Beginner"/>
    <n v="4"/>
    <n v="0.83333333333333337"/>
    <n v="62.5"/>
    <x v="1"/>
    <x v="0"/>
    <n v="1"/>
    <x v="1"/>
    <x v="0"/>
    <d v="2025-06-30T00:00:00"/>
  </r>
  <r>
    <n v="1085"/>
    <x v="361"/>
    <n v="2"/>
    <x v="1"/>
    <x v="1"/>
    <n v="35"/>
    <x v="1"/>
    <x v="1"/>
    <x v="2"/>
    <d v="2025-05-29T00:00:00"/>
    <x v="1"/>
    <s v="Thu"/>
    <s v="Jan–Jun 2025"/>
    <x v="1"/>
    <s v="Beginner"/>
    <n v="4"/>
    <n v="0.89583333333333337"/>
    <n v="79"/>
    <x v="2"/>
    <x v="0"/>
    <n v="1"/>
    <x v="1"/>
    <x v="0"/>
    <d v="2025-06-30T00:00:00"/>
  </r>
  <r>
    <n v="1086"/>
    <x v="361"/>
    <n v="3"/>
    <x v="0"/>
    <x v="1"/>
    <n v="35"/>
    <x v="1"/>
    <x v="1"/>
    <x v="2"/>
    <d v="2025-05-29T00:00:00"/>
    <x v="1"/>
    <s v="Thu"/>
    <s v="Jan–Jun 2025"/>
    <x v="2"/>
    <s v="Beginner"/>
    <n v="4"/>
    <n v="0.875"/>
    <n v="66"/>
    <x v="1"/>
    <x v="0"/>
    <n v="1"/>
    <x v="1"/>
    <x v="0"/>
    <d v="2025-06-30T00:00:00"/>
  </r>
  <r>
    <n v="1087"/>
    <x v="362"/>
    <n v="1"/>
    <x v="0"/>
    <x v="0"/>
    <n v="23"/>
    <x v="0"/>
    <x v="0"/>
    <x v="0"/>
    <d v="2025-05-25T00:00:00"/>
    <x v="1"/>
    <s v="Sun"/>
    <s v="Jan–Jun 2025"/>
    <x v="0"/>
    <s v="Beginner"/>
    <n v="4"/>
    <n v="0.75"/>
    <n v="92.5"/>
    <x v="2"/>
    <x v="0"/>
    <n v="1"/>
    <x v="1"/>
    <x v="1"/>
    <d v="2025-06-30T00:00:00"/>
  </r>
  <r>
    <n v="1088"/>
    <x v="362"/>
    <n v="2"/>
    <x v="0"/>
    <x v="0"/>
    <n v="23"/>
    <x v="0"/>
    <x v="0"/>
    <x v="0"/>
    <d v="2025-05-25T00:00:00"/>
    <x v="1"/>
    <s v="Sun"/>
    <s v="Jan–Jun 2025"/>
    <x v="1"/>
    <s v="Beginner"/>
    <n v="4"/>
    <n v="0.875"/>
    <n v="53"/>
    <x v="0"/>
    <x v="0"/>
    <n v="1"/>
    <x v="1"/>
    <x v="1"/>
    <d v="2025-06-30T00:00:00"/>
  </r>
  <r>
    <n v="1089"/>
    <x v="362"/>
    <n v="3"/>
    <x v="0"/>
    <x v="0"/>
    <n v="23"/>
    <x v="0"/>
    <x v="0"/>
    <x v="0"/>
    <d v="2025-05-25T00:00:00"/>
    <x v="1"/>
    <s v="Sun"/>
    <s v="Jan–Jun 2025"/>
    <x v="2"/>
    <s v="Beginner"/>
    <n v="4"/>
    <n v="0.79166666666666663"/>
    <n v="73.5"/>
    <x v="1"/>
    <x v="0"/>
    <n v="1"/>
    <x v="1"/>
    <x v="1"/>
    <d v="2025-06-30T00:00:00"/>
  </r>
  <r>
    <n v="1090"/>
    <x v="363"/>
    <n v="1"/>
    <x v="0"/>
    <x v="0"/>
    <n v="18"/>
    <x v="0"/>
    <x v="1"/>
    <x v="1"/>
    <d v="2025-05-28T00:00:00"/>
    <x v="1"/>
    <s v="Wed"/>
    <s v="Jan–Jun 2025"/>
    <x v="0"/>
    <s v="Beginner"/>
    <n v="4"/>
    <n v="0.85416666666666663"/>
    <n v="94.5"/>
    <x v="2"/>
    <x v="0"/>
    <n v="1"/>
    <x v="1"/>
    <x v="0"/>
    <d v="2025-06-30T00:00:00"/>
  </r>
  <r>
    <n v="1091"/>
    <x v="363"/>
    <n v="2"/>
    <x v="0"/>
    <x v="0"/>
    <n v="18"/>
    <x v="0"/>
    <x v="1"/>
    <x v="1"/>
    <d v="2025-05-28T00:00:00"/>
    <x v="1"/>
    <s v="Wed"/>
    <s v="Jan–Jun 2025"/>
    <x v="1"/>
    <s v="Beginner"/>
    <n v="4"/>
    <n v="0.875"/>
    <n v="76"/>
    <x v="1"/>
    <x v="0"/>
    <n v="1"/>
    <x v="1"/>
    <x v="0"/>
    <d v="2025-06-30T00:00:00"/>
  </r>
  <r>
    <n v="1092"/>
    <x v="363"/>
    <n v="3"/>
    <x v="0"/>
    <x v="0"/>
    <n v="18"/>
    <x v="0"/>
    <x v="1"/>
    <x v="1"/>
    <d v="2025-05-28T00:00:00"/>
    <x v="1"/>
    <s v="Wed"/>
    <s v="Jan–Jun 2025"/>
    <x v="2"/>
    <s v="Beginner"/>
    <n v="4"/>
    <n v="0.8125"/>
    <n v="52"/>
    <x v="0"/>
    <x v="0"/>
    <n v="1"/>
    <x v="1"/>
    <x v="0"/>
    <d v="2025-06-30T00:00:00"/>
  </r>
  <r>
    <n v="1093"/>
    <x v="364"/>
    <n v="1"/>
    <x v="0"/>
    <x v="1"/>
    <n v="24"/>
    <x v="0"/>
    <x v="2"/>
    <x v="3"/>
    <d v="2025-01-08T00:00:00"/>
    <x v="2"/>
    <s v="Wed"/>
    <s v="Jan–Jun 2025"/>
    <x v="0"/>
    <s v="Beginner"/>
    <n v="4"/>
    <n v="0.79166666666666663"/>
    <n v="63.5"/>
    <x v="1"/>
    <x v="0"/>
    <n v="1"/>
    <x v="1"/>
    <x v="0"/>
    <d v="2025-06-30T00:00:00"/>
  </r>
  <r>
    <n v="1094"/>
    <x v="364"/>
    <n v="2"/>
    <x v="0"/>
    <x v="1"/>
    <n v="24"/>
    <x v="0"/>
    <x v="2"/>
    <x v="3"/>
    <d v="2025-01-08T00:00:00"/>
    <x v="2"/>
    <s v="Wed"/>
    <s v="Jan–Jun 2025"/>
    <x v="1"/>
    <s v="Beginner"/>
    <n v="4"/>
    <n v="0.70833333333333337"/>
    <n v="65.5"/>
    <x v="1"/>
    <x v="0"/>
    <n v="1"/>
    <x v="1"/>
    <x v="0"/>
    <d v="2025-06-30T00:00:00"/>
  </r>
  <r>
    <n v="1095"/>
    <x v="364"/>
    <n v="3"/>
    <x v="0"/>
    <x v="1"/>
    <n v="24"/>
    <x v="0"/>
    <x v="2"/>
    <x v="3"/>
    <d v="2025-01-08T00:00:00"/>
    <x v="2"/>
    <s v="Wed"/>
    <s v="Jan–Jun 2025"/>
    <x v="2"/>
    <s v="Beginner"/>
    <n v="4"/>
    <n v="0.8125"/>
    <n v="75"/>
    <x v="1"/>
    <x v="0"/>
    <n v="1"/>
    <x v="1"/>
    <x v="0"/>
    <d v="2025-06-30T00:00:00"/>
  </r>
  <r>
    <n v="1096"/>
    <x v="365"/>
    <n v="1"/>
    <x v="1"/>
    <x v="1"/>
    <n v="35"/>
    <x v="1"/>
    <x v="5"/>
    <x v="0"/>
    <d v="2025-05-04T00:00:00"/>
    <x v="1"/>
    <s v="Sun"/>
    <s v="Jan–Jun 2025"/>
    <x v="0"/>
    <s v="Beginner"/>
    <n v="4"/>
    <n v="0.79166666666666663"/>
    <n v="70"/>
    <x v="1"/>
    <x v="0"/>
    <n v="1"/>
    <x v="1"/>
    <x v="0"/>
    <d v="2025-06-30T00:00:00"/>
  </r>
  <r>
    <n v="1097"/>
    <x v="365"/>
    <n v="2"/>
    <x v="0"/>
    <x v="1"/>
    <n v="35"/>
    <x v="1"/>
    <x v="5"/>
    <x v="0"/>
    <d v="2025-05-04T00:00:00"/>
    <x v="1"/>
    <s v="Sun"/>
    <s v="Jan–Jun 2025"/>
    <x v="1"/>
    <s v="Beginner"/>
    <n v="4"/>
    <n v="0.8125"/>
    <n v="55"/>
    <x v="0"/>
    <x v="0"/>
    <n v="1"/>
    <x v="1"/>
    <x v="0"/>
    <d v="2025-06-30T00:00:00"/>
  </r>
  <r>
    <n v="1098"/>
    <x v="365"/>
    <n v="3"/>
    <x v="0"/>
    <x v="1"/>
    <n v="35"/>
    <x v="1"/>
    <x v="5"/>
    <x v="0"/>
    <d v="2025-05-04T00:00:00"/>
    <x v="1"/>
    <s v="Sun"/>
    <s v="Jan–Jun 2025"/>
    <x v="2"/>
    <s v="Beginner"/>
    <n v="4"/>
    <n v="0.875"/>
    <n v="93.5"/>
    <x v="2"/>
    <x v="0"/>
    <n v="1"/>
    <x v="1"/>
    <x v="0"/>
    <d v="2025-06-30T00:00:00"/>
  </r>
  <r>
    <n v="1099"/>
    <x v="366"/>
    <n v="1"/>
    <x v="2"/>
    <x v="0"/>
    <n v="30"/>
    <x v="1"/>
    <x v="5"/>
    <x v="3"/>
    <d v="2025-01-19T00:00:00"/>
    <x v="2"/>
    <s v="Sun"/>
    <s v="Jan–Jun 2025"/>
    <x v="0"/>
    <s v="Beginner"/>
    <n v="4"/>
    <n v="0.79166666666666663"/>
    <n v="66.5"/>
    <x v="1"/>
    <x v="0"/>
    <n v="1"/>
    <x v="1"/>
    <x v="0"/>
    <d v="2025-06-30T00:00:00"/>
  </r>
  <r>
    <n v="1100"/>
    <x v="366"/>
    <n v="2"/>
    <x v="2"/>
    <x v="0"/>
    <n v="30"/>
    <x v="1"/>
    <x v="5"/>
    <x v="3"/>
    <d v="2025-01-19T00:00:00"/>
    <x v="2"/>
    <s v="Sun"/>
    <s v="Jan–Jun 2025"/>
    <x v="1"/>
    <s v="Beginner"/>
    <n v="4"/>
    <n v="0.83333333333333337"/>
    <n v="75.5"/>
    <x v="1"/>
    <x v="0"/>
    <n v="1"/>
    <x v="1"/>
    <x v="0"/>
    <d v="2025-06-30T00:00:00"/>
  </r>
  <r>
    <n v="1101"/>
    <x v="366"/>
    <n v="3"/>
    <x v="1"/>
    <x v="0"/>
    <n v="30"/>
    <x v="1"/>
    <x v="5"/>
    <x v="3"/>
    <d v="2025-01-19T00:00:00"/>
    <x v="2"/>
    <s v="Sun"/>
    <s v="Jan–Jun 2025"/>
    <x v="2"/>
    <s v="Beginner"/>
    <n v="4"/>
    <n v="0.8125"/>
    <n v="54"/>
    <x v="0"/>
    <x v="0"/>
    <n v="1"/>
    <x v="1"/>
    <x v="0"/>
    <d v="2025-06-30T00:00:00"/>
  </r>
  <r>
    <n v="1102"/>
    <x v="367"/>
    <n v="1"/>
    <x v="2"/>
    <x v="0"/>
    <n v="23"/>
    <x v="0"/>
    <x v="3"/>
    <x v="3"/>
    <d v="2025-05-04T00:00:00"/>
    <x v="1"/>
    <s v="Sun"/>
    <s v="Jan–Jun 2025"/>
    <x v="0"/>
    <s v="Beginner"/>
    <n v="4"/>
    <n v="0.875"/>
    <n v="62"/>
    <x v="1"/>
    <x v="0"/>
    <n v="1"/>
    <x v="0"/>
    <x v="0"/>
    <d v="2025-06-30T00:00:00"/>
  </r>
  <r>
    <n v="1103"/>
    <x v="367"/>
    <n v="2"/>
    <x v="0"/>
    <x v="0"/>
    <n v="23"/>
    <x v="0"/>
    <x v="3"/>
    <x v="3"/>
    <d v="2025-05-04T00:00:00"/>
    <x v="1"/>
    <s v="Sun"/>
    <s v="Jan–Jun 2025"/>
    <x v="1"/>
    <s v="Beginner"/>
    <n v="4"/>
    <n v="0.79166666666666663"/>
    <n v="63"/>
    <x v="1"/>
    <x v="0"/>
    <n v="1"/>
    <x v="0"/>
    <x v="0"/>
    <d v="2025-06-30T00:00:00"/>
  </r>
  <r>
    <n v="1104"/>
    <x v="367"/>
    <n v="3"/>
    <x v="0"/>
    <x v="0"/>
    <n v="23"/>
    <x v="0"/>
    <x v="3"/>
    <x v="3"/>
    <d v="2025-05-04T00:00:00"/>
    <x v="1"/>
    <s v="Sun"/>
    <s v="Jan–Jun 2025"/>
    <x v="2"/>
    <s v="Beginner"/>
    <n v="4"/>
    <n v="0.89583333333333337"/>
    <n v="49"/>
    <x v="0"/>
    <x v="0"/>
    <n v="1"/>
    <x v="0"/>
    <x v="0"/>
    <d v="2025-06-30T00:00:00"/>
  </r>
  <r>
    <n v="1105"/>
    <x v="368"/>
    <n v="1"/>
    <x v="0"/>
    <x v="1"/>
    <n v="24"/>
    <x v="0"/>
    <x v="5"/>
    <x v="2"/>
    <d v="2025-03-22T00:00:00"/>
    <x v="0"/>
    <s v="Sat"/>
    <s v="Jan–Jun 2025"/>
    <x v="0"/>
    <s v="Beginner"/>
    <n v="4"/>
    <n v="0.79166666666666663"/>
    <n v="56.5"/>
    <x v="0"/>
    <x v="1"/>
    <n v="0"/>
    <x v="0"/>
    <x v="0"/>
    <d v="2025-06-30T00:00:00"/>
  </r>
  <r>
    <n v="1106"/>
    <x v="368"/>
    <n v="2"/>
    <x v="1"/>
    <x v="1"/>
    <n v="24"/>
    <x v="0"/>
    <x v="5"/>
    <x v="2"/>
    <d v="2025-03-22T00:00:00"/>
    <x v="0"/>
    <s v="Sat"/>
    <s v="Jan–Jun 2025"/>
    <x v="1"/>
    <s v="Beginner"/>
    <n v="4"/>
    <n v="0.875"/>
    <n v="66"/>
    <x v="1"/>
    <x v="1"/>
    <n v="0"/>
    <x v="0"/>
    <x v="0"/>
    <d v="2025-06-30T00:00:00"/>
  </r>
  <r>
    <n v="1107"/>
    <x v="368"/>
    <n v="3"/>
    <x v="0"/>
    <x v="1"/>
    <n v="24"/>
    <x v="0"/>
    <x v="5"/>
    <x v="2"/>
    <d v="2025-03-22T00:00:00"/>
    <x v="0"/>
    <s v="Sat"/>
    <s v="Jan–Jun 2025"/>
    <x v="2"/>
    <s v="Beginner"/>
    <n v="4"/>
    <n v="0.77083333333333337"/>
    <n v="81"/>
    <x v="2"/>
    <x v="1"/>
    <n v="0"/>
    <x v="0"/>
    <x v="0"/>
    <d v="2025-06-30T00:00:00"/>
  </r>
  <r>
    <n v="1108"/>
    <x v="369"/>
    <n v="1"/>
    <x v="0"/>
    <x v="1"/>
    <n v="29"/>
    <x v="2"/>
    <x v="3"/>
    <x v="2"/>
    <d v="2025-04-05T00:00:00"/>
    <x v="3"/>
    <s v="Sat"/>
    <s v="Jan–Jun 2025"/>
    <x v="0"/>
    <s v="Beginner"/>
    <n v="4"/>
    <n v="0.83333333333333337"/>
    <n v="50.5"/>
    <x v="0"/>
    <x v="1"/>
    <n v="0"/>
    <x v="0"/>
    <x v="0"/>
    <d v="2025-06-30T00:00:00"/>
  </r>
  <r>
    <n v="1109"/>
    <x v="369"/>
    <n v="2"/>
    <x v="0"/>
    <x v="1"/>
    <n v="29"/>
    <x v="2"/>
    <x v="3"/>
    <x v="2"/>
    <d v="2025-04-05T00:00:00"/>
    <x v="3"/>
    <s v="Sat"/>
    <s v="Jan–Jun 2025"/>
    <x v="1"/>
    <s v="Beginner"/>
    <n v="4"/>
    <n v="0.875"/>
    <n v="70.5"/>
    <x v="1"/>
    <x v="1"/>
    <n v="0"/>
    <x v="0"/>
    <x v="0"/>
    <d v="2025-06-30T00:00:00"/>
  </r>
  <r>
    <n v="1110"/>
    <x v="369"/>
    <n v="3"/>
    <x v="0"/>
    <x v="1"/>
    <n v="29"/>
    <x v="2"/>
    <x v="3"/>
    <x v="2"/>
    <d v="2025-04-05T00:00:00"/>
    <x v="3"/>
    <s v="Sat"/>
    <s v="Jan–Jun 2025"/>
    <x v="2"/>
    <s v="Beginner"/>
    <n v="4"/>
    <n v="0.83333333333333337"/>
    <n v="61"/>
    <x v="1"/>
    <x v="1"/>
    <n v="0"/>
    <x v="0"/>
    <x v="0"/>
    <d v="2025-06-30T00:00:00"/>
  </r>
  <r>
    <n v="1111"/>
    <x v="370"/>
    <n v="1"/>
    <x v="0"/>
    <x v="0"/>
    <n v="28"/>
    <x v="2"/>
    <x v="4"/>
    <x v="3"/>
    <d v="2025-02-01T00:00:00"/>
    <x v="4"/>
    <s v="Sat"/>
    <s v="Jan–Jun 2025"/>
    <x v="0"/>
    <s v="Beginner"/>
    <n v="4"/>
    <n v="0.83333333333333337"/>
    <n v="61"/>
    <x v="1"/>
    <x v="0"/>
    <n v="1"/>
    <x v="1"/>
    <x v="0"/>
    <d v="2025-06-30T00:00:00"/>
  </r>
  <r>
    <n v="1112"/>
    <x v="370"/>
    <n v="2"/>
    <x v="1"/>
    <x v="0"/>
    <n v="28"/>
    <x v="2"/>
    <x v="4"/>
    <x v="3"/>
    <d v="2025-02-01T00:00:00"/>
    <x v="4"/>
    <s v="Sat"/>
    <s v="Jan–Jun 2025"/>
    <x v="1"/>
    <s v="Beginner"/>
    <n v="4"/>
    <n v="0.75"/>
    <n v="88"/>
    <x v="2"/>
    <x v="0"/>
    <n v="1"/>
    <x v="1"/>
    <x v="0"/>
    <d v="2025-06-30T00:00:00"/>
  </r>
  <r>
    <n v="1113"/>
    <x v="370"/>
    <n v="3"/>
    <x v="2"/>
    <x v="0"/>
    <n v="28"/>
    <x v="2"/>
    <x v="4"/>
    <x v="3"/>
    <d v="2025-02-01T00:00:00"/>
    <x v="4"/>
    <s v="Sat"/>
    <s v="Jan–Jun 2025"/>
    <x v="2"/>
    <s v="Beginner"/>
    <n v="4"/>
    <n v="0.77083333333333337"/>
    <n v="84.5"/>
    <x v="2"/>
    <x v="0"/>
    <n v="1"/>
    <x v="1"/>
    <x v="0"/>
    <d v="2025-06-30T00:00:00"/>
  </r>
  <r>
    <n v="1114"/>
    <x v="371"/>
    <n v="1"/>
    <x v="0"/>
    <x v="1"/>
    <n v="32"/>
    <x v="1"/>
    <x v="4"/>
    <x v="2"/>
    <d v="2025-01-25T00:00:00"/>
    <x v="2"/>
    <s v="Sat"/>
    <s v="Jan–Jun 2025"/>
    <x v="0"/>
    <s v="Beginner"/>
    <n v="4"/>
    <n v="0.83333333333333337"/>
    <n v="68.5"/>
    <x v="1"/>
    <x v="1"/>
    <n v="0"/>
    <x v="0"/>
    <x v="0"/>
    <d v="2025-06-30T00:00:00"/>
  </r>
  <r>
    <n v="1115"/>
    <x v="371"/>
    <n v="2"/>
    <x v="1"/>
    <x v="1"/>
    <n v="32"/>
    <x v="1"/>
    <x v="4"/>
    <x v="2"/>
    <d v="2025-01-25T00:00:00"/>
    <x v="2"/>
    <s v="Sat"/>
    <s v="Jan–Jun 2025"/>
    <x v="1"/>
    <s v="Beginner"/>
    <n v="4"/>
    <n v="0.75"/>
    <n v="75"/>
    <x v="1"/>
    <x v="1"/>
    <n v="0"/>
    <x v="0"/>
    <x v="0"/>
    <d v="2025-06-30T00:00:00"/>
  </r>
  <r>
    <n v="1116"/>
    <x v="371"/>
    <n v="3"/>
    <x v="0"/>
    <x v="1"/>
    <n v="32"/>
    <x v="1"/>
    <x v="4"/>
    <x v="2"/>
    <d v="2025-01-25T00:00:00"/>
    <x v="2"/>
    <s v="Sat"/>
    <s v="Jan–Jun 2025"/>
    <x v="2"/>
    <s v="Beginner"/>
    <n v="4"/>
    <n v="0.83333333333333337"/>
    <n v="76"/>
    <x v="1"/>
    <x v="1"/>
    <n v="0"/>
    <x v="0"/>
    <x v="0"/>
    <d v="2025-06-30T00:00:00"/>
  </r>
  <r>
    <n v="1117"/>
    <x v="372"/>
    <n v="1"/>
    <x v="2"/>
    <x v="0"/>
    <n v="27"/>
    <x v="2"/>
    <x v="3"/>
    <x v="3"/>
    <d v="2025-03-05T00:00:00"/>
    <x v="0"/>
    <s v="Wed"/>
    <s v="Jan–Jun 2025"/>
    <x v="0"/>
    <s v="Beginner"/>
    <n v="4"/>
    <n v="0.83333333333333337"/>
    <n v="65"/>
    <x v="1"/>
    <x v="0"/>
    <n v="1"/>
    <x v="1"/>
    <x v="0"/>
    <d v="2025-06-30T00:00:00"/>
  </r>
  <r>
    <n v="1118"/>
    <x v="372"/>
    <n v="2"/>
    <x v="1"/>
    <x v="0"/>
    <n v="27"/>
    <x v="2"/>
    <x v="3"/>
    <x v="3"/>
    <d v="2025-03-05T00:00:00"/>
    <x v="0"/>
    <s v="Wed"/>
    <s v="Jan–Jun 2025"/>
    <x v="1"/>
    <s v="Beginner"/>
    <n v="4"/>
    <n v="0.85416666666666663"/>
    <n v="60"/>
    <x v="1"/>
    <x v="0"/>
    <n v="1"/>
    <x v="1"/>
    <x v="0"/>
    <d v="2025-06-30T00:00:00"/>
  </r>
  <r>
    <n v="1119"/>
    <x v="372"/>
    <n v="3"/>
    <x v="1"/>
    <x v="0"/>
    <n v="27"/>
    <x v="2"/>
    <x v="3"/>
    <x v="3"/>
    <d v="2025-03-05T00:00:00"/>
    <x v="0"/>
    <s v="Wed"/>
    <s v="Jan–Jun 2025"/>
    <x v="2"/>
    <s v="Beginner"/>
    <n v="4"/>
    <n v="0.72916666666666663"/>
    <n v="72.5"/>
    <x v="1"/>
    <x v="0"/>
    <n v="1"/>
    <x v="1"/>
    <x v="0"/>
    <d v="2025-06-30T00:00:00"/>
  </r>
  <r>
    <n v="1120"/>
    <x v="373"/>
    <n v="1"/>
    <x v="0"/>
    <x v="0"/>
    <n v="28"/>
    <x v="2"/>
    <x v="2"/>
    <x v="0"/>
    <d v="2025-02-18T00:00:00"/>
    <x v="4"/>
    <s v="Tue"/>
    <s v="Jan–Jun 2025"/>
    <x v="0"/>
    <s v="Beginner"/>
    <n v="4"/>
    <n v="0.77083333333333337"/>
    <n v="78.5"/>
    <x v="1"/>
    <x v="0"/>
    <n v="1"/>
    <x v="1"/>
    <x v="0"/>
    <d v="2025-06-30T00:00:00"/>
  </r>
  <r>
    <n v="1121"/>
    <x v="373"/>
    <n v="2"/>
    <x v="0"/>
    <x v="0"/>
    <n v="28"/>
    <x v="2"/>
    <x v="2"/>
    <x v="0"/>
    <d v="2025-02-18T00:00:00"/>
    <x v="4"/>
    <s v="Tue"/>
    <s v="Jan–Jun 2025"/>
    <x v="1"/>
    <s v="Beginner"/>
    <n v="4"/>
    <n v="0.83333333333333337"/>
    <n v="94"/>
    <x v="2"/>
    <x v="0"/>
    <n v="1"/>
    <x v="1"/>
    <x v="0"/>
    <d v="2025-06-30T00:00:00"/>
  </r>
  <r>
    <n v="1122"/>
    <x v="373"/>
    <n v="3"/>
    <x v="0"/>
    <x v="0"/>
    <n v="28"/>
    <x v="2"/>
    <x v="2"/>
    <x v="0"/>
    <d v="2025-02-18T00:00:00"/>
    <x v="4"/>
    <s v="Tue"/>
    <s v="Jan–Jun 2025"/>
    <x v="2"/>
    <s v="Beginner"/>
    <n v="4"/>
    <n v="0.77083333333333337"/>
    <n v="90.5"/>
    <x v="2"/>
    <x v="0"/>
    <n v="1"/>
    <x v="1"/>
    <x v="0"/>
    <d v="2025-06-30T00:00:00"/>
  </r>
  <r>
    <n v="1123"/>
    <x v="374"/>
    <n v="1"/>
    <x v="2"/>
    <x v="0"/>
    <n v="33"/>
    <x v="1"/>
    <x v="2"/>
    <x v="3"/>
    <d v="2025-05-08T00:00:00"/>
    <x v="1"/>
    <s v="Thu"/>
    <s v="Jan–Jun 2025"/>
    <x v="0"/>
    <s v="Beginner"/>
    <n v="4"/>
    <n v="0.79166666666666663"/>
    <n v="85.5"/>
    <x v="2"/>
    <x v="0"/>
    <n v="1"/>
    <x v="1"/>
    <x v="0"/>
    <d v="2025-06-30T00:00:00"/>
  </r>
  <r>
    <n v="1124"/>
    <x v="374"/>
    <n v="2"/>
    <x v="1"/>
    <x v="0"/>
    <n v="33"/>
    <x v="1"/>
    <x v="2"/>
    <x v="3"/>
    <d v="2025-05-08T00:00:00"/>
    <x v="1"/>
    <s v="Thu"/>
    <s v="Jan–Jun 2025"/>
    <x v="1"/>
    <s v="Beginner"/>
    <n v="4"/>
    <n v="0.89583333333333337"/>
    <n v="61"/>
    <x v="1"/>
    <x v="0"/>
    <n v="1"/>
    <x v="1"/>
    <x v="0"/>
    <d v="2025-06-30T00:00:00"/>
  </r>
  <r>
    <n v="1125"/>
    <x v="374"/>
    <n v="3"/>
    <x v="0"/>
    <x v="0"/>
    <n v="33"/>
    <x v="1"/>
    <x v="2"/>
    <x v="3"/>
    <d v="2025-05-08T00:00:00"/>
    <x v="1"/>
    <s v="Thu"/>
    <s v="Jan–Jun 2025"/>
    <x v="2"/>
    <s v="Beginner"/>
    <n v="4"/>
    <n v="0.89583333333333337"/>
    <n v="69"/>
    <x v="1"/>
    <x v="0"/>
    <n v="1"/>
    <x v="1"/>
    <x v="0"/>
    <d v="2025-06-30T00:00:00"/>
  </r>
  <r>
    <n v="1126"/>
    <x v="375"/>
    <n v="1"/>
    <x v="1"/>
    <x v="1"/>
    <n v="33"/>
    <x v="1"/>
    <x v="1"/>
    <x v="1"/>
    <d v="2025-04-11T00:00:00"/>
    <x v="3"/>
    <s v="Fri"/>
    <s v="Jan–Jun 2025"/>
    <x v="0"/>
    <s v="Beginner"/>
    <n v="4"/>
    <n v="0.89583333333333337"/>
    <n v="82.5"/>
    <x v="2"/>
    <x v="1"/>
    <n v="0"/>
    <x v="0"/>
    <x v="0"/>
    <d v="2025-06-30T00:00:00"/>
  </r>
  <r>
    <n v="1127"/>
    <x v="375"/>
    <n v="2"/>
    <x v="0"/>
    <x v="1"/>
    <n v="33"/>
    <x v="1"/>
    <x v="1"/>
    <x v="1"/>
    <d v="2025-04-11T00:00:00"/>
    <x v="3"/>
    <s v="Fri"/>
    <s v="Jan–Jun 2025"/>
    <x v="1"/>
    <s v="Beginner"/>
    <n v="4"/>
    <n v="0.79166666666666663"/>
    <n v="77"/>
    <x v="1"/>
    <x v="1"/>
    <n v="0"/>
    <x v="0"/>
    <x v="0"/>
    <d v="2025-06-30T00:00:00"/>
  </r>
  <r>
    <n v="1128"/>
    <x v="375"/>
    <n v="3"/>
    <x v="2"/>
    <x v="1"/>
    <n v="33"/>
    <x v="1"/>
    <x v="1"/>
    <x v="1"/>
    <d v="2025-04-11T00:00:00"/>
    <x v="3"/>
    <s v="Fri"/>
    <s v="Jan–Jun 2025"/>
    <x v="2"/>
    <s v="Beginner"/>
    <n v="4"/>
    <n v="0.875"/>
    <n v="56.5"/>
    <x v="0"/>
    <x v="1"/>
    <n v="0"/>
    <x v="0"/>
    <x v="0"/>
    <d v="2025-06-30T00:00:00"/>
  </r>
  <r>
    <n v="1129"/>
    <x v="376"/>
    <n v="1"/>
    <x v="2"/>
    <x v="1"/>
    <n v="25"/>
    <x v="2"/>
    <x v="4"/>
    <x v="0"/>
    <d v="2025-01-13T00:00:00"/>
    <x v="2"/>
    <s v="Mon"/>
    <s v="Jan–Jun 2025"/>
    <x v="0"/>
    <s v="Beginner"/>
    <n v="4"/>
    <n v="0.77083333333333337"/>
    <n v="87"/>
    <x v="2"/>
    <x v="0"/>
    <n v="1"/>
    <x v="1"/>
    <x v="0"/>
    <d v="2025-06-30T00:00:00"/>
  </r>
  <r>
    <n v="1130"/>
    <x v="376"/>
    <n v="2"/>
    <x v="0"/>
    <x v="1"/>
    <n v="25"/>
    <x v="2"/>
    <x v="4"/>
    <x v="0"/>
    <d v="2025-01-13T00:00:00"/>
    <x v="2"/>
    <s v="Mon"/>
    <s v="Jan–Jun 2025"/>
    <x v="1"/>
    <s v="Beginner"/>
    <n v="4"/>
    <n v="0.79166666666666663"/>
    <n v="70"/>
    <x v="1"/>
    <x v="0"/>
    <n v="1"/>
    <x v="1"/>
    <x v="0"/>
    <d v="2025-06-30T00:00:00"/>
  </r>
  <r>
    <n v="1131"/>
    <x v="376"/>
    <n v="3"/>
    <x v="2"/>
    <x v="1"/>
    <n v="25"/>
    <x v="2"/>
    <x v="4"/>
    <x v="0"/>
    <d v="2025-01-13T00:00:00"/>
    <x v="2"/>
    <s v="Mon"/>
    <s v="Jan–Jun 2025"/>
    <x v="2"/>
    <s v="Beginner"/>
    <n v="4"/>
    <n v="0.79166666666666663"/>
    <n v="77"/>
    <x v="1"/>
    <x v="0"/>
    <n v="1"/>
    <x v="1"/>
    <x v="0"/>
    <d v="2025-06-30T00:00:00"/>
  </r>
  <r>
    <n v="1132"/>
    <x v="377"/>
    <n v="1"/>
    <x v="2"/>
    <x v="0"/>
    <n v="27"/>
    <x v="2"/>
    <x v="3"/>
    <x v="3"/>
    <d v="2025-03-15T00:00:00"/>
    <x v="0"/>
    <s v="Sat"/>
    <s v="Jan–Jun 2025"/>
    <x v="0"/>
    <s v="Beginner"/>
    <n v="4"/>
    <n v="0.8125"/>
    <n v="66"/>
    <x v="1"/>
    <x v="0"/>
    <n v="1"/>
    <x v="1"/>
    <x v="0"/>
    <d v="2025-06-30T00:00:00"/>
  </r>
  <r>
    <n v="1133"/>
    <x v="377"/>
    <n v="2"/>
    <x v="0"/>
    <x v="0"/>
    <n v="27"/>
    <x v="2"/>
    <x v="3"/>
    <x v="3"/>
    <d v="2025-03-15T00:00:00"/>
    <x v="0"/>
    <s v="Sat"/>
    <s v="Jan–Jun 2025"/>
    <x v="1"/>
    <s v="Beginner"/>
    <n v="4"/>
    <n v="0.79166666666666663"/>
    <n v="79"/>
    <x v="2"/>
    <x v="0"/>
    <n v="1"/>
    <x v="1"/>
    <x v="0"/>
    <d v="2025-06-30T00:00:00"/>
  </r>
  <r>
    <n v="1134"/>
    <x v="377"/>
    <n v="3"/>
    <x v="0"/>
    <x v="0"/>
    <n v="27"/>
    <x v="2"/>
    <x v="3"/>
    <x v="3"/>
    <d v="2025-03-15T00:00:00"/>
    <x v="0"/>
    <s v="Sat"/>
    <s v="Jan–Jun 2025"/>
    <x v="2"/>
    <s v="Beginner"/>
    <n v="4"/>
    <n v="0.8125"/>
    <n v="79.5"/>
    <x v="2"/>
    <x v="0"/>
    <n v="1"/>
    <x v="1"/>
    <x v="0"/>
    <d v="2025-06-30T00:00:00"/>
  </r>
  <r>
    <n v="1135"/>
    <x v="378"/>
    <n v="1"/>
    <x v="2"/>
    <x v="0"/>
    <n v="21"/>
    <x v="0"/>
    <x v="3"/>
    <x v="2"/>
    <d v="2025-03-09T00:00:00"/>
    <x v="0"/>
    <s v="Sun"/>
    <s v="Jan–Jun 2025"/>
    <x v="0"/>
    <s v="Beginner"/>
    <n v="4"/>
    <n v="0.8125"/>
    <n v="72.5"/>
    <x v="1"/>
    <x v="0"/>
    <n v="1"/>
    <x v="0"/>
    <x v="0"/>
    <d v="2025-06-30T00:00:00"/>
  </r>
  <r>
    <n v="1136"/>
    <x v="378"/>
    <n v="2"/>
    <x v="2"/>
    <x v="0"/>
    <n v="21"/>
    <x v="0"/>
    <x v="3"/>
    <x v="2"/>
    <d v="2025-03-09T00:00:00"/>
    <x v="0"/>
    <s v="Sun"/>
    <s v="Jan–Jun 2025"/>
    <x v="1"/>
    <s v="Beginner"/>
    <n v="4"/>
    <n v="0.79166666666666663"/>
    <n v="78"/>
    <x v="1"/>
    <x v="0"/>
    <n v="1"/>
    <x v="0"/>
    <x v="0"/>
    <d v="2025-06-30T00:00:00"/>
  </r>
  <r>
    <n v="1137"/>
    <x v="378"/>
    <n v="3"/>
    <x v="1"/>
    <x v="0"/>
    <n v="21"/>
    <x v="0"/>
    <x v="3"/>
    <x v="2"/>
    <d v="2025-03-09T00:00:00"/>
    <x v="0"/>
    <s v="Sun"/>
    <s v="Jan–Jun 2025"/>
    <x v="2"/>
    <s v="Beginner"/>
    <n v="4"/>
    <n v="0.91666666666666663"/>
    <n v="55"/>
    <x v="0"/>
    <x v="0"/>
    <n v="1"/>
    <x v="0"/>
    <x v="0"/>
    <d v="2025-06-30T00:00:00"/>
  </r>
  <r>
    <n v="1138"/>
    <x v="379"/>
    <n v="1"/>
    <x v="0"/>
    <x v="1"/>
    <n v="30"/>
    <x v="1"/>
    <x v="5"/>
    <x v="1"/>
    <d v="2025-04-13T00:00:00"/>
    <x v="3"/>
    <s v="Sun"/>
    <s v="Jan–Jun 2025"/>
    <x v="0"/>
    <s v="Beginner"/>
    <n v="4"/>
    <n v="0.85416666666666663"/>
    <n v="66"/>
    <x v="1"/>
    <x v="0"/>
    <n v="1"/>
    <x v="1"/>
    <x v="0"/>
    <d v="2025-06-30T00:00:00"/>
  </r>
  <r>
    <n v="1139"/>
    <x v="379"/>
    <n v="2"/>
    <x v="2"/>
    <x v="1"/>
    <n v="30"/>
    <x v="1"/>
    <x v="5"/>
    <x v="1"/>
    <d v="2025-04-13T00:00:00"/>
    <x v="3"/>
    <s v="Sun"/>
    <s v="Jan–Jun 2025"/>
    <x v="1"/>
    <s v="Beginner"/>
    <n v="4"/>
    <n v="0.875"/>
    <n v="74.5"/>
    <x v="1"/>
    <x v="0"/>
    <n v="1"/>
    <x v="1"/>
    <x v="0"/>
    <d v="2025-06-30T00:00:00"/>
  </r>
  <r>
    <n v="1140"/>
    <x v="379"/>
    <n v="3"/>
    <x v="1"/>
    <x v="1"/>
    <n v="30"/>
    <x v="1"/>
    <x v="5"/>
    <x v="1"/>
    <d v="2025-04-13T00:00:00"/>
    <x v="3"/>
    <s v="Sun"/>
    <s v="Jan–Jun 2025"/>
    <x v="2"/>
    <s v="Beginner"/>
    <n v="4"/>
    <n v="0.875"/>
    <n v="71"/>
    <x v="1"/>
    <x v="0"/>
    <n v="1"/>
    <x v="1"/>
    <x v="0"/>
    <d v="2025-06-30T00:00:00"/>
  </r>
  <r>
    <n v="1141"/>
    <x v="380"/>
    <n v="1"/>
    <x v="0"/>
    <x v="0"/>
    <n v="35"/>
    <x v="1"/>
    <x v="4"/>
    <x v="0"/>
    <d v="2025-05-22T00:00:00"/>
    <x v="1"/>
    <s v="Thu"/>
    <s v="Jan–Jun 2025"/>
    <x v="0"/>
    <s v="Beginner"/>
    <n v="4"/>
    <n v="0.875"/>
    <n v="62"/>
    <x v="1"/>
    <x v="0"/>
    <n v="1"/>
    <x v="0"/>
    <x v="0"/>
    <d v="2025-06-30T00:00:00"/>
  </r>
  <r>
    <n v="1142"/>
    <x v="380"/>
    <n v="2"/>
    <x v="0"/>
    <x v="0"/>
    <n v="35"/>
    <x v="1"/>
    <x v="4"/>
    <x v="0"/>
    <d v="2025-05-22T00:00:00"/>
    <x v="1"/>
    <s v="Thu"/>
    <s v="Jan–Jun 2025"/>
    <x v="1"/>
    <s v="Beginner"/>
    <n v="4"/>
    <n v="0.83333333333333337"/>
    <n v="72.5"/>
    <x v="1"/>
    <x v="0"/>
    <n v="1"/>
    <x v="0"/>
    <x v="0"/>
    <d v="2025-06-30T00:00:00"/>
  </r>
  <r>
    <n v="1143"/>
    <x v="380"/>
    <n v="3"/>
    <x v="0"/>
    <x v="0"/>
    <n v="35"/>
    <x v="1"/>
    <x v="4"/>
    <x v="0"/>
    <d v="2025-05-22T00:00:00"/>
    <x v="1"/>
    <s v="Thu"/>
    <s v="Jan–Jun 2025"/>
    <x v="2"/>
    <s v="Beginner"/>
    <n v="4"/>
    <n v="0.85416666666666663"/>
    <n v="79"/>
    <x v="2"/>
    <x v="0"/>
    <n v="1"/>
    <x v="0"/>
    <x v="0"/>
    <d v="2025-06-30T00:00:00"/>
  </r>
  <r>
    <n v="1144"/>
    <x v="381"/>
    <n v="1"/>
    <x v="1"/>
    <x v="1"/>
    <n v="20"/>
    <x v="0"/>
    <x v="3"/>
    <x v="3"/>
    <d v="2025-05-21T00:00:00"/>
    <x v="1"/>
    <s v="Wed"/>
    <s v="Jan–Jun 2025"/>
    <x v="0"/>
    <s v="Beginner"/>
    <n v="4"/>
    <n v="0.83333333333333337"/>
    <n v="50"/>
    <x v="0"/>
    <x v="0"/>
    <n v="1"/>
    <x v="1"/>
    <x v="0"/>
    <d v="2025-06-30T00:00:00"/>
  </r>
  <r>
    <n v="1145"/>
    <x v="381"/>
    <n v="2"/>
    <x v="1"/>
    <x v="1"/>
    <n v="20"/>
    <x v="0"/>
    <x v="3"/>
    <x v="3"/>
    <d v="2025-05-21T00:00:00"/>
    <x v="1"/>
    <s v="Wed"/>
    <s v="Jan–Jun 2025"/>
    <x v="1"/>
    <s v="Beginner"/>
    <n v="4"/>
    <n v="0.8125"/>
    <n v="71.5"/>
    <x v="1"/>
    <x v="0"/>
    <n v="1"/>
    <x v="1"/>
    <x v="0"/>
    <d v="2025-06-30T00:00:00"/>
  </r>
  <r>
    <n v="1146"/>
    <x v="381"/>
    <n v="3"/>
    <x v="0"/>
    <x v="1"/>
    <n v="20"/>
    <x v="0"/>
    <x v="3"/>
    <x v="3"/>
    <d v="2025-05-21T00:00:00"/>
    <x v="1"/>
    <s v="Wed"/>
    <s v="Jan–Jun 2025"/>
    <x v="2"/>
    <s v="Beginner"/>
    <n v="4"/>
    <n v="0.79166666666666663"/>
    <n v="73"/>
    <x v="1"/>
    <x v="0"/>
    <n v="1"/>
    <x v="1"/>
    <x v="0"/>
    <d v="2025-06-30T00:00:00"/>
  </r>
  <r>
    <n v="1147"/>
    <x v="382"/>
    <n v="1"/>
    <x v="0"/>
    <x v="1"/>
    <n v="21"/>
    <x v="0"/>
    <x v="4"/>
    <x v="1"/>
    <d v="2025-04-11T00:00:00"/>
    <x v="3"/>
    <s v="Fri"/>
    <s v="Jan–Jun 2025"/>
    <x v="0"/>
    <s v="Beginner"/>
    <n v="4"/>
    <n v="0.77083333333333337"/>
    <n v="78.5"/>
    <x v="1"/>
    <x v="0"/>
    <n v="1"/>
    <x v="1"/>
    <x v="1"/>
    <d v="2025-06-30T00:00:00"/>
  </r>
  <r>
    <n v="1148"/>
    <x v="382"/>
    <n v="2"/>
    <x v="0"/>
    <x v="1"/>
    <n v="21"/>
    <x v="0"/>
    <x v="4"/>
    <x v="1"/>
    <d v="2025-04-11T00:00:00"/>
    <x v="3"/>
    <s v="Fri"/>
    <s v="Jan–Jun 2025"/>
    <x v="1"/>
    <s v="Beginner"/>
    <n v="4"/>
    <n v="0.875"/>
    <n v="70"/>
    <x v="1"/>
    <x v="0"/>
    <n v="1"/>
    <x v="1"/>
    <x v="1"/>
    <d v="2025-06-30T00:00:00"/>
  </r>
  <r>
    <n v="1149"/>
    <x v="382"/>
    <n v="3"/>
    <x v="0"/>
    <x v="1"/>
    <n v="21"/>
    <x v="0"/>
    <x v="4"/>
    <x v="1"/>
    <d v="2025-04-11T00:00:00"/>
    <x v="3"/>
    <s v="Fri"/>
    <s v="Jan–Jun 2025"/>
    <x v="2"/>
    <s v="Beginner"/>
    <n v="4"/>
    <n v="0.79166666666666663"/>
    <n v="81.5"/>
    <x v="2"/>
    <x v="0"/>
    <n v="1"/>
    <x v="1"/>
    <x v="1"/>
    <d v="2025-06-30T00:00:00"/>
  </r>
  <r>
    <n v="1150"/>
    <x v="383"/>
    <n v="1"/>
    <x v="0"/>
    <x v="1"/>
    <n v="28"/>
    <x v="2"/>
    <x v="2"/>
    <x v="0"/>
    <d v="2025-02-06T00:00:00"/>
    <x v="4"/>
    <s v="Thu"/>
    <s v="Jan–Jun 2025"/>
    <x v="0"/>
    <s v="Beginner"/>
    <n v="4"/>
    <n v="0.75"/>
    <n v="78.5"/>
    <x v="1"/>
    <x v="1"/>
    <n v="0"/>
    <x v="0"/>
    <x v="0"/>
    <d v="2025-06-30T00:00:00"/>
  </r>
  <r>
    <n v="1151"/>
    <x v="383"/>
    <n v="2"/>
    <x v="0"/>
    <x v="1"/>
    <n v="28"/>
    <x v="2"/>
    <x v="2"/>
    <x v="0"/>
    <d v="2025-02-06T00:00:00"/>
    <x v="4"/>
    <s v="Thu"/>
    <s v="Jan–Jun 2025"/>
    <x v="1"/>
    <s v="Beginner"/>
    <n v="4"/>
    <n v="0.89583333333333337"/>
    <n v="55"/>
    <x v="0"/>
    <x v="1"/>
    <n v="0"/>
    <x v="0"/>
    <x v="0"/>
    <d v="2025-06-30T00:00:00"/>
  </r>
  <r>
    <n v="1152"/>
    <x v="383"/>
    <n v="3"/>
    <x v="0"/>
    <x v="1"/>
    <n v="28"/>
    <x v="2"/>
    <x v="2"/>
    <x v="0"/>
    <d v="2025-02-06T00:00:00"/>
    <x v="4"/>
    <s v="Thu"/>
    <s v="Jan–Jun 2025"/>
    <x v="2"/>
    <s v="Beginner"/>
    <n v="4"/>
    <n v="0.9375"/>
    <n v="77.5"/>
    <x v="1"/>
    <x v="1"/>
    <n v="0"/>
    <x v="0"/>
    <x v="0"/>
    <d v="2025-06-30T00:00:00"/>
  </r>
  <r>
    <n v="1153"/>
    <x v="384"/>
    <n v="1"/>
    <x v="0"/>
    <x v="0"/>
    <n v="34"/>
    <x v="1"/>
    <x v="3"/>
    <x v="1"/>
    <d v="2025-01-12T00:00:00"/>
    <x v="2"/>
    <s v="Sun"/>
    <s v="Jan–Jun 2025"/>
    <x v="0"/>
    <s v="Beginner"/>
    <n v="4"/>
    <n v="0.79166666666666663"/>
    <n v="75.5"/>
    <x v="1"/>
    <x v="1"/>
    <n v="0"/>
    <x v="0"/>
    <x v="0"/>
    <d v="2025-06-30T00:00:00"/>
  </r>
  <r>
    <n v="1154"/>
    <x v="384"/>
    <n v="2"/>
    <x v="1"/>
    <x v="0"/>
    <n v="34"/>
    <x v="1"/>
    <x v="3"/>
    <x v="1"/>
    <d v="2025-01-12T00:00:00"/>
    <x v="2"/>
    <s v="Sun"/>
    <s v="Jan–Jun 2025"/>
    <x v="1"/>
    <s v="Beginner"/>
    <n v="4"/>
    <n v="0.75"/>
    <n v="77.5"/>
    <x v="1"/>
    <x v="1"/>
    <n v="0"/>
    <x v="0"/>
    <x v="0"/>
    <d v="2025-06-30T00:00:00"/>
  </r>
  <r>
    <n v="1155"/>
    <x v="384"/>
    <n v="3"/>
    <x v="0"/>
    <x v="0"/>
    <n v="34"/>
    <x v="1"/>
    <x v="3"/>
    <x v="1"/>
    <d v="2025-01-12T00:00:00"/>
    <x v="2"/>
    <s v="Sun"/>
    <s v="Jan–Jun 2025"/>
    <x v="2"/>
    <s v="Beginner"/>
    <n v="4"/>
    <n v="0.91666666666666663"/>
    <n v="61"/>
    <x v="1"/>
    <x v="1"/>
    <n v="0"/>
    <x v="0"/>
    <x v="0"/>
    <d v="2025-06-30T00:00:00"/>
  </r>
  <r>
    <n v="1156"/>
    <x v="385"/>
    <n v="1"/>
    <x v="0"/>
    <x v="0"/>
    <n v="22"/>
    <x v="0"/>
    <x v="0"/>
    <x v="0"/>
    <d v="2025-05-02T00:00:00"/>
    <x v="1"/>
    <s v="Fri"/>
    <s v="Jan–Jun 2025"/>
    <x v="0"/>
    <s v="Beginner"/>
    <n v="4"/>
    <n v="0.8125"/>
    <n v="80"/>
    <x v="2"/>
    <x v="0"/>
    <n v="1"/>
    <x v="1"/>
    <x v="0"/>
    <d v="2025-06-30T00:00:00"/>
  </r>
  <r>
    <n v="1157"/>
    <x v="385"/>
    <n v="2"/>
    <x v="2"/>
    <x v="0"/>
    <n v="22"/>
    <x v="0"/>
    <x v="0"/>
    <x v="0"/>
    <d v="2025-05-02T00:00:00"/>
    <x v="1"/>
    <s v="Fri"/>
    <s v="Jan–Jun 2025"/>
    <x v="1"/>
    <s v="Beginner"/>
    <n v="4"/>
    <n v="0.89583333333333337"/>
    <n v="71.5"/>
    <x v="1"/>
    <x v="0"/>
    <n v="1"/>
    <x v="1"/>
    <x v="0"/>
    <d v="2025-06-30T00:00:00"/>
  </r>
  <r>
    <n v="1158"/>
    <x v="385"/>
    <n v="3"/>
    <x v="1"/>
    <x v="0"/>
    <n v="22"/>
    <x v="0"/>
    <x v="0"/>
    <x v="0"/>
    <d v="2025-05-02T00:00:00"/>
    <x v="1"/>
    <s v="Fri"/>
    <s v="Jan–Jun 2025"/>
    <x v="2"/>
    <s v="Beginner"/>
    <n v="4"/>
    <n v="0.79166666666666663"/>
    <n v="69.5"/>
    <x v="1"/>
    <x v="0"/>
    <n v="1"/>
    <x v="1"/>
    <x v="0"/>
    <d v="2025-06-30T00:00:00"/>
  </r>
  <r>
    <n v="1159"/>
    <x v="386"/>
    <n v="1"/>
    <x v="2"/>
    <x v="1"/>
    <n v="22"/>
    <x v="0"/>
    <x v="2"/>
    <x v="2"/>
    <d v="2025-03-25T00:00:00"/>
    <x v="0"/>
    <s v="Tue"/>
    <s v="Jan–Jun 2025"/>
    <x v="0"/>
    <s v="Beginner"/>
    <n v="4"/>
    <n v="0.91666666666666663"/>
    <n v="56"/>
    <x v="0"/>
    <x v="0"/>
    <n v="1"/>
    <x v="1"/>
    <x v="0"/>
    <d v="2025-06-30T00:00:00"/>
  </r>
  <r>
    <n v="1160"/>
    <x v="386"/>
    <n v="2"/>
    <x v="0"/>
    <x v="1"/>
    <n v="22"/>
    <x v="0"/>
    <x v="2"/>
    <x v="2"/>
    <d v="2025-03-25T00:00:00"/>
    <x v="0"/>
    <s v="Tue"/>
    <s v="Jan–Jun 2025"/>
    <x v="1"/>
    <s v="Beginner"/>
    <n v="4"/>
    <n v="0.77083333333333337"/>
    <n v="75.5"/>
    <x v="1"/>
    <x v="0"/>
    <n v="1"/>
    <x v="1"/>
    <x v="0"/>
    <d v="2025-06-30T00:00:00"/>
  </r>
  <r>
    <n v="1161"/>
    <x v="386"/>
    <n v="3"/>
    <x v="0"/>
    <x v="1"/>
    <n v="22"/>
    <x v="0"/>
    <x v="2"/>
    <x v="2"/>
    <d v="2025-03-25T00:00:00"/>
    <x v="0"/>
    <s v="Tue"/>
    <s v="Jan–Jun 2025"/>
    <x v="2"/>
    <s v="Beginner"/>
    <n v="4"/>
    <n v="0.8125"/>
    <n v="49.5"/>
    <x v="0"/>
    <x v="0"/>
    <n v="1"/>
    <x v="1"/>
    <x v="0"/>
    <d v="2025-06-30T00:00:00"/>
  </r>
  <r>
    <n v="1162"/>
    <x v="387"/>
    <n v="1"/>
    <x v="0"/>
    <x v="1"/>
    <n v="23"/>
    <x v="0"/>
    <x v="3"/>
    <x v="0"/>
    <d v="2025-03-28T00:00:00"/>
    <x v="0"/>
    <s v="Fri"/>
    <s v="Jan–Jun 2025"/>
    <x v="0"/>
    <s v="Beginner"/>
    <n v="4"/>
    <n v="0.75"/>
    <n v="71.5"/>
    <x v="1"/>
    <x v="0"/>
    <n v="1"/>
    <x v="1"/>
    <x v="0"/>
    <d v="2025-06-30T00:00:00"/>
  </r>
  <r>
    <n v="1163"/>
    <x v="387"/>
    <n v="2"/>
    <x v="1"/>
    <x v="1"/>
    <n v="23"/>
    <x v="0"/>
    <x v="3"/>
    <x v="0"/>
    <d v="2025-03-28T00:00:00"/>
    <x v="0"/>
    <s v="Fri"/>
    <s v="Jan–Jun 2025"/>
    <x v="1"/>
    <s v="Beginner"/>
    <n v="4"/>
    <n v="0.8125"/>
    <n v="60"/>
    <x v="1"/>
    <x v="0"/>
    <n v="1"/>
    <x v="1"/>
    <x v="0"/>
    <d v="2025-06-30T00:00:00"/>
  </r>
  <r>
    <n v="1164"/>
    <x v="387"/>
    <n v="3"/>
    <x v="2"/>
    <x v="1"/>
    <n v="23"/>
    <x v="0"/>
    <x v="3"/>
    <x v="0"/>
    <d v="2025-03-28T00:00:00"/>
    <x v="0"/>
    <s v="Fri"/>
    <s v="Jan–Jun 2025"/>
    <x v="2"/>
    <s v="Beginner"/>
    <n v="4"/>
    <n v="0.875"/>
    <n v="62"/>
    <x v="1"/>
    <x v="0"/>
    <n v="1"/>
    <x v="1"/>
    <x v="0"/>
    <d v="2025-06-30T00:00:00"/>
  </r>
  <r>
    <n v="1165"/>
    <x v="388"/>
    <n v="1"/>
    <x v="2"/>
    <x v="1"/>
    <n v="27"/>
    <x v="2"/>
    <x v="3"/>
    <x v="1"/>
    <d v="2025-04-05T00:00:00"/>
    <x v="3"/>
    <s v="Sat"/>
    <s v="Jan–Jun 2025"/>
    <x v="0"/>
    <s v="Beginner"/>
    <n v="4"/>
    <n v="0.83333333333333337"/>
    <n v="81"/>
    <x v="2"/>
    <x v="0"/>
    <n v="1"/>
    <x v="0"/>
    <x v="0"/>
    <d v="2025-06-30T00:00:00"/>
  </r>
  <r>
    <n v="1166"/>
    <x v="388"/>
    <n v="2"/>
    <x v="2"/>
    <x v="1"/>
    <n v="27"/>
    <x v="2"/>
    <x v="3"/>
    <x v="1"/>
    <d v="2025-04-05T00:00:00"/>
    <x v="3"/>
    <s v="Sat"/>
    <s v="Jan–Jun 2025"/>
    <x v="1"/>
    <s v="Beginner"/>
    <n v="4"/>
    <n v="0.79166666666666663"/>
    <n v="58.5"/>
    <x v="0"/>
    <x v="0"/>
    <n v="1"/>
    <x v="0"/>
    <x v="0"/>
    <d v="2025-06-30T00:00:00"/>
  </r>
  <r>
    <n v="1167"/>
    <x v="388"/>
    <n v="3"/>
    <x v="1"/>
    <x v="1"/>
    <n v="27"/>
    <x v="2"/>
    <x v="3"/>
    <x v="1"/>
    <d v="2025-04-05T00:00:00"/>
    <x v="3"/>
    <s v="Sat"/>
    <s v="Jan–Jun 2025"/>
    <x v="2"/>
    <s v="Beginner"/>
    <n v="4"/>
    <n v="0.8125"/>
    <n v="74.5"/>
    <x v="1"/>
    <x v="0"/>
    <n v="1"/>
    <x v="0"/>
    <x v="0"/>
    <d v="2025-06-30T00:00:00"/>
  </r>
  <r>
    <n v="1168"/>
    <x v="389"/>
    <n v="1"/>
    <x v="0"/>
    <x v="1"/>
    <n v="21"/>
    <x v="0"/>
    <x v="3"/>
    <x v="0"/>
    <d v="2025-01-07T00:00:00"/>
    <x v="2"/>
    <s v="Tue"/>
    <s v="Jan–Jun 2025"/>
    <x v="0"/>
    <s v="Beginner"/>
    <n v="4"/>
    <n v="0.83333333333333337"/>
    <n v="74.5"/>
    <x v="1"/>
    <x v="1"/>
    <n v="0"/>
    <x v="0"/>
    <x v="0"/>
    <d v="2025-06-30T00:00:00"/>
  </r>
  <r>
    <n v="1169"/>
    <x v="389"/>
    <n v="2"/>
    <x v="1"/>
    <x v="1"/>
    <n v="21"/>
    <x v="0"/>
    <x v="3"/>
    <x v="0"/>
    <d v="2025-01-07T00:00:00"/>
    <x v="2"/>
    <s v="Tue"/>
    <s v="Jan–Jun 2025"/>
    <x v="1"/>
    <s v="Beginner"/>
    <n v="4"/>
    <n v="0.875"/>
    <n v="61.5"/>
    <x v="1"/>
    <x v="1"/>
    <n v="0"/>
    <x v="0"/>
    <x v="0"/>
    <d v="2025-06-30T00:00:00"/>
  </r>
  <r>
    <n v="1170"/>
    <x v="389"/>
    <n v="3"/>
    <x v="0"/>
    <x v="1"/>
    <n v="21"/>
    <x v="0"/>
    <x v="3"/>
    <x v="0"/>
    <d v="2025-01-07T00:00:00"/>
    <x v="2"/>
    <s v="Tue"/>
    <s v="Jan–Jun 2025"/>
    <x v="2"/>
    <s v="Beginner"/>
    <n v="4"/>
    <n v="0.79166666666666663"/>
    <n v="89"/>
    <x v="2"/>
    <x v="1"/>
    <n v="0"/>
    <x v="0"/>
    <x v="0"/>
    <d v="2025-06-30T00:00:00"/>
  </r>
  <r>
    <n v="1171"/>
    <x v="390"/>
    <n v="1"/>
    <x v="0"/>
    <x v="1"/>
    <n v="26"/>
    <x v="2"/>
    <x v="0"/>
    <x v="2"/>
    <d v="2025-01-14T00:00:00"/>
    <x v="2"/>
    <s v="Tue"/>
    <s v="Jan–Jun 2025"/>
    <x v="0"/>
    <s v="Beginner"/>
    <n v="4"/>
    <n v="0.83333333333333337"/>
    <n v="81.5"/>
    <x v="2"/>
    <x v="0"/>
    <n v="1"/>
    <x v="1"/>
    <x v="1"/>
    <d v="2025-06-30T00:00:00"/>
  </r>
  <r>
    <n v="1172"/>
    <x v="390"/>
    <n v="2"/>
    <x v="0"/>
    <x v="1"/>
    <n v="26"/>
    <x v="2"/>
    <x v="0"/>
    <x v="2"/>
    <d v="2025-01-14T00:00:00"/>
    <x v="2"/>
    <s v="Tue"/>
    <s v="Jan–Jun 2025"/>
    <x v="1"/>
    <s v="Beginner"/>
    <n v="4"/>
    <n v="0.75"/>
    <n v="71.5"/>
    <x v="1"/>
    <x v="0"/>
    <n v="1"/>
    <x v="1"/>
    <x v="1"/>
    <d v="2025-06-30T00:00:00"/>
  </r>
  <r>
    <n v="1173"/>
    <x v="390"/>
    <n v="3"/>
    <x v="0"/>
    <x v="1"/>
    <n v="26"/>
    <x v="2"/>
    <x v="0"/>
    <x v="2"/>
    <d v="2025-01-14T00:00:00"/>
    <x v="2"/>
    <s v="Tue"/>
    <s v="Jan–Jun 2025"/>
    <x v="2"/>
    <s v="Beginner"/>
    <n v="4"/>
    <n v="0.89583333333333337"/>
    <n v="80.5"/>
    <x v="2"/>
    <x v="0"/>
    <n v="1"/>
    <x v="1"/>
    <x v="1"/>
    <d v="2025-06-30T00:00:00"/>
  </r>
  <r>
    <n v="1174"/>
    <x v="391"/>
    <n v="1"/>
    <x v="0"/>
    <x v="1"/>
    <n v="23"/>
    <x v="0"/>
    <x v="2"/>
    <x v="3"/>
    <d v="2025-02-07T00:00:00"/>
    <x v="4"/>
    <s v="Fri"/>
    <s v="Jan–Jun 2025"/>
    <x v="0"/>
    <s v="Beginner"/>
    <n v="4"/>
    <n v="0.89583333333333337"/>
    <n v="54.5"/>
    <x v="0"/>
    <x v="0"/>
    <n v="1"/>
    <x v="0"/>
    <x v="0"/>
    <d v="2025-06-30T00:00:00"/>
  </r>
  <r>
    <n v="1175"/>
    <x v="391"/>
    <n v="2"/>
    <x v="1"/>
    <x v="1"/>
    <n v="23"/>
    <x v="0"/>
    <x v="2"/>
    <x v="3"/>
    <d v="2025-02-07T00:00:00"/>
    <x v="4"/>
    <s v="Fri"/>
    <s v="Jan–Jun 2025"/>
    <x v="1"/>
    <s v="Beginner"/>
    <n v="4"/>
    <n v="0.77083333333333337"/>
    <n v="74"/>
    <x v="1"/>
    <x v="0"/>
    <n v="1"/>
    <x v="0"/>
    <x v="0"/>
    <d v="2025-06-30T00:00:00"/>
  </r>
  <r>
    <n v="1176"/>
    <x v="391"/>
    <n v="3"/>
    <x v="2"/>
    <x v="1"/>
    <n v="23"/>
    <x v="0"/>
    <x v="2"/>
    <x v="3"/>
    <d v="2025-02-07T00:00:00"/>
    <x v="4"/>
    <s v="Fri"/>
    <s v="Jan–Jun 2025"/>
    <x v="2"/>
    <s v="Beginner"/>
    <n v="4"/>
    <n v="0.8125"/>
    <n v="64"/>
    <x v="1"/>
    <x v="0"/>
    <n v="1"/>
    <x v="0"/>
    <x v="0"/>
    <d v="2025-06-30T00:00:00"/>
  </r>
  <r>
    <n v="1177"/>
    <x v="392"/>
    <n v="1"/>
    <x v="1"/>
    <x v="0"/>
    <n v="19"/>
    <x v="0"/>
    <x v="2"/>
    <x v="1"/>
    <d v="2025-02-18T00:00:00"/>
    <x v="4"/>
    <s v="Tue"/>
    <s v="Jan–Jun 2025"/>
    <x v="0"/>
    <s v="Beginner"/>
    <n v="4"/>
    <n v="0.89583333333333337"/>
    <n v="72.5"/>
    <x v="1"/>
    <x v="0"/>
    <n v="1"/>
    <x v="1"/>
    <x v="0"/>
    <d v="2025-06-30T00:00:00"/>
  </r>
  <r>
    <n v="1178"/>
    <x v="392"/>
    <n v="2"/>
    <x v="0"/>
    <x v="0"/>
    <n v="19"/>
    <x v="0"/>
    <x v="2"/>
    <x v="1"/>
    <d v="2025-02-18T00:00:00"/>
    <x v="4"/>
    <s v="Tue"/>
    <s v="Jan–Jun 2025"/>
    <x v="1"/>
    <s v="Beginner"/>
    <n v="4"/>
    <n v="0.83333333333333337"/>
    <n v="93.5"/>
    <x v="2"/>
    <x v="0"/>
    <n v="1"/>
    <x v="1"/>
    <x v="0"/>
    <d v="2025-06-30T00:00:00"/>
  </r>
  <r>
    <n v="1179"/>
    <x v="392"/>
    <n v="3"/>
    <x v="0"/>
    <x v="0"/>
    <n v="19"/>
    <x v="0"/>
    <x v="2"/>
    <x v="1"/>
    <d v="2025-02-18T00:00:00"/>
    <x v="4"/>
    <s v="Tue"/>
    <s v="Jan–Jun 2025"/>
    <x v="2"/>
    <s v="Beginner"/>
    <n v="4"/>
    <n v="0.77083333333333337"/>
    <n v="73"/>
    <x v="1"/>
    <x v="0"/>
    <n v="1"/>
    <x v="1"/>
    <x v="0"/>
    <d v="2025-06-30T00:00:00"/>
  </r>
  <r>
    <n v="1180"/>
    <x v="393"/>
    <n v="1"/>
    <x v="1"/>
    <x v="0"/>
    <n v="32"/>
    <x v="1"/>
    <x v="5"/>
    <x v="3"/>
    <d v="2025-02-08T00:00:00"/>
    <x v="4"/>
    <s v="Sat"/>
    <s v="Jan–Jun 2025"/>
    <x v="0"/>
    <s v="Beginner"/>
    <n v="4"/>
    <n v="0.75"/>
    <n v="63"/>
    <x v="1"/>
    <x v="1"/>
    <n v="0"/>
    <x v="0"/>
    <x v="0"/>
    <d v="2025-06-30T00:00:00"/>
  </r>
  <r>
    <n v="1181"/>
    <x v="393"/>
    <n v="2"/>
    <x v="2"/>
    <x v="0"/>
    <n v="32"/>
    <x v="1"/>
    <x v="5"/>
    <x v="3"/>
    <d v="2025-02-08T00:00:00"/>
    <x v="4"/>
    <s v="Sat"/>
    <s v="Jan–Jun 2025"/>
    <x v="1"/>
    <s v="Beginner"/>
    <n v="4"/>
    <n v="0.85416666666666663"/>
    <n v="59"/>
    <x v="0"/>
    <x v="1"/>
    <n v="0"/>
    <x v="0"/>
    <x v="0"/>
    <d v="2025-06-30T00:00:00"/>
  </r>
  <r>
    <n v="1182"/>
    <x v="393"/>
    <n v="3"/>
    <x v="1"/>
    <x v="0"/>
    <n v="32"/>
    <x v="1"/>
    <x v="5"/>
    <x v="3"/>
    <d v="2025-02-08T00:00:00"/>
    <x v="4"/>
    <s v="Sat"/>
    <s v="Jan–Jun 2025"/>
    <x v="2"/>
    <s v="Beginner"/>
    <n v="4"/>
    <n v="0.875"/>
    <n v="69.5"/>
    <x v="1"/>
    <x v="1"/>
    <n v="0"/>
    <x v="0"/>
    <x v="0"/>
    <d v="2025-06-30T00:00:00"/>
  </r>
  <r>
    <n v="1183"/>
    <x v="394"/>
    <n v="1"/>
    <x v="2"/>
    <x v="1"/>
    <n v="24"/>
    <x v="0"/>
    <x v="3"/>
    <x v="3"/>
    <d v="2025-01-16T00:00:00"/>
    <x v="2"/>
    <s v="Thu"/>
    <s v="Jan–Jun 2025"/>
    <x v="0"/>
    <s v="Beginner"/>
    <n v="4"/>
    <n v="0.89583333333333337"/>
    <n v="62.5"/>
    <x v="1"/>
    <x v="0"/>
    <n v="1"/>
    <x v="0"/>
    <x v="0"/>
    <d v="2025-06-30T00:00:00"/>
  </r>
  <r>
    <n v="1184"/>
    <x v="394"/>
    <n v="2"/>
    <x v="0"/>
    <x v="1"/>
    <n v="24"/>
    <x v="0"/>
    <x v="3"/>
    <x v="3"/>
    <d v="2025-01-16T00:00:00"/>
    <x v="2"/>
    <s v="Thu"/>
    <s v="Jan–Jun 2025"/>
    <x v="1"/>
    <s v="Beginner"/>
    <n v="4"/>
    <n v="0.79166666666666663"/>
    <n v="69.5"/>
    <x v="1"/>
    <x v="0"/>
    <n v="1"/>
    <x v="0"/>
    <x v="0"/>
    <d v="2025-06-30T00:00:00"/>
  </r>
  <r>
    <n v="1185"/>
    <x v="394"/>
    <n v="3"/>
    <x v="0"/>
    <x v="1"/>
    <n v="24"/>
    <x v="0"/>
    <x v="3"/>
    <x v="3"/>
    <d v="2025-01-16T00:00:00"/>
    <x v="2"/>
    <s v="Thu"/>
    <s v="Jan–Jun 2025"/>
    <x v="2"/>
    <s v="Beginner"/>
    <n v="4"/>
    <n v="0.875"/>
    <n v="69"/>
    <x v="1"/>
    <x v="0"/>
    <n v="1"/>
    <x v="0"/>
    <x v="0"/>
    <d v="2025-06-30T00:00:00"/>
  </r>
  <r>
    <n v="1186"/>
    <x v="395"/>
    <n v="1"/>
    <x v="0"/>
    <x v="0"/>
    <n v="34"/>
    <x v="1"/>
    <x v="4"/>
    <x v="0"/>
    <d v="2025-05-03T00:00:00"/>
    <x v="1"/>
    <s v="Sat"/>
    <s v="Jan–Jun 2025"/>
    <x v="0"/>
    <s v="Beginner"/>
    <n v="4"/>
    <n v="0.875"/>
    <n v="66.5"/>
    <x v="1"/>
    <x v="0"/>
    <n v="1"/>
    <x v="1"/>
    <x v="0"/>
    <d v="2025-06-30T00:00:00"/>
  </r>
  <r>
    <n v="1187"/>
    <x v="395"/>
    <n v="2"/>
    <x v="0"/>
    <x v="0"/>
    <n v="34"/>
    <x v="1"/>
    <x v="4"/>
    <x v="0"/>
    <d v="2025-05-03T00:00:00"/>
    <x v="1"/>
    <s v="Sat"/>
    <s v="Jan–Jun 2025"/>
    <x v="1"/>
    <s v="Beginner"/>
    <n v="4"/>
    <n v="0.79166666666666663"/>
    <n v="53.5"/>
    <x v="0"/>
    <x v="0"/>
    <n v="1"/>
    <x v="1"/>
    <x v="0"/>
    <d v="2025-06-30T00:00:00"/>
  </r>
  <r>
    <n v="1188"/>
    <x v="395"/>
    <n v="3"/>
    <x v="2"/>
    <x v="0"/>
    <n v="34"/>
    <x v="1"/>
    <x v="4"/>
    <x v="0"/>
    <d v="2025-05-03T00:00:00"/>
    <x v="1"/>
    <s v="Sat"/>
    <s v="Jan–Jun 2025"/>
    <x v="2"/>
    <s v="Beginner"/>
    <n v="4"/>
    <n v="0.72916666666666663"/>
    <n v="79.5"/>
    <x v="2"/>
    <x v="0"/>
    <n v="1"/>
    <x v="1"/>
    <x v="0"/>
    <d v="2025-06-30T00:00:00"/>
  </r>
  <r>
    <n v="1189"/>
    <x v="396"/>
    <n v="1"/>
    <x v="0"/>
    <x v="1"/>
    <n v="28"/>
    <x v="2"/>
    <x v="4"/>
    <x v="3"/>
    <d v="2025-05-17T00:00:00"/>
    <x v="1"/>
    <s v="Sat"/>
    <s v="Jan–Jun 2025"/>
    <x v="0"/>
    <s v="Beginner"/>
    <n v="4"/>
    <n v="0.75"/>
    <n v="63"/>
    <x v="1"/>
    <x v="0"/>
    <n v="1"/>
    <x v="0"/>
    <x v="1"/>
    <d v="2025-06-30T00:00:00"/>
  </r>
  <r>
    <n v="1190"/>
    <x v="396"/>
    <n v="2"/>
    <x v="2"/>
    <x v="1"/>
    <n v="28"/>
    <x v="2"/>
    <x v="4"/>
    <x v="3"/>
    <d v="2025-05-17T00:00:00"/>
    <x v="1"/>
    <s v="Sat"/>
    <s v="Jan–Jun 2025"/>
    <x v="1"/>
    <s v="Beginner"/>
    <n v="4"/>
    <n v="0.72916666666666663"/>
    <n v="77"/>
    <x v="1"/>
    <x v="0"/>
    <n v="1"/>
    <x v="0"/>
    <x v="1"/>
    <d v="2025-06-30T00:00:00"/>
  </r>
  <r>
    <n v="1191"/>
    <x v="396"/>
    <n v="3"/>
    <x v="1"/>
    <x v="1"/>
    <n v="28"/>
    <x v="2"/>
    <x v="4"/>
    <x v="3"/>
    <d v="2025-05-17T00:00:00"/>
    <x v="1"/>
    <s v="Sat"/>
    <s v="Jan–Jun 2025"/>
    <x v="2"/>
    <s v="Beginner"/>
    <n v="4"/>
    <n v="0.77083333333333337"/>
    <n v="53"/>
    <x v="0"/>
    <x v="0"/>
    <n v="1"/>
    <x v="0"/>
    <x v="1"/>
    <d v="2025-06-30T00:00:00"/>
  </r>
  <r>
    <n v="1192"/>
    <x v="397"/>
    <n v="1"/>
    <x v="1"/>
    <x v="1"/>
    <n v="35"/>
    <x v="1"/>
    <x v="5"/>
    <x v="0"/>
    <d v="2025-05-04T00:00:00"/>
    <x v="1"/>
    <s v="Sun"/>
    <s v="Jan–Jun 2025"/>
    <x v="0"/>
    <s v="Beginner"/>
    <n v="4"/>
    <n v="0.85416666666666663"/>
    <n v="64.5"/>
    <x v="1"/>
    <x v="0"/>
    <n v="1"/>
    <x v="1"/>
    <x v="0"/>
    <d v="2025-06-30T00:00:00"/>
  </r>
  <r>
    <n v="1193"/>
    <x v="397"/>
    <n v="2"/>
    <x v="0"/>
    <x v="1"/>
    <n v="35"/>
    <x v="1"/>
    <x v="5"/>
    <x v="0"/>
    <d v="2025-05-04T00:00:00"/>
    <x v="1"/>
    <s v="Sun"/>
    <s v="Jan–Jun 2025"/>
    <x v="1"/>
    <s v="Beginner"/>
    <n v="4"/>
    <n v="0.85416666666666663"/>
    <n v="81"/>
    <x v="2"/>
    <x v="0"/>
    <n v="1"/>
    <x v="1"/>
    <x v="0"/>
    <d v="2025-06-30T00:00:00"/>
  </r>
  <r>
    <n v="1194"/>
    <x v="397"/>
    <n v="3"/>
    <x v="1"/>
    <x v="1"/>
    <n v="35"/>
    <x v="1"/>
    <x v="5"/>
    <x v="0"/>
    <d v="2025-05-04T00:00:00"/>
    <x v="1"/>
    <s v="Sun"/>
    <s v="Jan–Jun 2025"/>
    <x v="2"/>
    <s v="Beginner"/>
    <n v="4"/>
    <n v="0.83333333333333337"/>
    <n v="72.5"/>
    <x v="1"/>
    <x v="0"/>
    <n v="1"/>
    <x v="1"/>
    <x v="0"/>
    <d v="2025-06-30T00:00:00"/>
  </r>
  <r>
    <n v="1195"/>
    <x v="398"/>
    <n v="1"/>
    <x v="1"/>
    <x v="0"/>
    <n v="25"/>
    <x v="2"/>
    <x v="5"/>
    <x v="0"/>
    <d v="2025-02-27T00:00:00"/>
    <x v="4"/>
    <s v="Thu"/>
    <s v="Jan–Jun 2025"/>
    <x v="0"/>
    <s v="Beginner"/>
    <n v="4"/>
    <n v="0.875"/>
    <n v="79"/>
    <x v="2"/>
    <x v="1"/>
    <n v="0"/>
    <x v="0"/>
    <x v="0"/>
    <d v="2025-06-30T00:00:00"/>
  </r>
  <r>
    <n v="1196"/>
    <x v="398"/>
    <n v="2"/>
    <x v="0"/>
    <x v="0"/>
    <n v="25"/>
    <x v="2"/>
    <x v="5"/>
    <x v="0"/>
    <d v="2025-02-27T00:00:00"/>
    <x v="4"/>
    <s v="Thu"/>
    <s v="Jan–Jun 2025"/>
    <x v="1"/>
    <s v="Beginner"/>
    <n v="4"/>
    <n v="0.89583333333333337"/>
    <n v="77.5"/>
    <x v="1"/>
    <x v="1"/>
    <n v="0"/>
    <x v="0"/>
    <x v="0"/>
    <d v="2025-06-30T00:00:00"/>
  </r>
  <r>
    <n v="1197"/>
    <x v="398"/>
    <n v="3"/>
    <x v="0"/>
    <x v="0"/>
    <n v="25"/>
    <x v="2"/>
    <x v="5"/>
    <x v="0"/>
    <d v="2025-02-27T00:00:00"/>
    <x v="4"/>
    <s v="Thu"/>
    <s v="Jan–Jun 2025"/>
    <x v="2"/>
    <s v="Beginner"/>
    <n v="4"/>
    <n v="0.85416666666666663"/>
    <n v="65"/>
    <x v="1"/>
    <x v="1"/>
    <n v="0"/>
    <x v="0"/>
    <x v="0"/>
    <d v="2025-06-30T00:00:00"/>
  </r>
  <r>
    <n v="1198"/>
    <x v="399"/>
    <n v="1"/>
    <x v="1"/>
    <x v="1"/>
    <n v="27"/>
    <x v="2"/>
    <x v="0"/>
    <x v="2"/>
    <d v="2025-05-06T00:00:00"/>
    <x v="1"/>
    <s v="Tue"/>
    <s v="Jan–Jun 2025"/>
    <x v="0"/>
    <s v="Beginner"/>
    <n v="4"/>
    <n v="0.8125"/>
    <n v="89"/>
    <x v="2"/>
    <x v="0"/>
    <n v="1"/>
    <x v="1"/>
    <x v="0"/>
    <d v="2025-06-30T00:00:00"/>
  </r>
  <r>
    <n v="1199"/>
    <x v="399"/>
    <n v="2"/>
    <x v="1"/>
    <x v="1"/>
    <n v="27"/>
    <x v="2"/>
    <x v="0"/>
    <x v="2"/>
    <d v="2025-05-06T00:00:00"/>
    <x v="1"/>
    <s v="Tue"/>
    <s v="Jan–Jun 2025"/>
    <x v="1"/>
    <s v="Beginner"/>
    <n v="4"/>
    <n v="0.8125"/>
    <n v="94.5"/>
    <x v="2"/>
    <x v="0"/>
    <n v="1"/>
    <x v="1"/>
    <x v="0"/>
    <d v="2025-06-30T00:00:00"/>
  </r>
  <r>
    <n v="1200"/>
    <x v="399"/>
    <n v="3"/>
    <x v="0"/>
    <x v="1"/>
    <n v="27"/>
    <x v="2"/>
    <x v="0"/>
    <x v="2"/>
    <d v="2025-05-06T00:00:00"/>
    <x v="1"/>
    <s v="Tue"/>
    <s v="Jan–Jun 2025"/>
    <x v="2"/>
    <s v="Beginner"/>
    <n v="4"/>
    <n v="0.83333333333333337"/>
    <n v="53.5"/>
    <x v="0"/>
    <x v="0"/>
    <n v="1"/>
    <x v="1"/>
    <x v="0"/>
    <d v="2025-06-3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5845FF-8A27-4C0F-868B-5BC54308F32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8:E31" firstHeaderRow="1" firstDataRow="1" firstDataCol="1"/>
  <pivotFields count="24">
    <pivotField showAll="0"/>
    <pivotField dataField="1" numFmtId="1" showAll="0"/>
    <pivotField showAll="0"/>
    <pivotField showAll="0">
      <items count="4">
        <item x="2"/>
        <item x="0"/>
        <item x="1"/>
        <item t="default"/>
      </items>
    </pivotField>
    <pivotField axis="axisRow" showAll="0">
      <items count="3">
        <item x="1"/>
        <item x="0"/>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numFmtId="14" showAll="0"/>
    <pivotField showAll="0">
      <items count="6">
        <item x="2"/>
        <item x="4"/>
        <item x="0"/>
        <item x="3"/>
        <item x="1"/>
        <item t="default"/>
      </items>
    </pivotField>
    <pivotField showAll="0"/>
    <pivotField showAll="0"/>
    <pivotField showAll="0"/>
    <pivotField showAll="0"/>
    <pivotField numFmtId="1" showAll="0"/>
    <pivotField numFmtId="2" showAll="0"/>
    <pivotField numFmtId="2" showAll="0"/>
    <pivotField showAll="0"/>
    <pivotField showAll="0"/>
    <pivotField showAll="0"/>
    <pivotField showAll="0"/>
    <pivotField showAll="0"/>
    <pivotField numFmtId="14" showAll="0"/>
  </pivotFields>
  <rowFields count="1">
    <field x="4"/>
  </rowFields>
  <rowItems count="3">
    <i>
      <x/>
    </i>
    <i>
      <x v="1"/>
    </i>
    <i t="grand">
      <x/>
    </i>
  </rowItems>
  <colItems count="1">
    <i/>
  </colItems>
  <dataFields count="1">
    <dataField name="Count of Student_id" fld="1" subtotal="count" baseField="8"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1"/>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303B91-6E52-4AFA-A520-C46FC147E08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7:F11" firstHeaderRow="1" firstDataRow="1" firstDataCol="1"/>
  <pivotFields count="24">
    <pivotField showAll="0"/>
    <pivotField numFmtId="1" showAll="0"/>
    <pivotField showAll="0"/>
    <pivotField showAll="0">
      <items count="4">
        <item x="2"/>
        <item x="0"/>
        <item x="1"/>
        <item t="default"/>
      </items>
    </pivotField>
    <pivotField showAll="0"/>
    <pivotField showAll="0"/>
    <pivotField showAll="0"/>
    <pivotField showAll="0"/>
    <pivotField showAll="0"/>
    <pivotField numFmtId="14" showAll="0"/>
    <pivotField showAll="0">
      <items count="6">
        <item x="2"/>
        <item x="4"/>
        <item x="0"/>
        <item x="3"/>
        <item x="1"/>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numFmtId="1" showAll="0"/>
    <pivotField dataField="1" numFmtId="2" showAll="0"/>
    <pivotField numFmtId="2" showAll="0"/>
    <pivotField showAll="0"/>
    <pivotField showAll="0"/>
    <pivotField showAll="0"/>
    <pivotField showAll="0"/>
    <pivotField showAll="0"/>
    <pivotField numFmtId="14" showAll="0"/>
  </pivotFields>
  <rowFields count="1">
    <field x="13"/>
  </rowFields>
  <rowItems count="4">
    <i>
      <x v="1"/>
    </i>
    <i>
      <x/>
    </i>
    <i>
      <x v="2"/>
    </i>
    <i t="grand">
      <x/>
    </i>
  </rowItems>
  <colItems count="1">
    <i/>
  </colItems>
  <dataFields count="1">
    <dataField name="Average of Attendance_rate" fld="16" subtotal="average" baseField="13" baseItem="0" numFmtId="166"/>
  </dataFields>
  <formats count="1">
    <format dxfId="23">
      <pivotArea outline="0" collapsedLevelsAreSubtotals="1" fieldPosition="0"/>
    </format>
  </formats>
  <chartFormats count="2">
    <chartFormat chart="7" format="2"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949027-3C0B-43FA-91A8-48600AE6330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8:B33" firstHeaderRow="1" firstDataRow="1" firstDataCol="1"/>
  <pivotFields count="24">
    <pivotField showAll="0"/>
    <pivotField dataField="1" numFmtId="1" showAll="0"/>
    <pivotField showAll="0"/>
    <pivotField showAll="0">
      <items count="4">
        <item x="2"/>
        <item x="0"/>
        <item x="1"/>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numFmtId="14" showAll="0"/>
    <pivotField showAll="0">
      <items count="6">
        <item x="2"/>
        <item x="4"/>
        <item x="0"/>
        <item x="3"/>
        <item x="1"/>
        <item t="default"/>
      </items>
    </pivotField>
    <pivotField showAll="0"/>
    <pivotField showAll="0"/>
    <pivotField showAll="0"/>
    <pivotField showAll="0"/>
    <pivotField numFmtId="1" showAll="0"/>
    <pivotField numFmtId="2" showAll="0"/>
    <pivotField numFmtId="2" showAll="0"/>
    <pivotField showAll="0"/>
    <pivotField showAll="0"/>
    <pivotField showAll="0"/>
    <pivotField showAll="0"/>
    <pivotField showAll="0"/>
    <pivotField numFmtId="14" showAll="0"/>
  </pivotFields>
  <rowFields count="1">
    <field x="8"/>
  </rowFields>
  <rowItems count="5">
    <i>
      <x v="2"/>
    </i>
    <i>
      <x/>
    </i>
    <i>
      <x v="1"/>
    </i>
    <i>
      <x v="3"/>
    </i>
    <i t="grand">
      <x/>
    </i>
  </rowItems>
  <colItems count="1">
    <i/>
  </colItems>
  <dataFields count="1">
    <dataField name="Count of Student_id" fld="1" subtotal="count" baseField="8" baseItem="0"/>
  </dataFields>
  <chartFormats count="10">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8" count="1" selected="0">
            <x v="0"/>
          </reference>
        </references>
      </pivotArea>
    </chartFormat>
    <chartFormat chart="10" format="4">
      <pivotArea type="data" outline="0" fieldPosition="0">
        <references count="2">
          <reference field="4294967294" count="1" selected="0">
            <x v="0"/>
          </reference>
          <reference field="8" count="1" selected="0">
            <x v="2"/>
          </reference>
        </references>
      </pivotArea>
    </chartFormat>
    <chartFormat chart="10" format="5">
      <pivotArea type="data" outline="0" fieldPosition="0">
        <references count="2">
          <reference field="4294967294" count="1" selected="0">
            <x v="0"/>
          </reference>
          <reference field="8" count="1" selected="0">
            <x v="1"/>
          </reference>
        </references>
      </pivotArea>
    </chartFormat>
    <chartFormat chart="10" format="6">
      <pivotArea type="data" outline="0" fieldPosition="0">
        <references count="2">
          <reference field="4294967294" count="1" selected="0">
            <x v="0"/>
          </reference>
          <reference field="8" count="1" selected="0">
            <x v="3"/>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8" count="1" selected="0">
            <x v="2"/>
          </reference>
        </references>
      </pivotArea>
    </chartFormat>
    <chartFormat chart="15" format="14">
      <pivotArea type="data" outline="0" fieldPosition="0">
        <references count="2">
          <reference field="4294967294" count="1" selected="0">
            <x v="0"/>
          </reference>
          <reference field="8" count="1" selected="0">
            <x v="0"/>
          </reference>
        </references>
      </pivotArea>
    </chartFormat>
    <chartFormat chart="15" format="15">
      <pivotArea type="data" outline="0" fieldPosition="0">
        <references count="2">
          <reference field="4294967294" count="1" selected="0">
            <x v="0"/>
          </reference>
          <reference field="8" count="1" selected="0">
            <x v="1"/>
          </reference>
        </references>
      </pivotArea>
    </chartFormat>
    <chartFormat chart="15" format="1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73B77C-FACA-4914-99E5-18A390397BF0}"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9:K43" firstHeaderRow="1" firstDataRow="2" firstDataCol="1"/>
  <pivotFields count="24">
    <pivotField showAll="0"/>
    <pivotField dataField="1" numFmtId="1" showAll="0"/>
    <pivotField showAll="0"/>
    <pivotField axis="axisCol" showAll="0">
      <items count="4">
        <item x="2"/>
        <item x="0"/>
        <item x="1"/>
        <item t="default"/>
      </items>
    </pivotField>
    <pivotField axis="axisRow" showAll="0">
      <items count="3">
        <item x="1"/>
        <item x="0"/>
        <item t="default"/>
      </items>
    </pivotField>
    <pivotField showAll="0"/>
    <pivotField showAll="0"/>
    <pivotField showAll="0"/>
    <pivotField showAll="0">
      <items count="5">
        <item x="2"/>
        <item x="3"/>
        <item x="0"/>
        <item x="1"/>
        <item t="default"/>
      </items>
    </pivotField>
    <pivotField numFmtId="14" showAll="0"/>
    <pivotField showAll="0"/>
    <pivotField showAll="0"/>
    <pivotField showAll="0"/>
    <pivotField showAll="0"/>
    <pivotField showAll="0"/>
    <pivotField numFmtId="1" showAll="0"/>
    <pivotField numFmtId="2" showAll="0"/>
    <pivotField numFmtId="2" showAll="0"/>
    <pivotField showAll="0"/>
    <pivotField showAll="0"/>
    <pivotField showAll="0"/>
    <pivotField showAll="0"/>
    <pivotField showAll="0"/>
    <pivotField numFmtId="14" showAll="0"/>
  </pivotFields>
  <rowFields count="1">
    <field x="4"/>
  </rowFields>
  <rowItems count="3">
    <i>
      <x/>
    </i>
    <i>
      <x v="1"/>
    </i>
    <i t="grand">
      <x/>
    </i>
  </rowItems>
  <colFields count="1">
    <field x="3"/>
  </colFields>
  <colItems count="4">
    <i>
      <x/>
    </i>
    <i>
      <x v="1"/>
    </i>
    <i>
      <x v="2"/>
    </i>
    <i t="grand">
      <x/>
    </i>
  </colItems>
  <dataFields count="1">
    <dataField name="Count of Student_id" fld="1"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871466-849F-412F-9FB5-B8A261A9A6E7}"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3:B46" firstHeaderRow="1" firstDataRow="1" firstDataCol="1"/>
  <pivotFields count="24">
    <pivotField showAll="0"/>
    <pivotField numFmtId="1" showAll="0"/>
    <pivotField showAll="0"/>
    <pivotField showAll="0">
      <items count="4">
        <item x="2"/>
        <item x="0"/>
        <item x="1"/>
        <item t="default"/>
      </items>
    </pivotField>
    <pivotField showAll="0"/>
    <pivotField showAll="0"/>
    <pivotField showAll="0"/>
    <pivotField showAll="0"/>
    <pivotField showAll="0"/>
    <pivotField numFmtId="14" showAll="0"/>
    <pivotField showAll="0">
      <items count="6">
        <item x="2"/>
        <item x="4"/>
        <item x="0"/>
        <item x="3"/>
        <item x="1"/>
        <item t="default"/>
      </items>
    </pivotField>
    <pivotField showAll="0"/>
    <pivotField showAll="0"/>
    <pivotField showAll="0"/>
    <pivotField showAll="0"/>
    <pivotField numFmtId="1" showAll="0"/>
    <pivotField numFmtId="2" showAll="0"/>
    <pivotField numFmtId="2" showAll="0"/>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s>
  <rowFields count="1">
    <field x="19"/>
  </rowFields>
  <rowItems count="3">
    <i>
      <x v="1"/>
    </i>
    <i>
      <x/>
    </i>
    <i t="grand">
      <x/>
    </i>
  </rowItems>
  <colItems count="1">
    <i/>
  </colItems>
  <dataFields count="1">
    <dataField name="Count of Completed" fld="19" subtotal="count" baseField="0" baseItem="0" numFmtId="1"/>
  </dataFields>
  <formats count="3">
    <format dxfId="26">
      <pivotArea field="19" type="button" dataOnly="0" labelOnly="1" outline="0" axis="axisRow" fieldPosition="0"/>
    </format>
    <format dxfId="25">
      <pivotArea dataOnly="0" labelOnly="1" outline="0" axis="axisValues"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F4D8A9-CF0E-4882-80D7-6E8F305612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24">
    <pivotField showAll="0"/>
    <pivotField numFmtId="1" showAll="0"/>
    <pivotField showAll="0"/>
    <pivotField showAll="0">
      <items count="4">
        <item x="2"/>
        <item x="0"/>
        <item x="1"/>
        <item t="default"/>
      </items>
    </pivotField>
    <pivotField showAll="0"/>
    <pivotField showAll="0"/>
    <pivotField showAll="0"/>
    <pivotField showAll="0"/>
    <pivotField showAll="0"/>
    <pivotField numFmtId="14" showAll="0"/>
    <pivotField showAll="0">
      <items count="6">
        <item x="2"/>
        <item x="4"/>
        <item x="0"/>
        <item x="3"/>
        <item x="1"/>
        <item t="default"/>
      </items>
    </pivotField>
    <pivotField showAll="0"/>
    <pivotField showAll="0"/>
    <pivotField showAll="0"/>
    <pivotField showAll="0"/>
    <pivotField numFmtId="1" showAll="0"/>
    <pivotField numFmtId="2" showAll="0"/>
    <pivotField dataField="1" numFmtId="2" showAll="0"/>
    <pivotField showAll="0"/>
    <pivotField showAll="0"/>
    <pivotField showAll="0"/>
    <pivotField showAll="0"/>
    <pivotField showAll="0"/>
    <pivotField numFmtId="14" showAll="0"/>
  </pivotFields>
  <rowItems count="1">
    <i/>
  </rowItems>
  <colItems count="1">
    <i/>
  </colItems>
  <dataFields count="1">
    <dataField name="Average of Avg_score" fld="17" subtotal="average" baseField="0" baseItem="0" numFmtId="165"/>
  </dataFields>
  <formats count="3">
    <format dxfId="29">
      <pivotArea outline="0" collapsedLevelsAreSubtotals="1" fieldPosition="0"/>
    </format>
    <format dxfId="28">
      <pivotArea outline="0" collapsedLevelsAreSubtotals="1" fieldPosition="0"/>
    </format>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E818EE-FF79-44D8-9EBE-7A9FE19C8F7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0:C24" firstHeaderRow="0" firstDataRow="1" firstDataCol="1"/>
  <pivotFields count="24">
    <pivotField showAll="0"/>
    <pivotField numFmtId="1" showAll="0"/>
    <pivotField showAll="0"/>
    <pivotField showAll="0">
      <items count="4">
        <item x="2"/>
        <item x="0"/>
        <item x="1"/>
        <item t="default"/>
      </items>
    </pivotField>
    <pivotField showAll="0"/>
    <pivotField showAll="0"/>
    <pivotField showAll="0"/>
    <pivotField showAll="0"/>
    <pivotField showAll="0"/>
    <pivotField numFmtId="14" showAll="0"/>
    <pivotField showAll="0">
      <items count="6">
        <item x="2"/>
        <item x="4"/>
        <item x="0"/>
        <item x="3"/>
        <item x="1"/>
        <item t="default"/>
      </items>
    </pivotField>
    <pivotField showAll="0"/>
    <pivotField showAll="0"/>
    <pivotField axis="axisRow" showAll="0">
      <items count="4">
        <item x="0"/>
        <item x="2"/>
        <item x="1"/>
        <item t="default"/>
      </items>
    </pivotField>
    <pivotField showAll="0"/>
    <pivotField numFmtId="1" showAll="0"/>
    <pivotField dataField="1" numFmtId="2" showAll="0"/>
    <pivotField dataField="1" numFmtId="2" showAll="0"/>
    <pivotField showAll="0"/>
    <pivotField showAll="0"/>
    <pivotField showAll="0"/>
    <pivotField showAll="0"/>
    <pivotField showAll="0"/>
    <pivotField numFmtId="14" showAll="0"/>
  </pivotFields>
  <rowFields count="1">
    <field x="13"/>
  </rowFields>
  <rowItems count="4">
    <i>
      <x/>
    </i>
    <i>
      <x v="1"/>
    </i>
    <i>
      <x v="2"/>
    </i>
    <i t="grand">
      <x/>
    </i>
  </rowItems>
  <colFields count="1">
    <field x="-2"/>
  </colFields>
  <colItems count="2">
    <i>
      <x/>
    </i>
    <i i="1">
      <x v="1"/>
    </i>
  </colItems>
  <dataFields count="2">
    <dataField name="Average of Avg_score" fld="17" subtotal="average" baseField="0" baseItem="0" numFmtId="2"/>
    <dataField name="Average of Attendance_rate" fld="16" subtotal="average" baseField="13" baseItem="1" numFmtId="9"/>
  </dataFields>
  <formats count="3">
    <format dxfId="32">
      <pivotArea collapsedLevelsAreSubtotals="1" fieldPosition="0">
        <references count="2">
          <reference field="4294967294" count="1" selected="0">
            <x v="0"/>
          </reference>
          <reference field="13" count="1">
            <x v="1"/>
          </reference>
        </references>
      </pivotArea>
    </format>
    <format dxfId="31">
      <pivotArea collapsedLevelsAreSubtotals="1" fieldPosition="0">
        <references count="2">
          <reference field="4294967294" count="1" selected="0">
            <x v="1"/>
          </reference>
          <reference field="13" count="0"/>
        </references>
      </pivotArea>
    </format>
    <format dxfId="3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F3CD5E-E26F-45D3-A9AA-926EC1538DF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8:H32" firstHeaderRow="1" firstDataRow="1" firstDataCol="1"/>
  <pivotFields count="24">
    <pivotField showAll="0"/>
    <pivotField dataField="1" numFmtId="1" showAll="0"/>
    <pivotField showAll="0"/>
    <pivotField showAll="0">
      <items count="4">
        <item x="2"/>
        <item x="0"/>
        <item x="1"/>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numFmtId="14" showAll="0"/>
    <pivotField showAll="0">
      <items count="6">
        <item x="2"/>
        <item x="4"/>
        <item x="0"/>
        <item x="3"/>
        <item x="1"/>
        <item t="default"/>
      </items>
    </pivotField>
    <pivotField showAll="0"/>
    <pivotField showAll="0"/>
    <pivotField showAll="0"/>
    <pivotField showAll="0"/>
    <pivotField numFmtId="1" showAll="0"/>
    <pivotField numFmtId="2" showAll="0"/>
    <pivotField numFmtId="2"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s>
  <rowFields count="1">
    <field x="18"/>
  </rowFields>
  <rowItems count="4">
    <i>
      <x v="2"/>
    </i>
    <i>
      <x/>
    </i>
    <i>
      <x v="1"/>
    </i>
    <i t="grand">
      <x/>
    </i>
  </rowItems>
  <colItems count="1">
    <i/>
  </colItems>
  <dataFields count="1">
    <dataField name="Count of Student_id" fld="1"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EC96A4-29D1-4FCE-B3A0-56111971450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A8" firstHeaderRow="1" firstDataRow="1" firstDataCol="0"/>
  <pivotFields count="24">
    <pivotField showAll="0"/>
    <pivotField numFmtId="1" showAll="0"/>
    <pivotField showAll="0"/>
    <pivotField showAll="0">
      <items count="4">
        <item x="2"/>
        <item x="0"/>
        <item x="1"/>
        <item t="default"/>
      </items>
    </pivotField>
    <pivotField showAll="0"/>
    <pivotField showAll="0"/>
    <pivotField showAll="0"/>
    <pivotField showAll="0"/>
    <pivotField showAll="0"/>
    <pivotField numFmtId="14" showAll="0"/>
    <pivotField showAll="0">
      <items count="6">
        <item x="2"/>
        <item x="4"/>
        <item x="0"/>
        <item x="3"/>
        <item x="1"/>
        <item t="default"/>
      </items>
    </pivotField>
    <pivotField showAll="0"/>
    <pivotField showAll="0"/>
    <pivotField showAll="0"/>
    <pivotField showAll="0"/>
    <pivotField numFmtId="1" showAll="0"/>
    <pivotField dataField="1" numFmtId="2" showAll="0"/>
    <pivotField numFmtId="2" showAll="0"/>
    <pivotField showAll="0"/>
    <pivotField showAll="0"/>
    <pivotField showAll="0"/>
    <pivotField showAll="0"/>
    <pivotField showAll="0"/>
    <pivotField numFmtId="14" showAll="0"/>
  </pivotFields>
  <rowItems count="1">
    <i/>
  </rowItems>
  <colItems count="1">
    <i/>
  </colItems>
  <dataFields count="1">
    <dataField name="Average of Attendance_rate" fld="16" subtotal="average" baseField="0" baseItem="0" numFmtId="9"/>
  </dataFields>
  <formats count="3">
    <format dxfId="35">
      <pivotArea outline="0" collapsedLevelsAreSubtotals="1" fieldPosition="0"/>
    </format>
    <format dxfId="34">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0FE326-0460-481D-AC36-52A16C2B596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15:G22" firstHeaderRow="1" firstDataRow="1" firstDataCol="1"/>
  <pivotFields count="24">
    <pivotField showAll="0"/>
    <pivotField numFmtId="1" showAll="0"/>
    <pivotField showAll="0"/>
    <pivotField showAll="0">
      <items count="4">
        <item x="2"/>
        <item x="0"/>
        <item x="1"/>
        <item t="default"/>
      </items>
    </pivotField>
    <pivotField showAll="0"/>
    <pivotField showAll="0"/>
    <pivotField showAll="0"/>
    <pivotField axis="axisRow" showAll="0" sortType="descending">
      <items count="7">
        <item x="0"/>
        <item x="4"/>
        <item x="3"/>
        <item x="5"/>
        <item x="2"/>
        <item x="1"/>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6">
        <item x="2"/>
        <item x="4"/>
        <item x="0"/>
        <item x="3"/>
        <item x="1"/>
        <item t="default"/>
      </items>
    </pivotField>
    <pivotField showAll="0"/>
    <pivotField showAll="0"/>
    <pivotField showAll="0"/>
    <pivotField showAll="0"/>
    <pivotField numFmtId="1" showAll="0"/>
    <pivotField numFmtId="2" showAll="0"/>
    <pivotField numFmtId="2" showAll="0"/>
    <pivotField showAll="0"/>
    <pivotField showAll="0"/>
    <pivotField dataField="1" showAll="0"/>
    <pivotField showAll="0"/>
    <pivotField showAll="0"/>
    <pivotField numFmtId="14" showAll="0"/>
  </pivotFields>
  <rowFields count="1">
    <field x="7"/>
  </rowFields>
  <rowItems count="7">
    <i>
      <x v="2"/>
    </i>
    <i>
      <x v="5"/>
    </i>
    <i>
      <x/>
    </i>
    <i>
      <x v="4"/>
    </i>
    <i>
      <x v="1"/>
    </i>
    <i>
      <x v="3"/>
    </i>
    <i t="grand">
      <x/>
    </i>
  </rowItems>
  <colItems count="1">
    <i/>
  </colItems>
  <dataFields count="1">
    <dataField name="Count of Completed_flag" fld="20" subtotal="count" baseField="7"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B1334E-803E-45D2-91F2-79A1B2932A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dataField="1" showAll="0"/>
    <pivotField numFmtId="1" showAll="0"/>
    <pivotField showAll="0"/>
    <pivotField showAll="0">
      <items count="4">
        <item x="2"/>
        <item x="0"/>
        <item x="1"/>
        <item t="default"/>
      </items>
    </pivotField>
    <pivotField showAll="0"/>
    <pivotField showAll="0"/>
    <pivotField showAll="0"/>
    <pivotField showAll="0"/>
    <pivotField showAll="0"/>
    <pivotField numFmtId="14" showAll="0"/>
    <pivotField showAll="0">
      <items count="6">
        <item x="2"/>
        <item x="4"/>
        <item x="0"/>
        <item x="3"/>
        <item x="1"/>
        <item t="default"/>
      </items>
    </pivotField>
    <pivotField showAll="0"/>
    <pivotField showAll="0"/>
    <pivotField showAll="0"/>
    <pivotField showAll="0"/>
    <pivotField numFmtId="1" showAll="0"/>
    <pivotField numFmtId="2" showAll="0"/>
    <pivotField numFmtId="2" showAll="0"/>
    <pivotField showAll="0"/>
    <pivotField showAll="0"/>
    <pivotField showAll="0"/>
    <pivotField showAll="0"/>
    <pivotField showAll="0"/>
    <pivotField numFmtId="14" showAll="0"/>
  </pivotFields>
  <rowItems count="1">
    <i/>
  </rowItems>
  <colItems count="1">
    <i/>
  </colItems>
  <dataFields count="1">
    <dataField name="Count of Enrollm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3A15606-5878-4B72-B165-CDE81125D75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12:D16" firstHeaderRow="1" firstDataRow="1" firstDataCol="1"/>
  <pivotFields count="24">
    <pivotField showAll="0"/>
    <pivotField numFmtId="1" showAll="0"/>
    <pivotField showAll="0"/>
    <pivotField showAll="0">
      <items count="4">
        <item x="2"/>
        <item x="0"/>
        <item x="1"/>
        <item t="default"/>
      </items>
    </pivotField>
    <pivotField showAll="0"/>
    <pivotField showAll="0"/>
    <pivotField showAll="0"/>
    <pivotField showAll="0"/>
    <pivotField showAll="0"/>
    <pivotField numFmtId="14" showAll="0"/>
    <pivotField showAll="0">
      <items count="6">
        <item x="2"/>
        <item x="4"/>
        <item x="0"/>
        <item x="3"/>
        <item x="1"/>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numFmtId="1" showAll="0"/>
    <pivotField numFmtId="2" showAll="0"/>
    <pivotField dataField="1" numFmtId="2" showAll="0"/>
    <pivotField showAll="0"/>
    <pivotField showAll="0"/>
    <pivotField showAll="0"/>
    <pivotField showAll="0"/>
    <pivotField showAll="0"/>
    <pivotField numFmtId="14" showAll="0"/>
  </pivotFields>
  <rowFields count="1">
    <field x="13"/>
  </rowFields>
  <rowItems count="4">
    <i>
      <x v="2"/>
    </i>
    <i>
      <x v="1"/>
    </i>
    <i>
      <x/>
    </i>
    <i t="grand">
      <x/>
    </i>
  </rowItems>
  <colItems count="1">
    <i/>
  </colItems>
  <dataFields count="1">
    <dataField name="Average of Avg_score" fld="17" subtotal="average" baseField="0" baseItem="0" numFmtId="2"/>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3" count="1" selected="0">
            <x v="0"/>
          </reference>
        </references>
      </pivotArea>
    </chartFormat>
    <chartFormat chart="3" format="4">
      <pivotArea type="data" outline="0" fieldPosition="0">
        <references count="2">
          <reference field="4294967294" count="1" selected="0">
            <x v="0"/>
          </reference>
          <reference field="13" count="1" selected="0">
            <x v="2"/>
          </reference>
        </references>
      </pivotArea>
    </chartFormat>
    <chartFormat chart="3" format="5">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3" count="1" selected="0">
            <x v="2"/>
          </reference>
        </references>
      </pivotArea>
    </chartFormat>
    <chartFormat chart="8" format="12">
      <pivotArea type="data" outline="0" fieldPosition="0">
        <references count="2">
          <reference field="4294967294" count="1" selected="0">
            <x v="0"/>
          </reference>
          <reference field="13" count="1" selected="0">
            <x v="1"/>
          </reference>
        </references>
      </pivotArea>
    </chartFormat>
    <chartFormat chart="8" format="13">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D94075-505E-48E2-97DE-05A0B2168C6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4:E38" firstHeaderRow="1" firstDataRow="1" firstDataCol="1"/>
  <pivotFields count="24">
    <pivotField showAll="0"/>
    <pivotField dataField="1" numFmtId="1" showAll="0"/>
    <pivotField showAll="0"/>
    <pivotField showAll="0">
      <items count="4">
        <item x="2"/>
        <item x="0"/>
        <item x="1"/>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numFmtId="14" showAll="0"/>
    <pivotField showAll="0">
      <items count="6">
        <item x="2"/>
        <item x="4"/>
        <item x="0"/>
        <item x="3"/>
        <item x="1"/>
        <item t="default"/>
      </items>
    </pivotField>
    <pivotField showAll="0"/>
    <pivotField showAll="0"/>
    <pivotField showAll="0"/>
    <pivotField showAll="0"/>
    <pivotField numFmtId="1" showAll="0"/>
    <pivotField numFmtId="2" showAll="0"/>
    <pivotField numFmtId="2" showAll="0"/>
    <pivotField showAll="0"/>
    <pivotField showAll="0"/>
    <pivotField showAll="0"/>
    <pivotField showAll="0"/>
    <pivotField showAll="0"/>
    <pivotField numFmtId="14" showAll="0"/>
  </pivotFields>
  <rowFields count="1">
    <field x="6"/>
  </rowFields>
  <rowItems count="4">
    <i>
      <x/>
    </i>
    <i>
      <x v="1"/>
    </i>
    <i>
      <x v="2"/>
    </i>
    <i t="grand">
      <x/>
    </i>
  </rowItems>
  <colItems count="1">
    <i/>
  </colItems>
  <dataFields count="1">
    <dataField name="Count of Student_id" fld="1" subtotal="count" baseField="8" baseItem="0" numFmtId="1"/>
  </dataFields>
  <formats count="2">
    <format dxfId="4">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FB2CF63-5415-4474-8FE2-A4BDC03FF304}"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1:A12" firstHeaderRow="1" firstDataRow="1" firstDataCol="0"/>
  <pivotFields count="24">
    <pivotField showAll="0"/>
    <pivotField numFmtId="1" showAll="0"/>
    <pivotField showAll="0"/>
    <pivotField showAll="0">
      <items count="4">
        <item x="2"/>
        <item x="0"/>
        <item x="1"/>
        <item t="default"/>
      </items>
    </pivotField>
    <pivotField showAll="0"/>
    <pivotField showAll="0"/>
    <pivotField showAll="0"/>
    <pivotField showAll="0"/>
    <pivotField showAll="0"/>
    <pivotField numFmtId="14" showAll="0"/>
    <pivotField showAll="0">
      <items count="6">
        <item x="2"/>
        <item x="4"/>
        <item x="0"/>
        <item x="3"/>
        <item x="1"/>
        <item t="default"/>
      </items>
    </pivotField>
    <pivotField showAll="0"/>
    <pivotField showAll="0"/>
    <pivotField showAll="0"/>
    <pivotField showAll="0"/>
    <pivotField numFmtId="1" showAll="0"/>
    <pivotField numFmtId="2" showAll="0"/>
    <pivotField numFmtId="2" showAll="0"/>
    <pivotField showAll="0"/>
    <pivotField showAll="0">
      <items count="3">
        <item x="1"/>
        <item x="0"/>
        <item t="default"/>
      </items>
    </pivotField>
    <pivotField dataField="1" showAll="0"/>
    <pivotField showAll="0"/>
    <pivotField showAll="0"/>
    <pivotField numFmtId="14" showAll="0"/>
  </pivotFields>
  <rowItems count="1">
    <i/>
  </rowItems>
  <colItems count="1">
    <i/>
  </colItems>
  <dataFields count="1">
    <dataField name="Average of Completed_flag" fld="20" subtotal="average" baseField="0" baseItem="0" numFmtId="9"/>
  </dataFields>
  <formats count="3">
    <format dxfId="38">
      <pivotArea field="19" type="button" dataOnly="0" labelOnly="1" outline="0"/>
    </format>
    <format dxfId="37">
      <pivotArea dataOnly="0" labelOnly="1" outline="0" axis="axisValues" fieldPosition="0"/>
    </format>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rollment_month" xr10:uid="{A8DE69A2-21BE-48A8-8C84-4F7B7066BCD0}" sourceName="Enrollment_month">
  <pivotTables>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5"/>
    <pivotTable tabId="3" name="PivotTable6"/>
    <pivotTable tabId="3" name="PivotTable7"/>
    <pivotTable tabId="3" name="PivotTable9"/>
    <pivotTable tabId="3" name="PivotTable4"/>
  </pivotTables>
  <data>
    <tabular pivotCacheId="451129471">
      <items count="5">
        <i x="2" s="1"/>
        <i x="4"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rollment_status" xr10:uid="{DF4468D0-C0E4-4945-9372-515C61568176}" sourceName="Enrollment_status">
  <pivotTables>
    <pivotTable tabId="3" name="PivotTable1"/>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9"/>
    <pivotTable tabId="3" name="PivotTable10"/>
  </pivotTables>
  <data>
    <tabular pivotCacheId="45112947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rollment_month" xr10:uid="{7BAAB4BF-BC0F-47BB-A5FC-5CA98D01057B}" cache="Slicer_Enrollment_month" caption="Enrollment_month" style="SlicerStyleDark5" rowHeight="234950"/>
  <slicer name="Enrollment_status" xr10:uid="{8E6F8AEA-B4F9-4F3A-87CB-FE41337F6BB3}" cache="Slicer_Enrollment_status" caption="Enrollment_status"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F29523-90F4-460F-82A3-7EDED814F0FD}" name="Table2" displayName="Table2" ref="A1:X1201" totalsRowShown="0" headerRowDxfId="49">
  <autoFilter ref="A1:X1201" xr:uid="{49F29523-90F4-460F-82A3-7EDED814F0FD}"/>
  <tableColumns count="24">
    <tableColumn id="1" xr3:uid="{E852E03D-A5B8-4708-A302-ED1DD32B5D10}" name="Enrollment_id"/>
    <tableColumn id="2" xr3:uid="{3B99243E-C56E-45AC-BAC2-687B95A89572}" name="Student_id" dataDxfId="48"/>
    <tableColumn id="3" xr3:uid="{DF940B12-567D-4A84-8207-759F5766D096}" name="Program_id"/>
    <tableColumn id="22" xr3:uid="{54ADCACA-C07A-4F1B-8B2D-3CFC7F81F8BA}" name="Enrollment_status"/>
    <tableColumn id="25" xr3:uid="{C1B97BBE-A0AE-4DCE-9F9E-1869377FA940}" name="Gender"/>
    <tableColumn id="6" xr3:uid="{E523648C-939D-4B48-98EC-1EE743A92BBF}" name="Age"/>
    <tableColumn id="31" xr3:uid="{03F2D443-D526-4636-B3C3-04D3E5BBA0B6}" name="Age_group">
      <calculatedColumnFormula>IF(Table2[[#This Row],[Age]]&gt;=30,"Experienced",IF(Table2[[#This Row],[Age]]&gt;=25,"Mid Level", "Entry Level"))</calculatedColumnFormula>
    </tableColumn>
    <tableColumn id="23" xr3:uid="{7AC76D4A-A51C-4369-B280-4577CDCEC92B}" name="Location"/>
    <tableColumn id="26" xr3:uid="{E48A445D-9888-403F-B9C6-B24C10738AC8}" name="Education_level"/>
    <tableColumn id="10" xr3:uid="{68D4974D-4802-4932-995C-78BEC3359C37}" name="Enrollment_date" dataDxfId="47"/>
    <tableColumn id="27" xr3:uid="{7E3F5B29-DC54-4D70-A573-4419323031AF}" name="Enrollment_month" dataDxfId="46">
      <calculatedColumnFormula>TEXT(Table2[[#This Row],[Enrollment_date]],"Mmm")</calculatedColumnFormula>
    </tableColumn>
    <tableColumn id="28" xr3:uid="{AA1B1EDE-1F73-4E6B-9D67-1CE5556502D9}" name="Enrollment_day" dataDxfId="45">
      <calculatedColumnFormula>TEXT(Table2[[#This Row],[Enrollment_date]],"Ddd")</calculatedColumnFormula>
    </tableColumn>
    <tableColumn id="11" xr3:uid="{B6F23F90-789E-4C4A-8700-3F9ACD7914F6}" name="Cohort" dataDxfId="44"/>
    <tableColumn id="12" xr3:uid="{71EC19C1-1AA1-48B3-9B80-2904194C4F03}" name="Program_name"/>
    <tableColumn id="13" xr3:uid="{F9253AB9-5A55-424F-9795-23ABAF7E5F3C}" name="Level"/>
    <tableColumn id="14" xr3:uid="{C92AC6BB-2584-44D1-82A6-B281D6EB60FB}" name="Duration_weeks" dataDxfId="43"/>
    <tableColumn id="15" xr3:uid="{C2B40281-31A0-4301-BFD8-68E8857D36B4}" name="Attendance_rate" dataDxfId="42"/>
    <tableColumn id="16" xr3:uid="{F56B15C6-8DEC-40C4-84A6-B9C8B3294EBA}" name="Avg_score" dataDxfId="41"/>
    <tableColumn id="30" xr3:uid="{6FAAAF7E-F361-4041-B18C-25F376A4F172}" name="Assessment grade" dataDxfId="40">
      <calculatedColumnFormula>IF(Table2[[#This Row],[Avg_score]]&gt;=79,"Distinction",IF(Table2[[#This Row],[Avg_score]]&gt;=60,"Pass","Fail"))</calculatedColumnFormula>
    </tableColumn>
    <tableColumn id="17" xr3:uid="{D81AF844-9000-48AC-A973-DB32C7F09F7E}" name="Completed"/>
    <tableColumn id="29" xr3:uid="{653A6628-076B-47DD-88E8-77F4066E55F9}" name="Completed_flag">
      <calculatedColumnFormula>IF(Table2[[#This Row],[Completed]]="Yes",1,0)</calculatedColumnFormula>
    </tableColumn>
    <tableColumn id="18" xr3:uid="{F526AC4F-27EC-43B1-9E55-48CA2F4AE28C}" name="Portfolio_created"/>
    <tableColumn id="20" xr3:uid="{41FD4D6C-E131-4CCA-A7E8-64F9E6A399A0}" name="Internship_placed"/>
    <tableColumn id="21" xr3:uid="{3FCED812-CDA9-4484-8A53-AA26905AC2C6}" name="Outcome_date" dataDxfId="39"/>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A8B4-B174-4338-9404-DFA3AA1AD0AA}">
  <dimension ref="A1:X1201"/>
  <sheetViews>
    <sheetView topLeftCell="F1" zoomScale="70" zoomScaleNormal="70" workbookViewId="0">
      <selection activeCell="L3" sqref="L3"/>
    </sheetView>
  </sheetViews>
  <sheetFormatPr defaultRowHeight="14.4" x14ac:dyDescent="0.3"/>
  <cols>
    <col min="1" max="1" width="14.6640625" customWidth="1"/>
    <col min="2" max="2" width="11.88671875" style="8" customWidth="1"/>
    <col min="3" max="3" width="12.6640625" customWidth="1"/>
    <col min="4" max="4" width="18.109375" customWidth="1"/>
    <col min="5" max="5" width="11.88671875" customWidth="1"/>
    <col min="6" max="6" width="8.88671875" bestFit="1" customWidth="1"/>
    <col min="7" max="8" width="12.6640625" customWidth="1"/>
    <col min="9" max="9" width="18.33203125" style="4" bestFit="1" customWidth="1"/>
    <col min="10" max="11" width="18.33203125" style="4" customWidth="1"/>
    <col min="12" max="12" width="12.33203125" style="4" bestFit="1" customWidth="1"/>
    <col min="13" max="13" width="15.88671875" customWidth="1"/>
    <col min="14" max="14" width="9" bestFit="1" customWidth="1"/>
    <col min="15" max="15" width="16.33203125" style="8" customWidth="1"/>
    <col min="16" max="16" width="16.77734375" style="6" customWidth="1"/>
    <col min="17" max="18" width="11.33203125" style="6" customWidth="1"/>
    <col min="19" max="20" width="11.88671875" customWidth="1"/>
    <col min="21" max="21" width="17.5546875" customWidth="1"/>
    <col min="22" max="22" width="17.88671875" customWidth="1"/>
    <col min="23" max="23" width="18.33203125" style="4" bestFit="1" customWidth="1"/>
    <col min="24" max="24" width="18.109375" bestFit="1" customWidth="1"/>
  </cols>
  <sheetData>
    <row r="1" spans="1:24" x14ac:dyDescent="0.3">
      <c r="A1" s="2" t="s">
        <v>50</v>
      </c>
      <c r="B1" s="7" t="s">
        <v>51</v>
      </c>
      <c r="C1" s="2" t="s">
        <v>52</v>
      </c>
      <c r="D1" s="2" t="s">
        <v>53</v>
      </c>
      <c r="E1" s="2" t="s">
        <v>54</v>
      </c>
      <c r="F1" s="2" t="s">
        <v>55</v>
      </c>
      <c r="G1" s="2" t="s">
        <v>72</v>
      </c>
      <c r="H1" s="2" t="s">
        <v>56</v>
      </c>
      <c r="I1" s="2" t="s">
        <v>57</v>
      </c>
      <c r="J1" s="3" t="s">
        <v>58</v>
      </c>
      <c r="K1" s="3" t="s">
        <v>69</v>
      </c>
      <c r="L1" s="3" t="s">
        <v>70</v>
      </c>
      <c r="M1" s="3" t="s">
        <v>59</v>
      </c>
      <c r="N1" s="2" t="s">
        <v>60</v>
      </c>
      <c r="O1" s="2" t="s">
        <v>61</v>
      </c>
      <c r="P1" s="7" t="s">
        <v>62</v>
      </c>
      <c r="Q1" s="5" t="s">
        <v>63</v>
      </c>
      <c r="R1" s="5" t="s">
        <v>64</v>
      </c>
      <c r="S1" s="5" t="s">
        <v>88</v>
      </c>
      <c r="T1" s="2" t="s">
        <v>19</v>
      </c>
      <c r="U1" s="2" t="s">
        <v>71</v>
      </c>
      <c r="V1" s="2" t="s">
        <v>65</v>
      </c>
      <c r="W1" s="2" t="s">
        <v>66</v>
      </c>
      <c r="X1" s="3" t="s">
        <v>67</v>
      </c>
    </row>
    <row r="2" spans="1:24" x14ac:dyDescent="0.3">
      <c r="A2">
        <v>1</v>
      </c>
      <c r="B2" s="8">
        <v>1</v>
      </c>
      <c r="C2">
        <v>1</v>
      </c>
      <c r="D2" t="s">
        <v>19</v>
      </c>
      <c r="E2" t="s">
        <v>22</v>
      </c>
      <c r="F2">
        <v>18</v>
      </c>
      <c r="H2" t="s">
        <v>24</v>
      </c>
      <c r="I2" t="s">
        <v>30</v>
      </c>
      <c r="J2" s="4">
        <v>45720</v>
      </c>
      <c r="K2" s="4" t="str">
        <f>TEXT(Table2[[#This Row],[Enrollment_date]],"Mmm")</f>
        <v>Mar</v>
      </c>
      <c r="L2" s="4" t="str">
        <f>TEXT(Table2[[#This Row],[Enrollment_date]],"Ddd")</f>
        <v>Tue</v>
      </c>
      <c r="M2" s="4" t="s">
        <v>34</v>
      </c>
      <c r="N2" t="s">
        <v>35</v>
      </c>
      <c r="O2" t="s">
        <v>38</v>
      </c>
      <c r="P2" s="8">
        <v>4</v>
      </c>
      <c r="Q2" s="6">
        <v>0.79166666666666663</v>
      </c>
      <c r="R2" s="6">
        <v>58.5</v>
      </c>
      <c r="S2" s="6">
        <f>Table2[[#This Row],[Age_group]]</f>
        <v>0</v>
      </c>
      <c r="T2" t="s">
        <v>39</v>
      </c>
      <c r="U2">
        <f>IF(Table2[[#This Row],[Completed]]="Yes",1,0)</f>
        <v>1</v>
      </c>
      <c r="V2" t="s">
        <v>40</v>
      </c>
      <c r="W2" t="s">
        <v>40</v>
      </c>
      <c r="X2" s="4">
        <v>45838</v>
      </c>
    </row>
    <row r="3" spans="1:24" x14ac:dyDescent="0.3">
      <c r="A3">
        <v>2</v>
      </c>
      <c r="B3" s="8">
        <v>1</v>
      </c>
      <c r="C3">
        <v>2</v>
      </c>
      <c r="D3" t="s">
        <v>19</v>
      </c>
      <c r="E3" t="s">
        <v>22</v>
      </c>
      <c r="F3">
        <v>18</v>
      </c>
      <c r="G3" t="str">
        <f>IF(Table2[[#This Row],[Age]]&gt;=30,"Experienced",IF(Table2[[#This Row],[Age]]&gt;=25,"Mid Level", "Entry Level"))</f>
        <v>Entry Level</v>
      </c>
      <c r="H3" t="s">
        <v>24</v>
      </c>
      <c r="I3" t="s">
        <v>30</v>
      </c>
      <c r="J3" s="4">
        <v>45720</v>
      </c>
      <c r="K3" s="4" t="str">
        <f>TEXT(Table2[[#This Row],[Enrollment_date]],"Mmm")</f>
        <v>Mar</v>
      </c>
      <c r="L3" s="4" t="str">
        <f>TEXT(Table2[[#This Row],[Enrollment_date]],"Ddd")</f>
        <v>Tue</v>
      </c>
      <c r="M3" s="4" t="s">
        <v>34</v>
      </c>
      <c r="N3" t="s">
        <v>36</v>
      </c>
      <c r="O3" t="s">
        <v>38</v>
      </c>
      <c r="P3" s="8">
        <v>4</v>
      </c>
      <c r="Q3" s="6">
        <v>0.89583333333333337</v>
      </c>
      <c r="R3" s="6">
        <v>62</v>
      </c>
      <c r="S3" s="6" t="str">
        <f>IF(Table2[[#This Row],[Avg_score]]&gt;=79,"Distinction",IF(Table2[[#This Row],[Avg_score]]&gt;=60,"Pass","Fail"))</f>
        <v>Pass</v>
      </c>
      <c r="T3" t="s">
        <v>39</v>
      </c>
      <c r="U3">
        <f>IF(Table2[[#This Row],[Completed]]="Yes",1,0)</f>
        <v>1</v>
      </c>
      <c r="V3" t="s">
        <v>40</v>
      </c>
      <c r="W3" t="s">
        <v>40</v>
      </c>
      <c r="X3" s="4">
        <v>45838</v>
      </c>
    </row>
    <row r="4" spans="1:24" x14ac:dyDescent="0.3">
      <c r="A4">
        <v>3</v>
      </c>
      <c r="B4" s="8">
        <v>1</v>
      </c>
      <c r="C4">
        <v>3</v>
      </c>
      <c r="D4" t="s">
        <v>20</v>
      </c>
      <c r="E4" t="s">
        <v>22</v>
      </c>
      <c r="F4">
        <v>18</v>
      </c>
      <c r="G4" t="str">
        <f>IF(Table2[[#This Row],[Age]]&gt;=30,"Experienced",IF(Table2[[#This Row],[Age]]&gt;=25,"Mid Level", "Entry Level"))</f>
        <v>Entry Level</v>
      </c>
      <c r="H4" t="s">
        <v>24</v>
      </c>
      <c r="I4" t="s">
        <v>30</v>
      </c>
      <c r="J4" s="4">
        <v>45720</v>
      </c>
      <c r="K4" s="4" t="str">
        <f>TEXT(Table2[[#This Row],[Enrollment_date]],"Mmm")</f>
        <v>Mar</v>
      </c>
      <c r="L4" s="4" t="str">
        <f>TEXT(Table2[[#This Row],[Enrollment_date]],"Ddd")</f>
        <v>Tue</v>
      </c>
      <c r="M4" s="4" t="s">
        <v>34</v>
      </c>
      <c r="N4" t="s">
        <v>37</v>
      </c>
      <c r="O4" t="s">
        <v>38</v>
      </c>
      <c r="P4" s="8">
        <v>4</v>
      </c>
      <c r="Q4" s="6">
        <v>0.70833333333333337</v>
      </c>
      <c r="R4" s="6">
        <v>64</v>
      </c>
      <c r="S4" s="6" t="str">
        <f>IF(Table2[[#This Row],[Avg_score]]&gt;=79,"Distinction",IF(Table2[[#This Row],[Avg_score]]&gt;=60,"Pass","Fail"))</f>
        <v>Pass</v>
      </c>
      <c r="T4" t="s">
        <v>39</v>
      </c>
      <c r="U4">
        <f>IF(Table2[[#This Row],[Completed]]="Yes",1,0)</f>
        <v>1</v>
      </c>
      <c r="V4" t="s">
        <v>40</v>
      </c>
      <c r="W4" t="s">
        <v>40</v>
      </c>
      <c r="X4" s="4">
        <v>45838</v>
      </c>
    </row>
    <row r="5" spans="1:24" x14ac:dyDescent="0.3">
      <c r="A5">
        <v>4</v>
      </c>
      <c r="B5" s="8">
        <v>2</v>
      </c>
      <c r="C5">
        <v>1</v>
      </c>
      <c r="D5" t="s">
        <v>21</v>
      </c>
      <c r="E5" t="s">
        <v>22</v>
      </c>
      <c r="F5">
        <v>22</v>
      </c>
      <c r="G5" t="str">
        <f>IF(Table2[[#This Row],[Age]]&gt;=30,"Experienced",IF(Table2[[#This Row],[Age]]&gt;=25,"Mid Level", "Entry Level"))</f>
        <v>Entry Level</v>
      </c>
      <c r="H5" t="s">
        <v>24</v>
      </c>
      <c r="I5" t="s">
        <v>68</v>
      </c>
      <c r="J5" s="4">
        <v>45797</v>
      </c>
      <c r="K5" s="4" t="str">
        <f>TEXT(Table2[[#This Row],[Enrollment_date]],"Mmm")</f>
        <v>May</v>
      </c>
      <c r="L5" s="4" t="str">
        <f>TEXT(Table2[[#This Row],[Enrollment_date]],"Ddd")</f>
        <v>Tue</v>
      </c>
      <c r="M5" s="4" t="s">
        <v>34</v>
      </c>
      <c r="N5" t="s">
        <v>35</v>
      </c>
      <c r="O5" t="s">
        <v>38</v>
      </c>
      <c r="P5" s="8">
        <v>4</v>
      </c>
      <c r="Q5" s="6">
        <v>0.83333333333333337</v>
      </c>
      <c r="R5" s="6">
        <v>70.5</v>
      </c>
      <c r="S5" s="6" t="str">
        <f>IF(Table2[[#This Row],[Avg_score]]&gt;=79,"Distinction",IF(Table2[[#This Row],[Avg_score]]&gt;=60,"Pass","Fail"))</f>
        <v>Pass</v>
      </c>
      <c r="T5" t="s">
        <v>39</v>
      </c>
      <c r="U5">
        <f>IF(Table2[[#This Row],[Completed]]="Yes",1,0)</f>
        <v>1</v>
      </c>
      <c r="V5" t="s">
        <v>39</v>
      </c>
      <c r="W5" t="s">
        <v>39</v>
      </c>
      <c r="X5" s="4">
        <v>45838</v>
      </c>
    </row>
    <row r="6" spans="1:24" x14ac:dyDescent="0.3">
      <c r="A6">
        <v>5</v>
      </c>
      <c r="B6" s="8">
        <v>2</v>
      </c>
      <c r="C6">
        <v>2</v>
      </c>
      <c r="D6" t="s">
        <v>19</v>
      </c>
      <c r="E6" t="s">
        <v>22</v>
      </c>
      <c r="F6">
        <v>22</v>
      </c>
      <c r="G6" t="str">
        <f>IF(Table2[[#This Row],[Age]]&gt;=30,"Experienced",IF(Table2[[#This Row],[Age]]&gt;=25,"Mid Level", "Entry Level"))</f>
        <v>Entry Level</v>
      </c>
      <c r="H6" t="s">
        <v>24</v>
      </c>
      <c r="I6" t="s">
        <v>68</v>
      </c>
      <c r="J6" s="4">
        <v>45797</v>
      </c>
      <c r="K6" s="4" t="str">
        <f>TEXT(Table2[[#This Row],[Enrollment_date]],"Mmm")</f>
        <v>May</v>
      </c>
      <c r="L6" s="4" t="str">
        <f>TEXT(Table2[[#This Row],[Enrollment_date]],"Ddd")</f>
        <v>Tue</v>
      </c>
      <c r="M6" s="4" t="s">
        <v>34</v>
      </c>
      <c r="N6" t="s">
        <v>36</v>
      </c>
      <c r="O6" t="s">
        <v>38</v>
      </c>
      <c r="P6" s="8">
        <v>4</v>
      </c>
      <c r="Q6" s="6">
        <v>0.79166666666666663</v>
      </c>
      <c r="R6" s="6">
        <v>86</v>
      </c>
      <c r="S6" s="6" t="str">
        <f>IF(Table2[[#This Row],[Avg_score]]&gt;=79,"Distinction",IF(Table2[[#This Row],[Avg_score]]&gt;=60,"Pass","Fail"))</f>
        <v>Distinction</v>
      </c>
      <c r="T6" t="s">
        <v>39</v>
      </c>
      <c r="U6">
        <f>IF(Table2[[#This Row],[Completed]]="Yes",1,0)</f>
        <v>1</v>
      </c>
      <c r="V6" t="s">
        <v>39</v>
      </c>
      <c r="W6" t="s">
        <v>39</v>
      </c>
      <c r="X6" s="4">
        <v>45838</v>
      </c>
    </row>
    <row r="7" spans="1:24" x14ac:dyDescent="0.3">
      <c r="A7">
        <v>6</v>
      </c>
      <c r="B7" s="8">
        <v>2</v>
      </c>
      <c r="C7">
        <v>3</v>
      </c>
      <c r="D7" t="s">
        <v>19</v>
      </c>
      <c r="E7" t="s">
        <v>22</v>
      </c>
      <c r="F7">
        <v>22</v>
      </c>
      <c r="G7" t="str">
        <f>IF(Table2[[#This Row],[Age]]&gt;=30,"Experienced",IF(Table2[[#This Row],[Age]]&gt;=25,"Mid Level", "Entry Level"))</f>
        <v>Entry Level</v>
      </c>
      <c r="H7" t="s">
        <v>24</v>
      </c>
      <c r="I7" t="s">
        <v>68</v>
      </c>
      <c r="J7" s="4">
        <v>45797</v>
      </c>
      <c r="K7" s="4" t="str">
        <f>TEXT(Table2[[#This Row],[Enrollment_date]],"Mmm")</f>
        <v>May</v>
      </c>
      <c r="L7" s="4" t="str">
        <f>TEXT(Table2[[#This Row],[Enrollment_date]],"Ddd")</f>
        <v>Tue</v>
      </c>
      <c r="M7" s="4" t="s">
        <v>34</v>
      </c>
      <c r="N7" t="s">
        <v>37</v>
      </c>
      <c r="O7" t="s">
        <v>38</v>
      </c>
      <c r="P7" s="8">
        <v>4</v>
      </c>
      <c r="Q7" s="6">
        <v>0.85416666666666663</v>
      </c>
      <c r="R7" s="6">
        <v>66</v>
      </c>
      <c r="S7" s="6" t="str">
        <f>IF(Table2[[#This Row],[Avg_score]]&gt;=79,"Distinction",IF(Table2[[#This Row],[Avg_score]]&gt;=60,"Pass","Fail"))</f>
        <v>Pass</v>
      </c>
      <c r="T7" t="s">
        <v>39</v>
      </c>
      <c r="U7">
        <f>IF(Table2[[#This Row],[Completed]]="Yes",1,0)</f>
        <v>1</v>
      </c>
      <c r="V7" t="s">
        <v>39</v>
      </c>
      <c r="W7" t="s">
        <v>39</v>
      </c>
      <c r="X7" s="4">
        <v>45838</v>
      </c>
    </row>
    <row r="8" spans="1:24" x14ac:dyDescent="0.3">
      <c r="A8">
        <v>7</v>
      </c>
      <c r="B8" s="8">
        <v>3</v>
      </c>
      <c r="C8">
        <v>1</v>
      </c>
      <c r="D8" t="s">
        <v>19</v>
      </c>
      <c r="E8" t="s">
        <v>22</v>
      </c>
      <c r="F8">
        <v>31</v>
      </c>
      <c r="G8" t="str">
        <f>IF(Table2[[#This Row],[Age]]&gt;=30,"Experienced",IF(Table2[[#This Row],[Age]]&gt;=25,"Mid Level", "Entry Level"))</f>
        <v>Experienced</v>
      </c>
      <c r="H8" t="s">
        <v>25</v>
      </c>
      <c r="I8" t="s">
        <v>68</v>
      </c>
      <c r="J8" s="4">
        <v>45681</v>
      </c>
      <c r="K8" s="4" t="str">
        <f>TEXT(Table2[[#This Row],[Enrollment_date]],"Mmm")</f>
        <v>Jan</v>
      </c>
      <c r="L8" s="4" t="str">
        <f>TEXT(Table2[[#This Row],[Enrollment_date]],"Ddd")</f>
        <v>Fri</v>
      </c>
      <c r="M8" s="4" t="s">
        <v>34</v>
      </c>
      <c r="N8" t="s">
        <v>35</v>
      </c>
      <c r="O8" t="s">
        <v>38</v>
      </c>
      <c r="P8" s="8">
        <v>4</v>
      </c>
      <c r="Q8" s="6">
        <v>0.77083333333333337</v>
      </c>
      <c r="R8" s="6">
        <v>75.5</v>
      </c>
      <c r="S8" s="6" t="str">
        <f>IF(Table2[[#This Row],[Avg_score]]&gt;=79,"Distinction",IF(Table2[[#This Row],[Avg_score]]&gt;=60,"Pass","Fail"))</f>
        <v>Pass</v>
      </c>
      <c r="T8" t="s">
        <v>40</v>
      </c>
      <c r="U8">
        <f>IF(Table2[[#This Row],[Completed]]="Yes",1,0)</f>
        <v>0</v>
      </c>
      <c r="V8" t="s">
        <v>40</v>
      </c>
      <c r="W8" t="s">
        <v>40</v>
      </c>
      <c r="X8" s="4">
        <v>45838</v>
      </c>
    </row>
    <row r="9" spans="1:24" x14ac:dyDescent="0.3">
      <c r="A9">
        <v>8</v>
      </c>
      <c r="B9" s="8">
        <v>3</v>
      </c>
      <c r="C9">
        <v>2</v>
      </c>
      <c r="D9" t="s">
        <v>19</v>
      </c>
      <c r="E9" t="s">
        <v>22</v>
      </c>
      <c r="F9">
        <v>31</v>
      </c>
      <c r="G9" t="str">
        <f>IF(Table2[[#This Row],[Age]]&gt;=30,"Experienced",IF(Table2[[#This Row],[Age]]&gt;=25,"Mid Level", "Entry Level"))</f>
        <v>Experienced</v>
      </c>
      <c r="H9" t="s">
        <v>25</v>
      </c>
      <c r="I9" t="s">
        <v>68</v>
      </c>
      <c r="J9" s="4">
        <v>45681</v>
      </c>
      <c r="K9" s="4" t="str">
        <f>TEXT(Table2[[#This Row],[Enrollment_date]],"Mmm")</f>
        <v>Jan</v>
      </c>
      <c r="L9" s="4" t="str">
        <f>TEXT(Table2[[#This Row],[Enrollment_date]],"Ddd")</f>
        <v>Fri</v>
      </c>
      <c r="M9" s="4" t="s">
        <v>34</v>
      </c>
      <c r="N9" t="s">
        <v>36</v>
      </c>
      <c r="O9" t="s">
        <v>38</v>
      </c>
      <c r="P9" s="8">
        <v>4</v>
      </c>
      <c r="Q9" s="6">
        <v>0.85416666666666663</v>
      </c>
      <c r="R9" s="6">
        <v>73</v>
      </c>
      <c r="S9" s="6" t="str">
        <f>IF(Table2[[#This Row],[Avg_score]]&gt;=79,"Distinction",IF(Table2[[#This Row],[Avg_score]]&gt;=60,"Pass","Fail"))</f>
        <v>Pass</v>
      </c>
      <c r="T9" t="s">
        <v>40</v>
      </c>
      <c r="U9">
        <f>IF(Table2[[#This Row],[Completed]]="Yes",1,0)</f>
        <v>0</v>
      </c>
      <c r="V9" t="s">
        <v>40</v>
      </c>
      <c r="W9" t="s">
        <v>40</v>
      </c>
      <c r="X9" s="4">
        <v>45838</v>
      </c>
    </row>
    <row r="10" spans="1:24" x14ac:dyDescent="0.3">
      <c r="A10">
        <v>9</v>
      </c>
      <c r="B10" s="8">
        <v>3</v>
      </c>
      <c r="C10">
        <v>3</v>
      </c>
      <c r="D10" t="s">
        <v>20</v>
      </c>
      <c r="E10" t="s">
        <v>22</v>
      </c>
      <c r="F10">
        <v>31</v>
      </c>
      <c r="G10" t="str">
        <f>IF(Table2[[#This Row],[Age]]&gt;=30,"Experienced",IF(Table2[[#This Row],[Age]]&gt;=25,"Mid Level", "Entry Level"))</f>
        <v>Experienced</v>
      </c>
      <c r="H10" t="s">
        <v>25</v>
      </c>
      <c r="I10" t="s">
        <v>68</v>
      </c>
      <c r="J10" s="4">
        <v>45681</v>
      </c>
      <c r="K10" s="4" t="str">
        <f>TEXT(Table2[[#This Row],[Enrollment_date]],"Mmm")</f>
        <v>Jan</v>
      </c>
      <c r="L10" s="4" t="str">
        <f>TEXT(Table2[[#This Row],[Enrollment_date]],"Ddd")</f>
        <v>Fri</v>
      </c>
      <c r="M10" s="4" t="s">
        <v>34</v>
      </c>
      <c r="N10" t="s">
        <v>37</v>
      </c>
      <c r="O10" t="s">
        <v>38</v>
      </c>
      <c r="P10" s="8">
        <v>4</v>
      </c>
      <c r="Q10" s="6">
        <v>0.9375</v>
      </c>
      <c r="R10" s="6">
        <v>79.5</v>
      </c>
      <c r="S10" s="6" t="str">
        <f>IF(Table2[[#This Row],[Avg_score]]&gt;=79,"Distinction",IF(Table2[[#This Row],[Avg_score]]&gt;=60,"Pass","Fail"))</f>
        <v>Distinction</v>
      </c>
      <c r="T10" t="s">
        <v>40</v>
      </c>
      <c r="U10">
        <f>IF(Table2[[#This Row],[Completed]]="Yes",1,0)</f>
        <v>0</v>
      </c>
      <c r="V10" t="s">
        <v>40</v>
      </c>
      <c r="W10" t="s">
        <v>40</v>
      </c>
      <c r="X10" s="4">
        <v>45838</v>
      </c>
    </row>
    <row r="11" spans="1:24" x14ac:dyDescent="0.3">
      <c r="A11">
        <v>10</v>
      </c>
      <c r="B11" s="8">
        <v>4</v>
      </c>
      <c r="C11">
        <v>1</v>
      </c>
      <c r="D11" t="s">
        <v>21</v>
      </c>
      <c r="E11" t="s">
        <v>22</v>
      </c>
      <c r="F11">
        <v>25</v>
      </c>
      <c r="G11" t="str">
        <f>IF(Table2[[#This Row],[Age]]&gt;=30,"Experienced",IF(Table2[[#This Row],[Age]]&gt;=25,"Mid Level", "Entry Level"))</f>
        <v>Mid Level</v>
      </c>
      <c r="H11" t="s">
        <v>26</v>
      </c>
      <c r="I11" t="s">
        <v>68</v>
      </c>
      <c r="J11" s="4">
        <v>45801</v>
      </c>
      <c r="K11" s="4" t="str">
        <f>TEXT(Table2[[#This Row],[Enrollment_date]],"Mmm")</f>
        <v>May</v>
      </c>
      <c r="L11" s="4" t="str">
        <f>TEXT(Table2[[#This Row],[Enrollment_date]],"Ddd")</f>
        <v>Sat</v>
      </c>
      <c r="M11" s="4" t="s">
        <v>34</v>
      </c>
      <c r="N11" t="s">
        <v>35</v>
      </c>
      <c r="O11" t="s">
        <v>38</v>
      </c>
      <c r="P11" s="8">
        <v>4</v>
      </c>
      <c r="Q11" s="6">
        <v>0.83333333333333337</v>
      </c>
      <c r="R11" s="6">
        <v>57</v>
      </c>
      <c r="S11" s="6" t="str">
        <f>IF(Table2[[#This Row],[Avg_score]]&gt;=79,"Distinction",IF(Table2[[#This Row],[Avg_score]]&gt;=60,"Pass","Fail"))</f>
        <v>Fail</v>
      </c>
      <c r="T11" t="s">
        <v>40</v>
      </c>
      <c r="U11">
        <f>IF(Table2[[#This Row],[Completed]]="Yes",1,0)</f>
        <v>0</v>
      </c>
      <c r="V11" t="s">
        <v>40</v>
      </c>
      <c r="W11" t="s">
        <v>40</v>
      </c>
      <c r="X11" s="4">
        <v>45838</v>
      </c>
    </row>
    <row r="12" spans="1:24" x14ac:dyDescent="0.3">
      <c r="A12">
        <v>11</v>
      </c>
      <c r="B12" s="8">
        <v>4</v>
      </c>
      <c r="C12">
        <v>2</v>
      </c>
      <c r="D12" t="s">
        <v>20</v>
      </c>
      <c r="E12" t="s">
        <v>22</v>
      </c>
      <c r="F12">
        <v>25</v>
      </c>
      <c r="G12" t="str">
        <f>IF(Table2[[#This Row],[Age]]&gt;=30,"Experienced",IF(Table2[[#This Row],[Age]]&gt;=25,"Mid Level", "Entry Level"))</f>
        <v>Mid Level</v>
      </c>
      <c r="H12" t="s">
        <v>26</v>
      </c>
      <c r="I12" t="s">
        <v>68</v>
      </c>
      <c r="J12" s="4">
        <v>45801</v>
      </c>
      <c r="K12" s="4" t="str">
        <f>TEXT(Table2[[#This Row],[Enrollment_date]],"Mmm")</f>
        <v>May</v>
      </c>
      <c r="L12" s="4" t="str">
        <f>TEXT(Table2[[#This Row],[Enrollment_date]],"Ddd")</f>
        <v>Sat</v>
      </c>
      <c r="M12" s="4" t="s">
        <v>34</v>
      </c>
      <c r="N12" t="s">
        <v>36</v>
      </c>
      <c r="O12" t="s">
        <v>38</v>
      </c>
      <c r="P12" s="8">
        <v>4</v>
      </c>
      <c r="Q12" s="6">
        <v>0.79166666666666663</v>
      </c>
      <c r="R12" s="6">
        <v>65</v>
      </c>
      <c r="S12" s="6" t="str">
        <f>IF(Table2[[#This Row],[Avg_score]]&gt;=79,"Distinction",IF(Table2[[#This Row],[Avg_score]]&gt;=60,"Pass","Fail"))</f>
        <v>Pass</v>
      </c>
      <c r="T12" t="s">
        <v>40</v>
      </c>
      <c r="U12">
        <f>IF(Table2[[#This Row],[Completed]]="Yes",1,0)</f>
        <v>0</v>
      </c>
      <c r="V12" t="s">
        <v>40</v>
      </c>
      <c r="W12" t="s">
        <v>40</v>
      </c>
      <c r="X12" s="4">
        <v>45838</v>
      </c>
    </row>
    <row r="13" spans="1:24" x14ac:dyDescent="0.3">
      <c r="A13">
        <v>12</v>
      </c>
      <c r="B13" s="8">
        <v>4</v>
      </c>
      <c r="C13">
        <v>3</v>
      </c>
      <c r="D13" t="s">
        <v>21</v>
      </c>
      <c r="E13" t="s">
        <v>22</v>
      </c>
      <c r="F13">
        <v>25</v>
      </c>
      <c r="G13" t="str">
        <f>IF(Table2[[#This Row],[Age]]&gt;=30,"Experienced",IF(Table2[[#This Row],[Age]]&gt;=25,"Mid Level", "Entry Level"))</f>
        <v>Mid Level</v>
      </c>
      <c r="H13" t="s">
        <v>26</v>
      </c>
      <c r="I13" t="s">
        <v>68</v>
      </c>
      <c r="J13" s="4">
        <v>45801</v>
      </c>
      <c r="K13" s="4" t="str">
        <f>TEXT(Table2[[#This Row],[Enrollment_date]],"Mmm")</f>
        <v>May</v>
      </c>
      <c r="L13" s="4" t="str">
        <f>TEXT(Table2[[#This Row],[Enrollment_date]],"Ddd")</f>
        <v>Sat</v>
      </c>
      <c r="M13" s="4" t="s">
        <v>34</v>
      </c>
      <c r="N13" t="s">
        <v>37</v>
      </c>
      <c r="O13" t="s">
        <v>38</v>
      </c>
      <c r="P13" s="8">
        <v>4</v>
      </c>
      <c r="Q13" s="6">
        <v>0.91666666666666663</v>
      </c>
      <c r="R13" s="6">
        <v>73</v>
      </c>
      <c r="S13" s="6" t="str">
        <f>IF(Table2[[#This Row],[Avg_score]]&gt;=79,"Distinction",IF(Table2[[#This Row],[Avg_score]]&gt;=60,"Pass","Fail"))</f>
        <v>Pass</v>
      </c>
      <c r="T13" t="s">
        <v>40</v>
      </c>
      <c r="U13">
        <f>IF(Table2[[#This Row],[Completed]]="Yes",1,0)</f>
        <v>0</v>
      </c>
      <c r="V13" t="s">
        <v>40</v>
      </c>
      <c r="W13" t="s">
        <v>40</v>
      </c>
      <c r="X13" s="4">
        <v>45838</v>
      </c>
    </row>
    <row r="14" spans="1:24" x14ac:dyDescent="0.3">
      <c r="A14">
        <v>13</v>
      </c>
      <c r="B14" s="8">
        <v>5</v>
      </c>
      <c r="C14">
        <v>1</v>
      </c>
      <c r="D14" t="s">
        <v>19</v>
      </c>
      <c r="E14" t="s">
        <v>22</v>
      </c>
      <c r="F14">
        <v>35</v>
      </c>
      <c r="G14" t="str">
        <f>IF(Table2[[#This Row],[Age]]&gt;=30,"Experienced",IF(Table2[[#This Row],[Age]]&gt;=25,"Mid Level", "Entry Level"))</f>
        <v>Experienced</v>
      </c>
      <c r="H14" t="s">
        <v>27</v>
      </c>
      <c r="I14" t="s">
        <v>32</v>
      </c>
      <c r="J14" s="4">
        <v>45772</v>
      </c>
      <c r="K14" s="4" t="str">
        <f>TEXT(Table2[[#This Row],[Enrollment_date]],"Mmm")</f>
        <v>Apr</v>
      </c>
      <c r="L14" s="4" t="str">
        <f>TEXT(Table2[[#This Row],[Enrollment_date]],"Ddd")</f>
        <v>Fri</v>
      </c>
      <c r="M14" s="4" t="s">
        <v>34</v>
      </c>
      <c r="N14" t="s">
        <v>35</v>
      </c>
      <c r="O14" t="s">
        <v>38</v>
      </c>
      <c r="P14" s="8">
        <v>4</v>
      </c>
      <c r="Q14" s="6">
        <v>0.75</v>
      </c>
      <c r="R14" s="6">
        <v>80</v>
      </c>
      <c r="S14" s="6" t="str">
        <f>IF(Table2[[#This Row],[Avg_score]]&gt;=79,"Distinction",IF(Table2[[#This Row],[Avg_score]]&gt;=60,"Pass","Fail"))</f>
        <v>Distinction</v>
      </c>
      <c r="T14" t="s">
        <v>40</v>
      </c>
      <c r="U14">
        <f>IF(Table2[[#This Row],[Completed]]="Yes",1,0)</f>
        <v>0</v>
      </c>
      <c r="V14" t="s">
        <v>40</v>
      </c>
      <c r="W14" t="s">
        <v>40</v>
      </c>
      <c r="X14" s="4">
        <v>45838</v>
      </c>
    </row>
    <row r="15" spans="1:24" x14ac:dyDescent="0.3">
      <c r="A15">
        <v>14</v>
      </c>
      <c r="B15" s="8">
        <v>5</v>
      </c>
      <c r="C15">
        <v>2</v>
      </c>
      <c r="D15" t="s">
        <v>19</v>
      </c>
      <c r="E15" t="s">
        <v>22</v>
      </c>
      <c r="F15">
        <v>35</v>
      </c>
      <c r="G15" t="str">
        <f>IF(Table2[[#This Row],[Age]]&gt;=30,"Experienced",IF(Table2[[#This Row],[Age]]&gt;=25,"Mid Level", "Entry Level"))</f>
        <v>Experienced</v>
      </c>
      <c r="H15" t="s">
        <v>27</v>
      </c>
      <c r="I15" t="s">
        <v>32</v>
      </c>
      <c r="J15" s="4">
        <v>45772</v>
      </c>
      <c r="K15" s="4" t="str">
        <f>TEXT(Table2[[#This Row],[Enrollment_date]],"Mmm")</f>
        <v>Apr</v>
      </c>
      <c r="L15" s="4" t="str">
        <f>TEXT(Table2[[#This Row],[Enrollment_date]],"Ddd")</f>
        <v>Fri</v>
      </c>
      <c r="M15" s="4" t="s">
        <v>34</v>
      </c>
      <c r="N15" t="s">
        <v>36</v>
      </c>
      <c r="O15" t="s">
        <v>38</v>
      </c>
      <c r="P15" s="8">
        <v>4</v>
      </c>
      <c r="Q15" s="6">
        <v>0.8125</v>
      </c>
      <c r="R15" s="6">
        <v>64</v>
      </c>
      <c r="S15" s="6" t="str">
        <f>IF(Table2[[#This Row],[Avg_score]]&gt;=79,"Distinction",IF(Table2[[#This Row],[Avg_score]]&gt;=60,"Pass","Fail"))</f>
        <v>Pass</v>
      </c>
      <c r="T15" t="s">
        <v>40</v>
      </c>
      <c r="U15">
        <f>IF(Table2[[#This Row],[Completed]]="Yes",1,0)</f>
        <v>0</v>
      </c>
      <c r="V15" t="s">
        <v>40</v>
      </c>
      <c r="W15" t="s">
        <v>40</v>
      </c>
      <c r="X15" s="4">
        <v>45838</v>
      </c>
    </row>
    <row r="16" spans="1:24" x14ac:dyDescent="0.3">
      <c r="A16">
        <v>15</v>
      </c>
      <c r="B16" s="8">
        <v>5</v>
      </c>
      <c r="C16">
        <v>3</v>
      </c>
      <c r="D16" t="s">
        <v>21</v>
      </c>
      <c r="E16" t="s">
        <v>22</v>
      </c>
      <c r="F16">
        <v>35</v>
      </c>
      <c r="G16" t="str">
        <f>IF(Table2[[#This Row],[Age]]&gt;=30,"Experienced",IF(Table2[[#This Row],[Age]]&gt;=25,"Mid Level", "Entry Level"))</f>
        <v>Experienced</v>
      </c>
      <c r="H16" t="s">
        <v>27</v>
      </c>
      <c r="I16" t="s">
        <v>32</v>
      </c>
      <c r="J16" s="4">
        <v>45772</v>
      </c>
      <c r="K16" s="4" t="str">
        <f>TEXT(Table2[[#This Row],[Enrollment_date]],"Mmm")</f>
        <v>Apr</v>
      </c>
      <c r="L16" s="4" t="str">
        <f>TEXT(Table2[[#This Row],[Enrollment_date]],"Ddd")</f>
        <v>Fri</v>
      </c>
      <c r="M16" s="4" t="s">
        <v>34</v>
      </c>
      <c r="N16" t="s">
        <v>37</v>
      </c>
      <c r="O16" t="s">
        <v>38</v>
      </c>
      <c r="P16" s="8">
        <v>4</v>
      </c>
      <c r="Q16" s="6">
        <v>0.85416666666666663</v>
      </c>
      <c r="R16" s="6">
        <v>83</v>
      </c>
      <c r="S16" s="6" t="str">
        <f>IF(Table2[[#This Row],[Avg_score]]&gt;=79,"Distinction",IF(Table2[[#This Row],[Avg_score]]&gt;=60,"Pass","Fail"))</f>
        <v>Distinction</v>
      </c>
      <c r="T16" t="s">
        <v>40</v>
      </c>
      <c r="U16">
        <f>IF(Table2[[#This Row],[Completed]]="Yes",1,0)</f>
        <v>0</v>
      </c>
      <c r="V16" t="s">
        <v>40</v>
      </c>
      <c r="W16" t="s">
        <v>40</v>
      </c>
      <c r="X16" s="4">
        <v>45838</v>
      </c>
    </row>
    <row r="17" spans="1:24" x14ac:dyDescent="0.3">
      <c r="A17">
        <v>16</v>
      </c>
      <c r="B17" s="8">
        <v>6</v>
      </c>
      <c r="C17">
        <v>1</v>
      </c>
      <c r="D17" t="s">
        <v>19</v>
      </c>
      <c r="E17" t="s">
        <v>23</v>
      </c>
      <c r="F17">
        <v>18</v>
      </c>
      <c r="G17" t="str">
        <f>IF(Table2[[#This Row],[Age]]&gt;=30,"Experienced",IF(Table2[[#This Row],[Age]]&gt;=25,"Mid Level", "Entry Level"))</f>
        <v>Entry Level</v>
      </c>
      <c r="H17" t="s">
        <v>28</v>
      </c>
      <c r="I17" t="s">
        <v>44</v>
      </c>
      <c r="J17" s="4">
        <v>45745</v>
      </c>
      <c r="K17" s="4" t="str">
        <f>TEXT(Table2[[#This Row],[Enrollment_date]],"Mmm")</f>
        <v>Mar</v>
      </c>
      <c r="L17" s="4" t="str">
        <f>TEXT(Table2[[#This Row],[Enrollment_date]],"Ddd")</f>
        <v>Sat</v>
      </c>
      <c r="M17" s="4" t="s">
        <v>34</v>
      </c>
      <c r="N17" t="s">
        <v>35</v>
      </c>
      <c r="O17" t="s">
        <v>38</v>
      </c>
      <c r="P17" s="8">
        <v>4</v>
      </c>
      <c r="Q17" s="6">
        <v>0.79166666666666663</v>
      </c>
      <c r="R17" s="6">
        <v>64.5</v>
      </c>
      <c r="S17" s="6" t="str">
        <f>IF(Table2[[#This Row],[Avg_score]]&gt;=79,"Distinction",IF(Table2[[#This Row],[Avg_score]]&gt;=60,"Pass","Fail"))</f>
        <v>Pass</v>
      </c>
      <c r="T17" t="s">
        <v>39</v>
      </c>
      <c r="U17">
        <f>IF(Table2[[#This Row],[Completed]]="Yes",1,0)</f>
        <v>1</v>
      </c>
      <c r="V17" t="s">
        <v>40</v>
      </c>
      <c r="W17" t="s">
        <v>40</v>
      </c>
      <c r="X17" s="4">
        <v>45838</v>
      </c>
    </row>
    <row r="18" spans="1:24" x14ac:dyDescent="0.3">
      <c r="A18">
        <v>17</v>
      </c>
      <c r="B18" s="8">
        <v>6</v>
      </c>
      <c r="C18">
        <v>2</v>
      </c>
      <c r="D18" t="s">
        <v>19</v>
      </c>
      <c r="E18" t="s">
        <v>23</v>
      </c>
      <c r="F18">
        <v>18</v>
      </c>
      <c r="G18" t="str">
        <f>IF(Table2[[#This Row],[Age]]&gt;=30,"Experienced",IF(Table2[[#This Row],[Age]]&gt;=25,"Mid Level", "Entry Level"))</f>
        <v>Entry Level</v>
      </c>
      <c r="H18" t="s">
        <v>28</v>
      </c>
      <c r="I18" t="s">
        <v>44</v>
      </c>
      <c r="J18" s="4">
        <v>45745</v>
      </c>
      <c r="K18" s="4" t="str">
        <f>TEXT(Table2[[#This Row],[Enrollment_date]],"Mmm")</f>
        <v>Mar</v>
      </c>
      <c r="L18" s="4" t="str">
        <f>TEXT(Table2[[#This Row],[Enrollment_date]],"Ddd")</f>
        <v>Sat</v>
      </c>
      <c r="M18" s="4" t="s">
        <v>34</v>
      </c>
      <c r="N18" t="s">
        <v>36</v>
      </c>
      <c r="O18" t="s">
        <v>38</v>
      </c>
      <c r="P18" s="8">
        <v>4</v>
      </c>
      <c r="Q18" s="6">
        <v>0.91666666666666663</v>
      </c>
      <c r="R18" s="6">
        <v>79.5</v>
      </c>
      <c r="S18" s="6" t="str">
        <f>IF(Table2[[#This Row],[Avg_score]]&gt;=79,"Distinction",IF(Table2[[#This Row],[Avg_score]]&gt;=60,"Pass","Fail"))</f>
        <v>Distinction</v>
      </c>
      <c r="T18" t="s">
        <v>39</v>
      </c>
      <c r="U18">
        <f>IF(Table2[[#This Row],[Completed]]="Yes",1,0)</f>
        <v>1</v>
      </c>
      <c r="V18" t="s">
        <v>40</v>
      </c>
      <c r="W18" t="s">
        <v>40</v>
      </c>
      <c r="X18" s="4">
        <v>45838</v>
      </c>
    </row>
    <row r="19" spans="1:24" x14ac:dyDescent="0.3">
      <c r="A19">
        <v>18</v>
      </c>
      <c r="B19" s="8">
        <v>6</v>
      </c>
      <c r="C19">
        <v>3</v>
      </c>
      <c r="D19" t="s">
        <v>19</v>
      </c>
      <c r="E19" t="s">
        <v>23</v>
      </c>
      <c r="F19">
        <v>18</v>
      </c>
      <c r="G19" t="str">
        <f>IF(Table2[[#This Row],[Age]]&gt;=30,"Experienced",IF(Table2[[#This Row],[Age]]&gt;=25,"Mid Level", "Entry Level"))</f>
        <v>Entry Level</v>
      </c>
      <c r="H19" t="s">
        <v>28</v>
      </c>
      <c r="I19" t="s">
        <v>44</v>
      </c>
      <c r="J19" s="4">
        <v>45745</v>
      </c>
      <c r="K19" s="4" t="str">
        <f>TEXT(Table2[[#This Row],[Enrollment_date]],"Mmm")</f>
        <v>Mar</v>
      </c>
      <c r="L19" s="4" t="str">
        <f>TEXT(Table2[[#This Row],[Enrollment_date]],"Ddd")</f>
        <v>Sat</v>
      </c>
      <c r="M19" s="4" t="s">
        <v>34</v>
      </c>
      <c r="N19" t="s">
        <v>37</v>
      </c>
      <c r="O19" t="s">
        <v>38</v>
      </c>
      <c r="P19" s="8">
        <v>4</v>
      </c>
      <c r="Q19" s="6">
        <v>0.77083333333333337</v>
      </c>
      <c r="R19" s="6">
        <v>55.5</v>
      </c>
      <c r="S19" s="6" t="str">
        <f>IF(Table2[[#This Row],[Avg_score]]&gt;=79,"Distinction",IF(Table2[[#This Row],[Avg_score]]&gt;=60,"Pass","Fail"))</f>
        <v>Fail</v>
      </c>
      <c r="T19" t="s">
        <v>39</v>
      </c>
      <c r="U19">
        <f>IF(Table2[[#This Row],[Completed]]="Yes",1,0)</f>
        <v>1</v>
      </c>
      <c r="V19" t="s">
        <v>40</v>
      </c>
      <c r="W19" t="s">
        <v>40</v>
      </c>
      <c r="X19" s="4">
        <v>45838</v>
      </c>
    </row>
    <row r="20" spans="1:24" x14ac:dyDescent="0.3">
      <c r="A20">
        <v>19</v>
      </c>
      <c r="B20" s="8">
        <v>7</v>
      </c>
      <c r="C20">
        <v>1</v>
      </c>
      <c r="D20" t="s">
        <v>19</v>
      </c>
      <c r="E20" t="s">
        <v>23</v>
      </c>
      <c r="F20">
        <v>22</v>
      </c>
      <c r="G20" t="str">
        <f>IF(Table2[[#This Row],[Age]]&gt;=30,"Experienced",IF(Table2[[#This Row],[Age]]&gt;=25,"Mid Level", "Entry Level"))</f>
        <v>Entry Level</v>
      </c>
      <c r="H20" t="s">
        <v>28</v>
      </c>
      <c r="I20" t="s">
        <v>30</v>
      </c>
      <c r="J20" s="4">
        <v>45684</v>
      </c>
      <c r="K20" s="4" t="str">
        <f>TEXT(Table2[[#This Row],[Enrollment_date]],"Mmm")</f>
        <v>Jan</v>
      </c>
      <c r="L20" s="4" t="str">
        <f>TEXT(Table2[[#This Row],[Enrollment_date]],"Ddd")</f>
        <v>Mon</v>
      </c>
      <c r="M20" s="4" t="s">
        <v>34</v>
      </c>
      <c r="N20" t="s">
        <v>35</v>
      </c>
      <c r="O20" t="s">
        <v>38</v>
      </c>
      <c r="P20" s="8">
        <v>4</v>
      </c>
      <c r="Q20" s="6">
        <v>0.85416666666666663</v>
      </c>
      <c r="R20" s="6">
        <v>56.5</v>
      </c>
      <c r="S20" s="6" t="str">
        <f>IF(Table2[[#This Row],[Avg_score]]&gt;=79,"Distinction",IF(Table2[[#This Row],[Avg_score]]&gt;=60,"Pass","Fail"))</f>
        <v>Fail</v>
      </c>
      <c r="T20" t="s">
        <v>39</v>
      </c>
      <c r="U20">
        <f>IF(Table2[[#This Row],[Completed]]="Yes",1,0)</f>
        <v>1</v>
      </c>
      <c r="V20" t="s">
        <v>39</v>
      </c>
      <c r="W20" t="s">
        <v>40</v>
      </c>
      <c r="X20" s="4">
        <v>45838</v>
      </c>
    </row>
    <row r="21" spans="1:24" x14ac:dyDescent="0.3">
      <c r="A21">
        <v>20</v>
      </c>
      <c r="B21" s="8">
        <v>7</v>
      </c>
      <c r="C21">
        <v>2</v>
      </c>
      <c r="D21" t="s">
        <v>19</v>
      </c>
      <c r="E21" t="s">
        <v>23</v>
      </c>
      <c r="F21">
        <v>22</v>
      </c>
      <c r="G21" t="str">
        <f>IF(Table2[[#This Row],[Age]]&gt;=30,"Experienced",IF(Table2[[#This Row],[Age]]&gt;=25,"Mid Level", "Entry Level"))</f>
        <v>Entry Level</v>
      </c>
      <c r="H21" t="s">
        <v>28</v>
      </c>
      <c r="I21" t="s">
        <v>30</v>
      </c>
      <c r="J21" s="4">
        <v>45684</v>
      </c>
      <c r="K21" s="4" t="str">
        <f>TEXT(Table2[[#This Row],[Enrollment_date]],"Mmm")</f>
        <v>Jan</v>
      </c>
      <c r="L21" s="4" t="str">
        <f>TEXT(Table2[[#This Row],[Enrollment_date]],"Ddd")</f>
        <v>Mon</v>
      </c>
      <c r="M21" s="4" t="s">
        <v>34</v>
      </c>
      <c r="N21" t="s">
        <v>36</v>
      </c>
      <c r="O21" t="s">
        <v>38</v>
      </c>
      <c r="P21" s="8">
        <v>4</v>
      </c>
      <c r="Q21" s="6">
        <v>0.8125</v>
      </c>
      <c r="R21" s="6">
        <v>73</v>
      </c>
      <c r="S21" s="6" t="str">
        <f>IF(Table2[[#This Row],[Avg_score]]&gt;=79,"Distinction",IF(Table2[[#This Row],[Avg_score]]&gt;=60,"Pass","Fail"))</f>
        <v>Pass</v>
      </c>
      <c r="T21" t="s">
        <v>39</v>
      </c>
      <c r="U21">
        <f>IF(Table2[[#This Row],[Completed]]="Yes",1,0)</f>
        <v>1</v>
      </c>
      <c r="V21" t="s">
        <v>39</v>
      </c>
      <c r="W21" t="s">
        <v>40</v>
      </c>
      <c r="X21" s="4">
        <v>45838</v>
      </c>
    </row>
    <row r="22" spans="1:24" x14ac:dyDescent="0.3">
      <c r="A22">
        <v>21</v>
      </c>
      <c r="B22" s="8">
        <v>7</v>
      </c>
      <c r="C22">
        <v>3</v>
      </c>
      <c r="D22" t="s">
        <v>19</v>
      </c>
      <c r="E22" t="s">
        <v>23</v>
      </c>
      <c r="F22">
        <v>22</v>
      </c>
      <c r="G22" t="str">
        <f>IF(Table2[[#This Row],[Age]]&gt;=30,"Experienced",IF(Table2[[#This Row],[Age]]&gt;=25,"Mid Level", "Entry Level"))</f>
        <v>Entry Level</v>
      </c>
      <c r="H22" t="s">
        <v>28</v>
      </c>
      <c r="I22" t="s">
        <v>30</v>
      </c>
      <c r="J22" s="4">
        <v>45684</v>
      </c>
      <c r="K22" s="4" t="str">
        <f>TEXT(Table2[[#This Row],[Enrollment_date]],"Mmm")</f>
        <v>Jan</v>
      </c>
      <c r="L22" s="4" t="str">
        <f>TEXT(Table2[[#This Row],[Enrollment_date]],"Ddd")</f>
        <v>Mon</v>
      </c>
      <c r="M22" s="4" t="s">
        <v>34</v>
      </c>
      <c r="N22" t="s">
        <v>37</v>
      </c>
      <c r="O22" t="s">
        <v>38</v>
      </c>
      <c r="P22" s="8">
        <v>4</v>
      </c>
      <c r="Q22" s="6">
        <v>0.89583333333333337</v>
      </c>
      <c r="R22" s="6">
        <v>59.5</v>
      </c>
      <c r="S22" s="6" t="str">
        <f>IF(Table2[[#This Row],[Avg_score]]&gt;=79,"Distinction",IF(Table2[[#This Row],[Avg_score]]&gt;=60,"Pass","Fail"))</f>
        <v>Fail</v>
      </c>
      <c r="T22" t="s">
        <v>39</v>
      </c>
      <c r="U22">
        <f>IF(Table2[[#This Row],[Completed]]="Yes",1,0)</f>
        <v>1</v>
      </c>
      <c r="V22" t="s">
        <v>39</v>
      </c>
      <c r="W22" t="s">
        <v>40</v>
      </c>
      <c r="X22" s="4">
        <v>45838</v>
      </c>
    </row>
    <row r="23" spans="1:24" x14ac:dyDescent="0.3">
      <c r="A23">
        <v>22</v>
      </c>
      <c r="B23" s="8">
        <v>8</v>
      </c>
      <c r="C23">
        <v>1</v>
      </c>
      <c r="D23" t="s">
        <v>20</v>
      </c>
      <c r="E23" t="s">
        <v>22</v>
      </c>
      <c r="F23">
        <v>30</v>
      </c>
      <c r="G23" t="str">
        <f>IF(Table2[[#This Row],[Age]]&gt;=30,"Experienced",IF(Table2[[#This Row],[Age]]&gt;=25,"Mid Level", "Entry Level"))</f>
        <v>Experienced</v>
      </c>
      <c r="H23" t="s">
        <v>25</v>
      </c>
      <c r="I23" t="s">
        <v>30</v>
      </c>
      <c r="J23" s="4">
        <v>45746</v>
      </c>
      <c r="K23" s="4" t="str">
        <f>TEXT(Table2[[#This Row],[Enrollment_date]],"Mmm")</f>
        <v>Mar</v>
      </c>
      <c r="L23" s="4" t="str">
        <f>TEXT(Table2[[#This Row],[Enrollment_date]],"Ddd")</f>
        <v>Sun</v>
      </c>
      <c r="M23" s="4" t="s">
        <v>34</v>
      </c>
      <c r="N23" t="s">
        <v>35</v>
      </c>
      <c r="O23" t="s">
        <v>38</v>
      </c>
      <c r="P23" s="8">
        <v>4</v>
      </c>
      <c r="Q23" s="6">
        <v>0.91666666666666663</v>
      </c>
      <c r="R23" s="6">
        <v>74.5</v>
      </c>
      <c r="S23" s="6" t="str">
        <f>IF(Table2[[#This Row],[Avg_score]]&gt;=79,"Distinction",IF(Table2[[#This Row],[Avg_score]]&gt;=60,"Pass","Fail"))</f>
        <v>Pass</v>
      </c>
      <c r="T23" t="s">
        <v>39</v>
      </c>
      <c r="U23">
        <f>IF(Table2[[#This Row],[Completed]]="Yes",1,0)</f>
        <v>1</v>
      </c>
      <c r="V23" t="s">
        <v>40</v>
      </c>
      <c r="W23" t="s">
        <v>40</v>
      </c>
      <c r="X23" s="4">
        <v>45838</v>
      </c>
    </row>
    <row r="24" spans="1:24" x14ac:dyDescent="0.3">
      <c r="A24">
        <v>23</v>
      </c>
      <c r="B24" s="8">
        <v>8</v>
      </c>
      <c r="C24">
        <v>2</v>
      </c>
      <c r="D24" t="s">
        <v>21</v>
      </c>
      <c r="E24" t="s">
        <v>22</v>
      </c>
      <c r="F24">
        <v>30</v>
      </c>
      <c r="G24" t="str">
        <f>IF(Table2[[#This Row],[Age]]&gt;=30,"Experienced",IF(Table2[[#This Row],[Age]]&gt;=25,"Mid Level", "Entry Level"))</f>
        <v>Experienced</v>
      </c>
      <c r="H24" t="s">
        <v>25</v>
      </c>
      <c r="I24" t="s">
        <v>30</v>
      </c>
      <c r="J24" s="4">
        <v>45746</v>
      </c>
      <c r="K24" s="4" t="str">
        <f>TEXT(Table2[[#This Row],[Enrollment_date]],"Mmm")</f>
        <v>Mar</v>
      </c>
      <c r="L24" s="4" t="str">
        <f>TEXT(Table2[[#This Row],[Enrollment_date]],"Ddd")</f>
        <v>Sun</v>
      </c>
      <c r="M24" s="4" t="s">
        <v>34</v>
      </c>
      <c r="N24" t="s">
        <v>36</v>
      </c>
      <c r="O24" t="s">
        <v>38</v>
      </c>
      <c r="P24" s="8">
        <v>4</v>
      </c>
      <c r="Q24" s="6">
        <v>0.91666666666666663</v>
      </c>
      <c r="R24" s="6">
        <v>55</v>
      </c>
      <c r="S24" s="6" t="str">
        <f>IF(Table2[[#This Row],[Avg_score]]&gt;=79,"Distinction",IF(Table2[[#This Row],[Avg_score]]&gt;=60,"Pass","Fail"))</f>
        <v>Fail</v>
      </c>
      <c r="T24" t="s">
        <v>39</v>
      </c>
      <c r="U24">
        <f>IF(Table2[[#This Row],[Completed]]="Yes",1,0)</f>
        <v>1</v>
      </c>
      <c r="V24" t="s">
        <v>40</v>
      </c>
      <c r="W24" t="s">
        <v>40</v>
      </c>
      <c r="X24" s="4">
        <v>45838</v>
      </c>
    </row>
    <row r="25" spans="1:24" x14ac:dyDescent="0.3">
      <c r="A25">
        <v>24</v>
      </c>
      <c r="B25" s="8">
        <v>8</v>
      </c>
      <c r="C25">
        <v>3</v>
      </c>
      <c r="D25" t="s">
        <v>19</v>
      </c>
      <c r="E25" t="s">
        <v>22</v>
      </c>
      <c r="F25">
        <v>30</v>
      </c>
      <c r="G25" t="str">
        <f>IF(Table2[[#This Row],[Age]]&gt;=30,"Experienced",IF(Table2[[#This Row],[Age]]&gt;=25,"Mid Level", "Entry Level"))</f>
        <v>Experienced</v>
      </c>
      <c r="H25" t="s">
        <v>25</v>
      </c>
      <c r="I25" t="s">
        <v>30</v>
      </c>
      <c r="J25" s="4">
        <v>45746</v>
      </c>
      <c r="K25" s="4" t="str">
        <f>TEXT(Table2[[#This Row],[Enrollment_date]],"Mmm")</f>
        <v>Mar</v>
      </c>
      <c r="L25" s="4" t="str">
        <f>TEXT(Table2[[#This Row],[Enrollment_date]],"Ddd")</f>
        <v>Sun</v>
      </c>
      <c r="M25" s="4" t="s">
        <v>34</v>
      </c>
      <c r="N25" t="s">
        <v>37</v>
      </c>
      <c r="O25" t="s">
        <v>38</v>
      </c>
      <c r="P25" s="8">
        <v>4</v>
      </c>
      <c r="Q25" s="6">
        <v>0.875</v>
      </c>
      <c r="R25" s="6">
        <v>78.5</v>
      </c>
      <c r="S25" s="6" t="str">
        <f>IF(Table2[[#This Row],[Avg_score]]&gt;=79,"Distinction",IF(Table2[[#This Row],[Avg_score]]&gt;=60,"Pass","Fail"))</f>
        <v>Pass</v>
      </c>
      <c r="T25" t="s">
        <v>39</v>
      </c>
      <c r="U25">
        <f>IF(Table2[[#This Row],[Completed]]="Yes",1,0)</f>
        <v>1</v>
      </c>
      <c r="V25" t="s">
        <v>40</v>
      </c>
      <c r="W25" t="s">
        <v>40</v>
      </c>
      <c r="X25" s="4">
        <v>45838</v>
      </c>
    </row>
    <row r="26" spans="1:24" x14ac:dyDescent="0.3">
      <c r="A26">
        <v>25</v>
      </c>
      <c r="B26" s="8">
        <v>9</v>
      </c>
      <c r="C26">
        <v>1</v>
      </c>
      <c r="D26" t="s">
        <v>19</v>
      </c>
      <c r="E26" t="s">
        <v>23</v>
      </c>
      <c r="F26">
        <v>19</v>
      </c>
      <c r="G26" t="str">
        <f>IF(Table2[[#This Row],[Age]]&gt;=30,"Experienced",IF(Table2[[#This Row],[Age]]&gt;=25,"Mid Level", "Entry Level"))</f>
        <v>Entry Level</v>
      </c>
      <c r="H26" t="s">
        <v>24</v>
      </c>
      <c r="I26" t="s">
        <v>44</v>
      </c>
      <c r="J26" s="4">
        <v>45795</v>
      </c>
      <c r="K26" s="4" t="str">
        <f>TEXT(Table2[[#This Row],[Enrollment_date]],"Mmm")</f>
        <v>May</v>
      </c>
      <c r="L26" s="4" t="str">
        <f>TEXT(Table2[[#This Row],[Enrollment_date]],"Ddd")</f>
        <v>Sun</v>
      </c>
      <c r="M26" s="4" t="s">
        <v>34</v>
      </c>
      <c r="N26" t="s">
        <v>35</v>
      </c>
      <c r="O26" t="s">
        <v>38</v>
      </c>
      <c r="P26" s="8">
        <v>4</v>
      </c>
      <c r="Q26" s="6">
        <v>0.72916666666666663</v>
      </c>
      <c r="R26" s="6">
        <v>52</v>
      </c>
      <c r="S26" s="6" t="str">
        <f>IF(Table2[[#This Row],[Avg_score]]&gt;=79,"Distinction",IF(Table2[[#This Row],[Avg_score]]&gt;=60,"Pass","Fail"))</f>
        <v>Fail</v>
      </c>
      <c r="T26" t="s">
        <v>39</v>
      </c>
      <c r="U26">
        <f>IF(Table2[[#This Row],[Completed]]="Yes",1,0)</f>
        <v>1</v>
      </c>
      <c r="V26" t="s">
        <v>39</v>
      </c>
      <c r="W26" t="s">
        <v>39</v>
      </c>
      <c r="X26" s="4">
        <v>45838</v>
      </c>
    </row>
    <row r="27" spans="1:24" x14ac:dyDescent="0.3">
      <c r="A27">
        <v>26</v>
      </c>
      <c r="B27" s="8">
        <v>9</v>
      </c>
      <c r="C27">
        <v>2</v>
      </c>
      <c r="D27" t="s">
        <v>19</v>
      </c>
      <c r="E27" t="s">
        <v>23</v>
      </c>
      <c r="F27">
        <v>19</v>
      </c>
      <c r="G27" t="str">
        <f>IF(Table2[[#This Row],[Age]]&gt;=30,"Experienced",IF(Table2[[#This Row],[Age]]&gt;=25,"Mid Level", "Entry Level"))</f>
        <v>Entry Level</v>
      </c>
      <c r="H27" t="s">
        <v>24</v>
      </c>
      <c r="I27" t="s">
        <v>44</v>
      </c>
      <c r="J27" s="4">
        <v>45795</v>
      </c>
      <c r="K27" s="4" t="str">
        <f>TEXT(Table2[[#This Row],[Enrollment_date]],"Mmm")</f>
        <v>May</v>
      </c>
      <c r="L27" s="4" t="str">
        <f>TEXT(Table2[[#This Row],[Enrollment_date]],"Ddd")</f>
        <v>Sun</v>
      </c>
      <c r="M27" s="4" t="s">
        <v>34</v>
      </c>
      <c r="N27" t="s">
        <v>36</v>
      </c>
      <c r="O27" t="s">
        <v>38</v>
      </c>
      <c r="P27" s="8">
        <v>4</v>
      </c>
      <c r="Q27" s="6">
        <v>0.85416666666666663</v>
      </c>
      <c r="R27" s="6">
        <v>86.5</v>
      </c>
      <c r="S27" s="6" t="str">
        <f>IF(Table2[[#This Row],[Avg_score]]&gt;=79,"Distinction",IF(Table2[[#This Row],[Avg_score]]&gt;=60,"Pass","Fail"))</f>
        <v>Distinction</v>
      </c>
      <c r="T27" t="s">
        <v>39</v>
      </c>
      <c r="U27">
        <f>IF(Table2[[#This Row],[Completed]]="Yes",1,0)</f>
        <v>1</v>
      </c>
      <c r="V27" t="s">
        <v>39</v>
      </c>
      <c r="W27" t="s">
        <v>39</v>
      </c>
      <c r="X27" s="4">
        <v>45838</v>
      </c>
    </row>
    <row r="28" spans="1:24" x14ac:dyDescent="0.3">
      <c r="A28">
        <v>27</v>
      </c>
      <c r="B28" s="8">
        <v>9</v>
      </c>
      <c r="C28">
        <v>3</v>
      </c>
      <c r="D28" t="s">
        <v>19</v>
      </c>
      <c r="E28" t="s">
        <v>23</v>
      </c>
      <c r="F28">
        <v>19</v>
      </c>
      <c r="G28" t="str">
        <f>IF(Table2[[#This Row],[Age]]&gt;=30,"Experienced",IF(Table2[[#This Row],[Age]]&gt;=25,"Mid Level", "Entry Level"))</f>
        <v>Entry Level</v>
      </c>
      <c r="H28" t="s">
        <v>24</v>
      </c>
      <c r="I28" t="s">
        <v>44</v>
      </c>
      <c r="J28" s="4">
        <v>45795</v>
      </c>
      <c r="K28" s="4" t="str">
        <f>TEXT(Table2[[#This Row],[Enrollment_date]],"Mmm")</f>
        <v>May</v>
      </c>
      <c r="L28" s="4" t="str">
        <f>TEXT(Table2[[#This Row],[Enrollment_date]],"Ddd")</f>
        <v>Sun</v>
      </c>
      <c r="M28" s="4" t="s">
        <v>34</v>
      </c>
      <c r="N28" t="s">
        <v>37</v>
      </c>
      <c r="O28" t="s">
        <v>38</v>
      </c>
      <c r="P28" s="8">
        <v>4</v>
      </c>
      <c r="Q28" s="6">
        <v>0.85416666666666663</v>
      </c>
      <c r="R28" s="6">
        <v>58.5</v>
      </c>
      <c r="S28" s="6" t="str">
        <f>IF(Table2[[#This Row],[Avg_score]]&gt;=79,"Distinction",IF(Table2[[#This Row],[Avg_score]]&gt;=60,"Pass","Fail"))</f>
        <v>Fail</v>
      </c>
      <c r="T28" t="s">
        <v>39</v>
      </c>
      <c r="U28">
        <f>IF(Table2[[#This Row],[Completed]]="Yes",1,0)</f>
        <v>1</v>
      </c>
      <c r="V28" t="s">
        <v>39</v>
      </c>
      <c r="W28" t="s">
        <v>39</v>
      </c>
      <c r="X28" s="4">
        <v>45838</v>
      </c>
    </row>
    <row r="29" spans="1:24" x14ac:dyDescent="0.3">
      <c r="A29">
        <v>28</v>
      </c>
      <c r="B29" s="8">
        <v>10</v>
      </c>
      <c r="C29">
        <v>1</v>
      </c>
      <c r="D29" t="s">
        <v>19</v>
      </c>
      <c r="E29" t="s">
        <v>22</v>
      </c>
      <c r="F29">
        <v>30</v>
      </c>
      <c r="G29" t="str">
        <f>IF(Table2[[#This Row],[Age]]&gt;=30,"Experienced",IF(Table2[[#This Row],[Age]]&gt;=25,"Mid Level", "Entry Level"))</f>
        <v>Experienced</v>
      </c>
      <c r="H29" t="s">
        <v>25</v>
      </c>
      <c r="I29" t="s">
        <v>30</v>
      </c>
      <c r="J29" s="4">
        <v>45750</v>
      </c>
      <c r="K29" s="4" t="str">
        <f>TEXT(Table2[[#This Row],[Enrollment_date]],"Mmm")</f>
        <v>Apr</v>
      </c>
      <c r="L29" s="4" t="str">
        <f>TEXT(Table2[[#This Row],[Enrollment_date]],"Ddd")</f>
        <v>Thu</v>
      </c>
      <c r="M29" s="4" t="s">
        <v>34</v>
      </c>
      <c r="N29" t="s">
        <v>35</v>
      </c>
      <c r="O29" t="s">
        <v>38</v>
      </c>
      <c r="P29" s="8">
        <v>4</v>
      </c>
      <c r="Q29" s="6">
        <v>0.875</v>
      </c>
      <c r="R29" s="6">
        <v>69.5</v>
      </c>
      <c r="S29" s="6" t="str">
        <f>IF(Table2[[#This Row],[Avg_score]]&gt;=79,"Distinction",IF(Table2[[#This Row],[Avg_score]]&gt;=60,"Pass","Fail"))</f>
        <v>Pass</v>
      </c>
      <c r="T29" t="s">
        <v>39</v>
      </c>
      <c r="U29">
        <f>IF(Table2[[#This Row],[Completed]]="Yes",1,0)</f>
        <v>1</v>
      </c>
      <c r="V29" t="s">
        <v>39</v>
      </c>
      <c r="W29" t="s">
        <v>40</v>
      </c>
      <c r="X29" s="4">
        <v>45838</v>
      </c>
    </row>
    <row r="30" spans="1:24" x14ac:dyDescent="0.3">
      <c r="A30">
        <v>29</v>
      </c>
      <c r="B30" s="8">
        <v>10</v>
      </c>
      <c r="C30">
        <v>2</v>
      </c>
      <c r="D30" t="s">
        <v>19</v>
      </c>
      <c r="E30" t="s">
        <v>22</v>
      </c>
      <c r="F30">
        <v>30</v>
      </c>
      <c r="G30" t="str">
        <f>IF(Table2[[#This Row],[Age]]&gt;=30,"Experienced",IF(Table2[[#This Row],[Age]]&gt;=25,"Mid Level", "Entry Level"))</f>
        <v>Experienced</v>
      </c>
      <c r="H30" t="s">
        <v>25</v>
      </c>
      <c r="I30" t="s">
        <v>30</v>
      </c>
      <c r="J30" s="4">
        <v>45750</v>
      </c>
      <c r="K30" s="4" t="str">
        <f>TEXT(Table2[[#This Row],[Enrollment_date]],"Mmm")</f>
        <v>Apr</v>
      </c>
      <c r="L30" s="4" t="str">
        <f>TEXT(Table2[[#This Row],[Enrollment_date]],"Ddd")</f>
        <v>Thu</v>
      </c>
      <c r="M30" s="4" t="s">
        <v>34</v>
      </c>
      <c r="N30" t="s">
        <v>36</v>
      </c>
      <c r="O30" t="s">
        <v>38</v>
      </c>
      <c r="P30" s="8">
        <v>4</v>
      </c>
      <c r="Q30" s="6">
        <v>0.83333333333333337</v>
      </c>
      <c r="R30" s="6">
        <v>85.5</v>
      </c>
      <c r="S30" s="6" t="str">
        <f>IF(Table2[[#This Row],[Avg_score]]&gt;=79,"Distinction",IF(Table2[[#This Row],[Avg_score]]&gt;=60,"Pass","Fail"))</f>
        <v>Distinction</v>
      </c>
      <c r="T30" t="s">
        <v>39</v>
      </c>
      <c r="U30">
        <f>IF(Table2[[#This Row],[Completed]]="Yes",1,0)</f>
        <v>1</v>
      </c>
      <c r="V30" t="s">
        <v>39</v>
      </c>
      <c r="W30" t="s">
        <v>40</v>
      </c>
      <c r="X30" s="4">
        <v>45838</v>
      </c>
    </row>
    <row r="31" spans="1:24" x14ac:dyDescent="0.3">
      <c r="A31">
        <v>30</v>
      </c>
      <c r="B31" s="8">
        <v>10</v>
      </c>
      <c r="C31">
        <v>3</v>
      </c>
      <c r="D31" t="s">
        <v>19</v>
      </c>
      <c r="E31" t="s">
        <v>22</v>
      </c>
      <c r="F31">
        <v>30</v>
      </c>
      <c r="G31" t="str">
        <f>IF(Table2[[#This Row],[Age]]&gt;=30,"Experienced",IF(Table2[[#This Row],[Age]]&gt;=25,"Mid Level", "Entry Level"))</f>
        <v>Experienced</v>
      </c>
      <c r="H31" t="s">
        <v>25</v>
      </c>
      <c r="I31" t="s">
        <v>30</v>
      </c>
      <c r="J31" s="4">
        <v>45750</v>
      </c>
      <c r="K31" s="4" t="str">
        <f>TEXT(Table2[[#This Row],[Enrollment_date]],"Mmm")</f>
        <v>Apr</v>
      </c>
      <c r="L31" s="4" t="str">
        <f>TEXT(Table2[[#This Row],[Enrollment_date]],"Ddd")</f>
        <v>Thu</v>
      </c>
      <c r="M31" s="4" t="s">
        <v>34</v>
      </c>
      <c r="N31" t="s">
        <v>37</v>
      </c>
      <c r="O31" t="s">
        <v>38</v>
      </c>
      <c r="P31" s="8">
        <v>4</v>
      </c>
      <c r="Q31" s="6">
        <v>0.89583333333333337</v>
      </c>
      <c r="R31" s="6">
        <v>60.5</v>
      </c>
      <c r="S31" s="6" t="str">
        <f>IF(Table2[[#This Row],[Avg_score]]&gt;=79,"Distinction",IF(Table2[[#This Row],[Avg_score]]&gt;=60,"Pass","Fail"))</f>
        <v>Pass</v>
      </c>
      <c r="T31" t="s">
        <v>39</v>
      </c>
      <c r="U31">
        <f>IF(Table2[[#This Row],[Completed]]="Yes",1,0)</f>
        <v>1</v>
      </c>
      <c r="V31" t="s">
        <v>39</v>
      </c>
      <c r="W31" t="s">
        <v>40</v>
      </c>
      <c r="X31" s="4">
        <v>45838</v>
      </c>
    </row>
    <row r="32" spans="1:24" x14ac:dyDescent="0.3">
      <c r="A32">
        <v>31</v>
      </c>
      <c r="B32" s="8">
        <v>11</v>
      </c>
      <c r="C32">
        <v>1</v>
      </c>
      <c r="D32" t="s">
        <v>19</v>
      </c>
      <c r="E32" t="s">
        <v>22</v>
      </c>
      <c r="F32">
        <v>20</v>
      </c>
      <c r="G32" t="str">
        <f>IF(Table2[[#This Row],[Age]]&gt;=30,"Experienced",IF(Table2[[#This Row],[Age]]&gt;=25,"Mid Level", "Entry Level"))</f>
        <v>Entry Level</v>
      </c>
      <c r="H32" t="s">
        <v>25</v>
      </c>
      <c r="I32" t="s">
        <v>32</v>
      </c>
      <c r="J32" s="4">
        <v>45732</v>
      </c>
      <c r="K32" s="4" t="str">
        <f>TEXT(Table2[[#This Row],[Enrollment_date]],"Mmm")</f>
        <v>Mar</v>
      </c>
      <c r="L32" s="4" t="str">
        <f>TEXT(Table2[[#This Row],[Enrollment_date]],"Ddd")</f>
        <v>Sun</v>
      </c>
      <c r="M32" s="4" t="s">
        <v>34</v>
      </c>
      <c r="N32" t="s">
        <v>35</v>
      </c>
      <c r="O32" t="s">
        <v>38</v>
      </c>
      <c r="P32" s="8">
        <v>4</v>
      </c>
      <c r="Q32" s="6">
        <v>0.89583333333333337</v>
      </c>
      <c r="R32" s="6">
        <v>81</v>
      </c>
      <c r="S32" s="6" t="str">
        <f>IF(Table2[[#This Row],[Avg_score]]&gt;=79,"Distinction",IF(Table2[[#This Row],[Avg_score]]&gt;=60,"Pass","Fail"))</f>
        <v>Distinction</v>
      </c>
      <c r="T32" t="s">
        <v>39</v>
      </c>
      <c r="U32">
        <f>IF(Table2[[#This Row],[Completed]]="Yes",1,0)</f>
        <v>1</v>
      </c>
      <c r="V32" t="s">
        <v>39</v>
      </c>
      <c r="W32" t="s">
        <v>40</v>
      </c>
      <c r="X32" s="4">
        <v>45838</v>
      </c>
    </row>
    <row r="33" spans="1:24" x14ac:dyDescent="0.3">
      <c r="A33">
        <v>32</v>
      </c>
      <c r="B33" s="8">
        <v>11</v>
      </c>
      <c r="C33">
        <v>2</v>
      </c>
      <c r="D33" t="s">
        <v>19</v>
      </c>
      <c r="E33" t="s">
        <v>22</v>
      </c>
      <c r="F33">
        <v>20</v>
      </c>
      <c r="G33" t="str">
        <f>IF(Table2[[#This Row],[Age]]&gt;=30,"Experienced",IF(Table2[[#This Row],[Age]]&gt;=25,"Mid Level", "Entry Level"))</f>
        <v>Entry Level</v>
      </c>
      <c r="H33" t="s">
        <v>25</v>
      </c>
      <c r="I33" t="s">
        <v>32</v>
      </c>
      <c r="J33" s="4">
        <v>45732</v>
      </c>
      <c r="K33" s="4" t="str">
        <f>TEXT(Table2[[#This Row],[Enrollment_date]],"Mmm")</f>
        <v>Mar</v>
      </c>
      <c r="L33" s="4" t="str">
        <f>TEXT(Table2[[#This Row],[Enrollment_date]],"Ddd")</f>
        <v>Sun</v>
      </c>
      <c r="M33" s="4" t="s">
        <v>34</v>
      </c>
      <c r="N33" t="s">
        <v>36</v>
      </c>
      <c r="O33" t="s">
        <v>38</v>
      </c>
      <c r="P33" s="8">
        <v>4</v>
      </c>
      <c r="Q33" s="6">
        <v>0.85416666666666663</v>
      </c>
      <c r="R33" s="6">
        <v>68.5</v>
      </c>
      <c r="S33" s="6" t="str">
        <f>IF(Table2[[#This Row],[Avg_score]]&gt;=79,"Distinction",IF(Table2[[#This Row],[Avg_score]]&gt;=60,"Pass","Fail"))</f>
        <v>Pass</v>
      </c>
      <c r="T33" t="s">
        <v>39</v>
      </c>
      <c r="U33">
        <f>IF(Table2[[#This Row],[Completed]]="Yes",1,0)</f>
        <v>1</v>
      </c>
      <c r="V33" t="s">
        <v>39</v>
      </c>
      <c r="W33" t="s">
        <v>40</v>
      </c>
      <c r="X33" s="4">
        <v>45838</v>
      </c>
    </row>
    <row r="34" spans="1:24" x14ac:dyDescent="0.3">
      <c r="A34">
        <v>33</v>
      </c>
      <c r="B34" s="8">
        <v>11</v>
      </c>
      <c r="C34">
        <v>3</v>
      </c>
      <c r="D34" t="s">
        <v>21</v>
      </c>
      <c r="E34" t="s">
        <v>22</v>
      </c>
      <c r="F34">
        <v>20</v>
      </c>
      <c r="G34" t="str">
        <f>IF(Table2[[#This Row],[Age]]&gt;=30,"Experienced",IF(Table2[[#This Row],[Age]]&gt;=25,"Mid Level", "Entry Level"))</f>
        <v>Entry Level</v>
      </c>
      <c r="H34" t="s">
        <v>25</v>
      </c>
      <c r="I34" t="s">
        <v>32</v>
      </c>
      <c r="J34" s="4">
        <v>45732</v>
      </c>
      <c r="K34" s="4" t="str">
        <f>TEXT(Table2[[#This Row],[Enrollment_date]],"Mmm")</f>
        <v>Mar</v>
      </c>
      <c r="L34" s="4" t="str">
        <f>TEXT(Table2[[#This Row],[Enrollment_date]],"Ddd")</f>
        <v>Sun</v>
      </c>
      <c r="M34" s="4" t="s">
        <v>34</v>
      </c>
      <c r="N34" t="s">
        <v>37</v>
      </c>
      <c r="O34" t="s">
        <v>38</v>
      </c>
      <c r="P34" s="8">
        <v>4</v>
      </c>
      <c r="Q34" s="6">
        <v>0.83333333333333337</v>
      </c>
      <c r="R34" s="6">
        <v>85.5</v>
      </c>
      <c r="S34" s="6" t="str">
        <f>IF(Table2[[#This Row],[Avg_score]]&gt;=79,"Distinction",IF(Table2[[#This Row],[Avg_score]]&gt;=60,"Pass","Fail"))</f>
        <v>Distinction</v>
      </c>
      <c r="T34" t="s">
        <v>39</v>
      </c>
      <c r="U34">
        <f>IF(Table2[[#This Row],[Completed]]="Yes",1,0)</f>
        <v>1</v>
      </c>
      <c r="V34" t="s">
        <v>39</v>
      </c>
      <c r="W34" t="s">
        <v>40</v>
      </c>
      <c r="X34" s="4">
        <v>45838</v>
      </c>
    </row>
    <row r="35" spans="1:24" x14ac:dyDescent="0.3">
      <c r="A35">
        <v>34</v>
      </c>
      <c r="B35" s="8">
        <v>12</v>
      </c>
      <c r="C35">
        <v>1</v>
      </c>
      <c r="D35" t="s">
        <v>19</v>
      </c>
      <c r="E35" t="s">
        <v>22</v>
      </c>
      <c r="F35">
        <v>25</v>
      </c>
      <c r="G35" t="str">
        <f>IF(Table2[[#This Row],[Age]]&gt;=30,"Experienced",IF(Table2[[#This Row],[Age]]&gt;=25,"Mid Level", "Entry Level"))</f>
        <v>Mid Level</v>
      </c>
      <c r="H35" t="s">
        <v>25</v>
      </c>
      <c r="I35" t="s">
        <v>44</v>
      </c>
      <c r="J35" s="4">
        <v>45729</v>
      </c>
      <c r="K35" s="4" t="str">
        <f>TEXT(Table2[[#This Row],[Enrollment_date]],"Mmm")</f>
        <v>Mar</v>
      </c>
      <c r="L35" s="4" t="str">
        <f>TEXT(Table2[[#This Row],[Enrollment_date]],"Ddd")</f>
        <v>Thu</v>
      </c>
      <c r="M35" s="4" t="s">
        <v>34</v>
      </c>
      <c r="N35" t="s">
        <v>35</v>
      </c>
      <c r="O35" t="s">
        <v>38</v>
      </c>
      <c r="P35" s="8">
        <v>4</v>
      </c>
      <c r="Q35" s="6">
        <v>0.83333333333333337</v>
      </c>
      <c r="R35" s="6">
        <v>71</v>
      </c>
      <c r="S35" s="6" t="str">
        <f>IF(Table2[[#This Row],[Avg_score]]&gt;=79,"Distinction",IF(Table2[[#This Row],[Avg_score]]&gt;=60,"Pass","Fail"))</f>
        <v>Pass</v>
      </c>
      <c r="T35" t="s">
        <v>40</v>
      </c>
      <c r="U35">
        <f>IF(Table2[[#This Row],[Completed]]="Yes",1,0)</f>
        <v>0</v>
      </c>
      <c r="V35" t="s">
        <v>40</v>
      </c>
      <c r="W35" t="s">
        <v>40</v>
      </c>
      <c r="X35" s="4">
        <v>45838</v>
      </c>
    </row>
    <row r="36" spans="1:24" x14ac:dyDescent="0.3">
      <c r="A36">
        <v>35</v>
      </c>
      <c r="B36" s="8">
        <v>12</v>
      </c>
      <c r="C36">
        <v>2</v>
      </c>
      <c r="D36" t="s">
        <v>21</v>
      </c>
      <c r="E36" t="s">
        <v>22</v>
      </c>
      <c r="F36">
        <v>25</v>
      </c>
      <c r="G36" t="str">
        <f>IF(Table2[[#This Row],[Age]]&gt;=30,"Experienced",IF(Table2[[#This Row],[Age]]&gt;=25,"Mid Level", "Entry Level"))</f>
        <v>Mid Level</v>
      </c>
      <c r="H36" t="s">
        <v>25</v>
      </c>
      <c r="I36" t="s">
        <v>44</v>
      </c>
      <c r="J36" s="4">
        <v>45729</v>
      </c>
      <c r="K36" s="4" t="str">
        <f>TEXT(Table2[[#This Row],[Enrollment_date]],"Mmm")</f>
        <v>Mar</v>
      </c>
      <c r="L36" s="4" t="str">
        <f>TEXT(Table2[[#This Row],[Enrollment_date]],"Ddd")</f>
        <v>Thu</v>
      </c>
      <c r="M36" s="4" t="s">
        <v>34</v>
      </c>
      <c r="N36" t="s">
        <v>36</v>
      </c>
      <c r="O36" t="s">
        <v>38</v>
      </c>
      <c r="P36" s="8">
        <v>4</v>
      </c>
      <c r="Q36" s="6">
        <v>0.89583333333333337</v>
      </c>
      <c r="R36" s="6">
        <v>80.5</v>
      </c>
      <c r="S36" s="6" t="str">
        <f>IF(Table2[[#This Row],[Avg_score]]&gt;=79,"Distinction",IF(Table2[[#This Row],[Avg_score]]&gt;=60,"Pass","Fail"))</f>
        <v>Distinction</v>
      </c>
      <c r="T36" t="s">
        <v>40</v>
      </c>
      <c r="U36">
        <f>IF(Table2[[#This Row],[Completed]]="Yes",1,0)</f>
        <v>0</v>
      </c>
      <c r="V36" t="s">
        <v>40</v>
      </c>
      <c r="W36" t="s">
        <v>40</v>
      </c>
      <c r="X36" s="4">
        <v>45838</v>
      </c>
    </row>
    <row r="37" spans="1:24" x14ac:dyDescent="0.3">
      <c r="A37">
        <v>36</v>
      </c>
      <c r="B37" s="8">
        <v>12</v>
      </c>
      <c r="C37">
        <v>3</v>
      </c>
      <c r="D37" t="s">
        <v>19</v>
      </c>
      <c r="E37" t="s">
        <v>22</v>
      </c>
      <c r="F37">
        <v>25</v>
      </c>
      <c r="G37" t="str">
        <f>IF(Table2[[#This Row],[Age]]&gt;=30,"Experienced",IF(Table2[[#This Row],[Age]]&gt;=25,"Mid Level", "Entry Level"))</f>
        <v>Mid Level</v>
      </c>
      <c r="H37" t="s">
        <v>25</v>
      </c>
      <c r="I37" t="s">
        <v>44</v>
      </c>
      <c r="J37" s="4">
        <v>45729</v>
      </c>
      <c r="K37" s="4" t="str">
        <f>TEXT(Table2[[#This Row],[Enrollment_date]],"Mmm")</f>
        <v>Mar</v>
      </c>
      <c r="L37" s="4" t="str">
        <f>TEXT(Table2[[#This Row],[Enrollment_date]],"Ddd")</f>
        <v>Thu</v>
      </c>
      <c r="M37" s="4" t="s">
        <v>34</v>
      </c>
      <c r="N37" t="s">
        <v>37</v>
      </c>
      <c r="O37" t="s">
        <v>38</v>
      </c>
      <c r="P37" s="8">
        <v>4</v>
      </c>
      <c r="Q37" s="6">
        <v>0.91666666666666663</v>
      </c>
      <c r="R37" s="6">
        <v>91</v>
      </c>
      <c r="S37" s="6" t="str">
        <f>IF(Table2[[#This Row],[Avg_score]]&gt;=79,"Distinction",IF(Table2[[#This Row],[Avg_score]]&gt;=60,"Pass","Fail"))</f>
        <v>Distinction</v>
      </c>
      <c r="T37" t="s">
        <v>40</v>
      </c>
      <c r="U37">
        <f>IF(Table2[[#This Row],[Completed]]="Yes",1,0)</f>
        <v>0</v>
      </c>
      <c r="V37" t="s">
        <v>40</v>
      </c>
      <c r="W37" t="s">
        <v>40</v>
      </c>
      <c r="X37" s="4">
        <v>45838</v>
      </c>
    </row>
    <row r="38" spans="1:24" x14ac:dyDescent="0.3">
      <c r="A38">
        <v>37</v>
      </c>
      <c r="B38" s="8">
        <v>13</v>
      </c>
      <c r="C38">
        <v>1</v>
      </c>
      <c r="D38" t="s">
        <v>19</v>
      </c>
      <c r="E38" t="s">
        <v>23</v>
      </c>
      <c r="F38">
        <v>29</v>
      </c>
      <c r="G38" t="str">
        <f>IF(Table2[[#This Row],[Age]]&gt;=30,"Experienced",IF(Table2[[#This Row],[Age]]&gt;=25,"Mid Level", "Entry Level"))</f>
        <v>Mid Level</v>
      </c>
      <c r="H38" t="s">
        <v>28</v>
      </c>
      <c r="I38" t="s">
        <v>30</v>
      </c>
      <c r="J38" s="4">
        <v>45748</v>
      </c>
      <c r="K38" s="4" t="str">
        <f>TEXT(Table2[[#This Row],[Enrollment_date]],"Mmm")</f>
        <v>Apr</v>
      </c>
      <c r="L38" s="4" t="str">
        <f>TEXT(Table2[[#This Row],[Enrollment_date]],"Ddd")</f>
        <v>Tue</v>
      </c>
      <c r="M38" s="4" t="s">
        <v>34</v>
      </c>
      <c r="N38" t="s">
        <v>35</v>
      </c>
      <c r="O38" t="s">
        <v>38</v>
      </c>
      <c r="P38" s="8">
        <v>4</v>
      </c>
      <c r="Q38" s="6">
        <v>0.83333333333333337</v>
      </c>
      <c r="R38" s="6">
        <v>59.5</v>
      </c>
      <c r="S38" s="6" t="str">
        <f>IF(Table2[[#This Row],[Avg_score]]&gt;=79,"Distinction",IF(Table2[[#This Row],[Avg_score]]&gt;=60,"Pass","Fail"))</f>
        <v>Fail</v>
      </c>
      <c r="T38" t="s">
        <v>39</v>
      </c>
      <c r="U38">
        <f>IF(Table2[[#This Row],[Completed]]="Yes",1,0)</f>
        <v>1</v>
      </c>
      <c r="V38" t="s">
        <v>39</v>
      </c>
      <c r="W38" t="s">
        <v>40</v>
      </c>
      <c r="X38" s="4">
        <v>45838</v>
      </c>
    </row>
    <row r="39" spans="1:24" x14ac:dyDescent="0.3">
      <c r="A39">
        <v>38</v>
      </c>
      <c r="B39" s="8">
        <v>13</v>
      </c>
      <c r="C39">
        <v>2</v>
      </c>
      <c r="D39" t="s">
        <v>20</v>
      </c>
      <c r="E39" t="s">
        <v>23</v>
      </c>
      <c r="F39">
        <v>29</v>
      </c>
      <c r="G39" t="str">
        <f>IF(Table2[[#This Row],[Age]]&gt;=30,"Experienced",IF(Table2[[#This Row],[Age]]&gt;=25,"Mid Level", "Entry Level"))</f>
        <v>Mid Level</v>
      </c>
      <c r="H39" t="s">
        <v>28</v>
      </c>
      <c r="I39" t="s">
        <v>30</v>
      </c>
      <c r="J39" s="4">
        <v>45748</v>
      </c>
      <c r="K39" s="4" t="str">
        <f>TEXT(Table2[[#This Row],[Enrollment_date]],"Mmm")</f>
        <v>Apr</v>
      </c>
      <c r="L39" s="4" t="str">
        <f>TEXT(Table2[[#This Row],[Enrollment_date]],"Ddd")</f>
        <v>Tue</v>
      </c>
      <c r="M39" s="4" t="s">
        <v>34</v>
      </c>
      <c r="N39" t="s">
        <v>36</v>
      </c>
      <c r="O39" t="s">
        <v>38</v>
      </c>
      <c r="P39" s="8">
        <v>4</v>
      </c>
      <c r="Q39" s="6">
        <v>0.77083333333333337</v>
      </c>
      <c r="R39" s="6">
        <v>73</v>
      </c>
      <c r="S39" s="6" t="str">
        <f>IF(Table2[[#This Row],[Avg_score]]&gt;=79,"Distinction",IF(Table2[[#This Row],[Avg_score]]&gt;=60,"Pass","Fail"))</f>
        <v>Pass</v>
      </c>
      <c r="T39" t="s">
        <v>39</v>
      </c>
      <c r="U39">
        <f>IF(Table2[[#This Row],[Completed]]="Yes",1,0)</f>
        <v>1</v>
      </c>
      <c r="V39" t="s">
        <v>39</v>
      </c>
      <c r="W39" t="s">
        <v>40</v>
      </c>
      <c r="X39" s="4">
        <v>45838</v>
      </c>
    </row>
    <row r="40" spans="1:24" x14ac:dyDescent="0.3">
      <c r="A40">
        <v>39</v>
      </c>
      <c r="B40" s="8">
        <v>13</v>
      </c>
      <c r="C40">
        <v>3</v>
      </c>
      <c r="D40" t="s">
        <v>19</v>
      </c>
      <c r="E40" t="s">
        <v>23</v>
      </c>
      <c r="F40">
        <v>29</v>
      </c>
      <c r="G40" t="str">
        <f>IF(Table2[[#This Row],[Age]]&gt;=30,"Experienced",IF(Table2[[#This Row],[Age]]&gt;=25,"Mid Level", "Entry Level"))</f>
        <v>Mid Level</v>
      </c>
      <c r="H40" t="s">
        <v>28</v>
      </c>
      <c r="I40" t="s">
        <v>30</v>
      </c>
      <c r="J40" s="4">
        <v>45748</v>
      </c>
      <c r="K40" s="4" t="str">
        <f>TEXT(Table2[[#This Row],[Enrollment_date]],"Mmm")</f>
        <v>Apr</v>
      </c>
      <c r="L40" s="4" t="str">
        <f>TEXT(Table2[[#This Row],[Enrollment_date]],"Ddd")</f>
        <v>Tue</v>
      </c>
      <c r="M40" s="4" t="s">
        <v>34</v>
      </c>
      <c r="N40" t="s">
        <v>37</v>
      </c>
      <c r="O40" t="s">
        <v>38</v>
      </c>
      <c r="P40" s="8">
        <v>4</v>
      </c>
      <c r="Q40" s="6">
        <v>0.79166666666666663</v>
      </c>
      <c r="R40" s="6">
        <v>89.5</v>
      </c>
      <c r="S40" s="6" t="str">
        <f>IF(Table2[[#This Row],[Avg_score]]&gt;=79,"Distinction",IF(Table2[[#This Row],[Avg_score]]&gt;=60,"Pass","Fail"))</f>
        <v>Distinction</v>
      </c>
      <c r="T40" t="s">
        <v>39</v>
      </c>
      <c r="U40">
        <f>IF(Table2[[#This Row],[Completed]]="Yes",1,0)</f>
        <v>1</v>
      </c>
      <c r="V40" t="s">
        <v>39</v>
      </c>
      <c r="W40" t="s">
        <v>40</v>
      </c>
      <c r="X40" s="4">
        <v>45838</v>
      </c>
    </row>
    <row r="41" spans="1:24" x14ac:dyDescent="0.3">
      <c r="A41">
        <v>40</v>
      </c>
      <c r="B41" s="8">
        <v>14</v>
      </c>
      <c r="C41">
        <v>1</v>
      </c>
      <c r="D41" t="s">
        <v>20</v>
      </c>
      <c r="E41" t="s">
        <v>22</v>
      </c>
      <c r="F41">
        <v>26</v>
      </c>
      <c r="G41" t="str">
        <f>IF(Table2[[#This Row],[Age]]&gt;=30,"Experienced",IF(Table2[[#This Row],[Age]]&gt;=25,"Mid Level", "Entry Level"))</f>
        <v>Mid Level</v>
      </c>
      <c r="H41" t="s">
        <v>24</v>
      </c>
      <c r="I41" t="s">
        <v>68</v>
      </c>
      <c r="J41" s="4">
        <v>45701</v>
      </c>
      <c r="K41" s="4" t="str">
        <f>TEXT(Table2[[#This Row],[Enrollment_date]],"Mmm")</f>
        <v>Feb</v>
      </c>
      <c r="L41" s="4" t="str">
        <f>TEXT(Table2[[#This Row],[Enrollment_date]],"Ddd")</f>
        <v>Thu</v>
      </c>
      <c r="M41" s="4" t="s">
        <v>34</v>
      </c>
      <c r="N41" t="s">
        <v>35</v>
      </c>
      <c r="O41" t="s">
        <v>38</v>
      </c>
      <c r="P41" s="8">
        <v>4</v>
      </c>
      <c r="Q41" s="6">
        <v>0.875</v>
      </c>
      <c r="R41" s="6">
        <v>65.5</v>
      </c>
      <c r="S41" s="6" t="str">
        <f>IF(Table2[[#This Row],[Avg_score]]&gt;=79,"Distinction",IF(Table2[[#This Row],[Avg_score]]&gt;=60,"Pass","Fail"))</f>
        <v>Pass</v>
      </c>
      <c r="T41" t="s">
        <v>40</v>
      </c>
      <c r="U41">
        <f>IF(Table2[[#This Row],[Completed]]="Yes",1,0)</f>
        <v>0</v>
      </c>
      <c r="V41" t="s">
        <v>40</v>
      </c>
      <c r="W41" t="s">
        <v>40</v>
      </c>
      <c r="X41" s="4">
        <v>45838</v>
      </c>
    </row>
    <row r="42" spans="1:24" x14ac:dyDescent="0.3">
      <c r="A42">
        <v>41</v>
      </c>
      <c r="B42" s="8">
        <v>14</v>
      </c>
      <c r="C42">
        <v>2</v>
      </c>
      <c r="D42" t="s">
        <v>21</v>
      </c>
      <c r="E42" t="s">
        <v>22</v>
      </c>
      <c r="F42">
        <v>26</v>
      </c>
      <c r="G42" t="str">
        <f>IF(Table2[[#This Row],[Age]]&gt;=30,"Experienced",IF(Table2[[#This Row],[Age]]&gt;=25,"Mid Level", "Entry Level"))</f>
        <v>Mid Level</v>
      </c>
      <c r="H42" t="s">
        <v>24</v>
      </c>
      <c r="I42" t="s">
        <v>68</v>
      </c>
      <c r="J42" s="4">
        <v>45701</v>
      </c>
      <c r="K42" s="4" t="str">
        <f>TEXT(Table2[[#This Row],[Enrollment_date]],"Mmm")</f>
        <v>Feb</v>
      </c>
      <c r="L42" s="4" t="str">
        <f>TEXT(Table2[[#This Row],[Enrollment_date]],"Ddd")</f>
        <v>Thu</v>
      </c>
      <c r="M42" s="4" t="s">
        <v>34</v>
      </c>
      <c r="N42" t="s">
        <v>36</v>
      </c>
      <c r="O42" t="s">
        <v>38</v>
      </c>
      <c r="P42" s="8">
        <v>4</v>
      </c>
      <c r="Q42" s="6">
        <v>0.875</v>
      </c>
      <c r="R42" s="6">
        <v>71.5</v>
      </c>
      <c r="S42" s="6" t="str">
        <f>IF(Table2[[#This Row],[Avg_score]]&gt;=79,"Distinction",IF(Table2[[#This Row],[Avg_score]]&gt;=60,"Pass","Fail"))</f>
        <v>Pass</v>
      </c>
      <c r="T42" t="s">
        <v>40</v>
      </c>
      <c r="U42">
        <f>IF(Table2[[#This Row],[Completed]]="Yes",1,0)</f>
        <v>0</v>
      </c>
      <c r="V42" t="s">
        <v>40</v>
      </c>
      <c r="W42" t="s">
        <v>40</v>
      </c>
      <c r="X42" s="4">
        <v>45838</v>
      </c>
    </row>
    <row r="43" spans="1:24" x14ac:dyDescent="0.3">
      <c r="A43">
        <v>42</v>
      </c>
      <c r="B43" s="8">
        <v>14</v>
      </c>
      <c r="C43">
        <v>3</v>
      </c>
      <c r="D43" t="s">
        <v>19</v>
      </c>
      <c r="E43" t="s">
        <v>22</v>
      </c>
      <c r="F43">
        <v>26</v>
      </c>
      <c r="G43" t="str">
        <f>IF(Table2[[#This Row],[Age]]&gt;=30,"Experienced",IF(Table2[[#This Row],[Age]]&gt;=25,"Mid Level", "Entry Level"))</f>
        <v>Mid Level</v>
      </c>
      <c r="H43" t="s">
        <v>24</v>
      </c>
      <c r="I43" t="s">
        <v>68</v>
      </c>
      <c r="J43" s="4">
        <v>45701</v>
      </c>
      <c r="K43" s="4" t="str">
        <f>TEXT(Table2[[#This Row],[Enrollment_date]],"Mmm")</f>
        <v>Feb</v>
      </c>
      <c r="L43" s="4" t="str">
        <f>TEXT(Table2[[#This Row],[Enrollment_date]],"Ddd")</f>
        <v>Thu</v>
      </c>
      <c r="M43" s="4" t="s">
        <v>34</v>
      </c>
      <c r="N43" t="s">
        <v>37</v>
      </c>
      <c r="O43" t="s">
        <v>38</v>
      </c>
      <c r="P43" s="8">
        <v>4</v>
      </c>
      <c r="Q43" s="6">
        <v>0.91666666666666663</v>
      </c>
      <c r="R43" s="6">
        <v>78.5</v>
      </c>
      <c r="S43" s="6" t="str">
        <f>IF(Table2[[#This Row],[Avg_score]]&gt;=79,"Distinction",IF(Table2[[#This Row],[Avg_score]]&gt;=60,"Pass","Fail"))</f>
        <v>Pass</v>
      </c>
      <c r="T43" t="s">
        <v>40</v>
      </c>
      <c r="U43">
        <f>IF(Table2[[#This Row],[Completed]]="Yes",1,0)</f>
        <v>0</v>
      </c>
      <c r="V43" t="s">
        <v>40</v>
      </c>
      <c r="W43" t="s">
        <v>40</v>
      </c>
      <c r="X43" s="4">
        <v>45838</v>
      </c>
    </row>
    <row r="44" spans="1:24" x14ac:dyDescent="0.3">
      <c r="A44">
        <v>43</v>
      </c>
      <c r="B44" s="8">
        <v>15</v>
      </c>
      <c r="C44">
        <v>1</v>
      </c>
      <c r="D44" t="s">
        <v>19</v>
      </c>
      <c r="E44" t="s">
        <v>22</v>
      </c>
      <c r="F44">
        <v>23</v>
      </c>
      <c r="G44" t="str">
        <f>IF(Table2[[#This Row],[Age]]&gt;=30,"Experienced",IF(Table2[[#This Row],[Age]]&gt;=25,"Mid Level", "Entry Level"))</f>
        <v>Entry Level</v>
      </c>
      <c r="H44" t="s">
        <v>27</v>
      </c>
      <c r="I44" t="s">
        <v>44</v>
      </c>
      <c r="J44" s="4">
        <v>45727</v>
      </c>
      <c r="K44" s="4" t="str">
        <f>TEXT(Table2[[#This Row],[Enrollment_date]],"Mmm")</f>
        <v>Mar</v>
      </c>
      <c r="L44" s="4" t="str">
        <f>TEXT(Table2[[#This Row],[Enrollment_date]],"Ddd")</f>
        <v>Tue</v>
      </c>
      <c r="M44" s="4" t="s">
        <v>34</v>
      </c>
      <c r="N44" t="s">
        <v>35</v>
      </c>
      <c r="O44" t="s">
        <v>38</v>
      </c>
      <c r="P44" s="8">
        <v>4</v>
      </c>
      <c r="Q44" s="6">
        <v>0.85416666666666663</v>
      </c>
      <c r="R44" s="6">
        <v>81.5</v>
      </c>
      <c r="S44" s="6" t="str">
        <f>IF(Table2[[#This Row],[Avg_score]]&gt;=79,"Distinction",IF(Table2[[#This Row],[Avg_score]]&gt;=60,"Pass","Fail"))</f>
        <v>Distinction</v>
      </c>
      <c r="T44" t="s">
        <v>40</v>
      </c>
      <c r="U44">
        <f>IF(Table2[[#This Row],[Completed]]="Yes",1,0)</f>
        <v>0</v>
      </c>
      <c r="V44" t="s">
        <v>40</v>
      </c>
      <c r="W44" t="s">
        <v>40</v>
      </c>
      <c r="X44" s="4">
        <v>45838</v>
      </c>
    </row>
    <row r="45" spans="1:24" x14ac:dyDescent="0.3">
      <c r="A45">
        <v>44</v>
      </c>
      <c r="B45" s="8">
        <v>15</v>
      </c>
      <c r="C45">
        <v>2</v>
      </c>
      <c r="D45" t="s">
        <v>20</v>
      </c>
      <c r="E45" t="s">
        <v>22</v>
      </c>
      <c r="F45">
        <v>23</v>
      </c>
      <c r="G45" t="str">
        <f>IF(Table2[[#This Row],[Age]]&gt;=30,"Experienced",IF(Table2[[#This Row],[Age]]&gt;=25,"Mid Level", "Entry Level"))</f>
        <v>Entry Level</v>
      </c>
      <c r="H45" t="s">
        <v>27</v>
      </c>
      <c r="I45" t="s">
        <v>44</v>
      </c>
      <c r="J45" s="4">
        <v>45727</v>
      </c>
      <c r="K45" s="4" t="str">
        <f>TEXT(Table2[[#This Row],[Enrollment_date]],"Mmm")</f>
        <v>Mar</v>
      </c>
      <c r="L45" s="4" t="str">
        <f>TEXT(Table2[[#This Row],[Enrollment_date]],"Ddd")</f>
        <v>Tue</v>
      </c>
      <c r="M45" s="4" t="s">
        <v>34</v>
      </c>
      <c r="N45" t="s">
        <v>36</v>
      </c>
      <c r="O45" t="s">
        <v>38</v>
      </c>
      <c r="P45" s="8">
        <v>4</v>
      </c>
      <c r="Q45" s="6">
        <v>0.79166666666666663</v>
      </c>
      <c r="R45" s="6">
        <v>84.5</v>
      </c>
      <c r="S45" s="6" t="str">
        <f>IF(Table2[[#This Row],[Avg_score]]&gt;=79,"Distinction",IF(Table2[[#This Row],[Avg_score]]&gt;=60,"Pass","Fail"))</f>
        <v>Distinction</v>
      </c>
      <c r="T45" t="s">
        <v>40</v>
      </c>
      <c r="U45">
        <f>IF(Table2[[#This Row],[Completed]]="Yes",1,0)</f>
        <v>0</v>
      </c>
      <c r="V45" t="s">
        <v>40</v>
      </c>
      <c r="W45" t="s">
        <v>40</v>
      </c>
      <c r="X45" s="4">
        <v>45838</v>
      </c>
    </row>
    <row r="46" spans="1:24" x14ac:dyDescent="0.3">
      <c r="A46">
        <v>45</v>
      </c>
      <c r="B46" s="8">
        <v>15</v>
      </c>
      <c r="C46">
        <v>3</v>
      </c>
      <c r="D46" t="s">
        <v>19</v>
      </c>
      <c r="E46" t="s">
        <v>22</v>
      </c>
      <c r="F46">
        <v>23</v>
      </c>
      <c r="G46" t="str">
        <f>IF(Table2[[#This Row],[Age]]&gt;=30,"Experienced",IF(Table2[[#This Row],[Age]]&gt;=25,"Mid Level", "Entry Level"))</f>
        <v>Entry Level</v>
      </c>
      <c r="H46" t="s">
        <v>27</v>
      </c>
      <c r="I46" t="s">
        <v>44</v>
      </c>
      <c r="J46" s="4">
        <v>45727</v>
      </c>
      <c r="K46" s="4" t="str">
        <f>TEXT(Table2[[#This Row],[Enrollment_date]],"Mmm")</f>
        <v>Mar</v>
      </c>
      <c r="L46" s="4" t="str">
        <f>TEXT(Table2[[#This Row],[Enrollment_date]],"Ddd")</f>
        <v>Tue</v>
      </c>
      <c r="M46" s="4" t="s">
        <v>34</v>
      </c>
      <c r="N46" t="s">
        <v>37</v>
      </c>
      <c r="O46" t="s">
        <v>38</v>
      </c>
      <c r="P46" s="8">
        <v>4</v>
      </c>
      <c r="Q46" s="6">
        <v>0.89583333333333337</v>
      </c>
      <c r="R46" s="6">
        <v>73</v>
      </c>
      <c r="S46" s="6" t="str">
        <f>IF(Table2[[#This Row],[Avg_score]]&gt;=79,"Distinction",IF(Table2[[#This Row],[Avg_score]]&gt;=60,"Pass","Fail"))</f>
        <v>Pass</v>
      </c>
      <c r="T46" t="s">
        <v>40</v>
      </c>
      <c r="U46">
        <f>IF(Table2[[#This Row],[Completed]]="Yes",1,0)</f>
        <v>0</v>
      </c>
      <c r="V46" t="s">
        <v>40</v>
      </c>
      <c r="W46" t="s">
        <v>40</v>
      </c>
      <c r="X46" s="4">
        <v>45838</v>
      </c>
    </row>
    <row r="47" spans="1:24" x14ac:dyDescent="0.3">
      <c r="A47">
        <v>46</v>
      </c>
      <c r="B47" s="8">
        <v>16</v>
      </c>
      <c r="C47">
        <v>1</v>
      </c>
      <c r="D47" t="s">
        <v>19</v>
      </c>
      <c r="E47" t="s">
        <v>22</v>
      </c>
      <c r="F47">
        <v>28</v>
      </c>
      <c r="G47" t="str">
        <f>IF(Table2[[#This Row],[Age]]&gt;=30,"Experienced",IF(Table2[[#This Row],[Age]]&gt;=25,"Mid Level", "Entry Level"))</f>
        <v>Mid Level</v>
      </c>
      <c r="H47" t="s">
        <v>25</v>
      </c>
      <c r="I47" t="s">
        <v>32</v>
      </c>
      <c r="J47" s="4">
        <v>45666</v>
      </c>
      <c r="K47" s="4" t="str">
        <f>TEXT(Table2[[#This Row],[Enrollment_date]],"Mmm")</f>
        <v>Jan</v>
      </c>
      <c r="L47" s="4" t="str">
        <f>TEXT(Table2[[#This Row],[Enrollment_date]],"Ddd")</f>
        <v>Thu</v>
      </c>
      <c r="M47" s="4" t="s">
        <v>34</v>
      </c>
      <c r="N47" t="s">
        <v>35</v>
      </c>
      <c r="O47" t="s">
        <v>38</v>
      </c>
      <c r="P47" s="8">
        <v>4</v>
      </c>
      <c r="Q47" s="6">
        <v>0.875</v>
      </c>
      <c r="R47" s="6">
        <v>79.5</v>
      </c>
      <c r="S47" s="6" t="str">
        <f>IF(Table2[[#This Row],[Avg_score]]&gt;=79,"Distinction",IF(Table2[[#This Row],[Avg_score]]&gt;=60,"Pass","Fail"))</f>
        <v>Distinction</v>
      </c>
      <c r="T47" t="s">
        <v>40</v>
      </c>
      <c r="U47">
        <f>IF(Table2[[#This Row],[Completed]]="Yes",1,0)</f>
        <v>0</v>
      </c>
      <c r="V47" t="s">
        <v>40</v>
      </c>
      <c r="W47" t="s">
        <v>40</v>
      </c>
      <c r="X47" s="4">
        <v>45838</v>
      </c>
    </row>
    <row r="48" spans="1:24" x14ac:dyDescent="0.3">
      <c r="A48">
        <v>47</v>
      </c>
      <c r="B48" s="8">
        <v>16</v>
      </c>
      <c r="C48">
        <v>2</v>
      </c>
      <c r="D48" t="s">
        <v>20</v>
      </c>
      <c r="E48" t="s">
        <v>22</v>
      </c>
      <c r="F48">
        <v>28</v>
      </c>
      <c r="G48" t="str">
        <f>IF(Table2[[#This Row],[Age]]&gt;=30,"Experienced",IF(Table2[[#This Row],[Age]]&gt;=25,"Mid Level", "Entry Level"))</f>
        <v>Mid Level</v>
      </c>
      <c r="H48" t="s">
        <v>25</v>
      </c>
      <c r="I48" t="s">
        <v>32</v>
      </c>
      <c r="J48" s="4">
        <v>45666</v>
      </c>
      <c r="K48" s="4" t="str">
        <f>TEXT(Table2[[#This Row],[Enrollment_date]],"Mmm")</f>
        <v>Jan</v>
      </c>
      <c r="L48" s="4" t="str">
        <f>TEXT(Table2[[#This Row],[Enrollment_date]],"Ddd")</f>
        <v>Thu</v>
      </c>
      <c r="M48" s="4" t="s">
        <v>34</v>
      </c>
      <c r="N48" t="s">
        <v>36</v>
      </c>
      <c r="O48" t="s">
        <v>38</v>
      </c>
      <c r="P48" s="8">
        <v>4</v>
      </c>
      <c r="Q48" s="6">
        <v>0.89583333333333337</v>
      </c>
      <c r="R48" s="6">
        <v>79</v>
      </c>
      <c r="S48" s="6" t="str">
        <f>IF(Table2[[#This Row],[Avg_score]]&gt;=79,"Distinction",IF(Table2[[#This Row],[Avg_score]]&gt;=60,"Pass","Fail"))</f>
        <v>Distinction</v>
      </c>
      <c r="T48" t="s">
        <v>40</v>
      </c>
      <c r="U48">
        <f>IF(Table2[[#This Row],[Completed]]="Yes",1,0)</f>
        <v>0</v>
      </c>
      <c r="V48" t="s">
        <v>40</v>
      </c>
      <c r="W48" t="s">
        <v>40</v>
      </c>
      <c r="X48" s="4">
        <v>45838</v>
      </c>
    </row>
    <row r="49" spans="1:24" x14ac:dyDescent="0.3">
      <c r="A49">
        <v>48</v>
      </c>
      <c r="B49" s="8">
        <v>16</v>
      </c>
      <c r="C49">
        <v>3</v>
      </c>
      <c r="D49" t="s">
        <v>19</v>
      </c>
      <c r="E49" t="s">
        <v>22</v>
      </c>
      <c r="F49">
        <v>28</v>
      </c>
      <c r="G49" t="str">
        <f>IF(Table2[[#This Row],[Age]]&gt;=30,"Experienced",IF(Table2[[#This Row],[Age]]&gt;=25,"Mid Level", "Entry Level"))</f>
        <v>Mid Level</v>
      </c>
      <c r="H49" t="s">
        <v>25</v>
      </c>
      <c r="I49" t="s">
        <v>32</v>
      </c>
      <c r="J49" s="4">
        <v>45666</v>
      </c>
      <c r="K49" s="4" t="str">
        <f>TEXT(Table2[[#This Row],[Enrollment_date]],"Mmm")</f>
        <v>Jan</v>
      </c>
      <c r="L49" s="4" t="str">
        <f>TEXT(Table2[[#This Row],[Enrollment_date]],"Ddd")</f>
        <v>Thu</v>
      </c>
      <c r="M49" s="4" t="s">
        <v>34</v>
      </c>
      <c r="N49" t="s">
        <v>37</v>
      </c>
      <c r="O49" t="s">
        <v>38</v>
      </c>
      <c r="P49" s="8">
        <v>4</v>
      </c>
      <c r="Q49" s="6">
        <v>0.8125</v>
      </c>
      <c r="R49" s="6">
        <v>75.5</v>
      </c>
      <c r="S49" s="6" t="str">
        <f>IF(Table2[[#This Row],[Avg_score]]&gt;=79,"Distinction",IF(Table2[[#This Row],[Avg_score]]&gt;=60,"Pass","Fail"))</f>
        <v>Pass</v>
      </c>
      <c r="T49" t="s">
        <v>40</v>
      </c>
      <c r="U49">
        <f>IF(Table2[[#This Row],[Completed]]="Yes",1,0)</f>
        <v>0</v>
      </c>
      <c r="V49" t="s">
        <v>40</v>
      </c>
      <c r="W49" t="s">
        <v>40</v>
      </c>
      <c r="X49" s="4">
        <v>45838</v>
      </c>
    </row>
    <row r="50" spans="1:24" x14ac:dyDescent="0.3">
      <c r="A50">
        <v>49</v>
      </c>
      <c r="B50" s="8">
        <v>17</v>
      </c>
      <c r="C50">
        <v>1</v>
      </c>
      <c r="D50" t="s">
        <v>19</v>
      </c>
      <c r="E50" t="s">
        <v>23</v>
      </c>
      <c r="F50">
        <v>30</v>
      </c>
      <c r="G50" t="str">
        <f>IF(Table2[[#This Row],[Age]]&gt;=30,"Experienced",IF(Table2[[#This Row],[Age]]&gt;=25,"Mid Level", "Entry Level"))</f>
        <v>Experienced</v>
      </c>
      <c r="H50" t="s">
        <v>29</v>
      </c>
      <c r="I50" t="s">
        <v>68</v>
      </c>
      <c r="J50" s="4">
        <v>45712</v>
      </c>
      <c r="K50" s="4" t="str">
        <f>TEXT(Table2[[#This Row],[Enrollment_date]],"Mmm")</f>
        <v>Feb</v>
      </c>
      <c r="L50" s="4" t="str">
        <f>TEXT(Table2[[#This Row],[Enrollment_date]],"Ddd")</f>
        <v>Mon</v>
      </c>
      <c r="M50" s="4" t="s">
        <v>34</v>
      </c>
      <c r="N50" t="s">
        <v>35</v>
      </c>
      <c r="O50" t="s">
        <v>38</v>
      </c>
      <c r="P50" s="8">
        <v>4</v>
      </c>
      <c r="Q50" s="6">
        <v>0.85416666666666663</v>
      </c>
      <c r="R50" s="6">
        <v>57.5</v>
      </c>
      <c r="S50" s="6" t="str">
        <f>IF(Table2[[#This Row],[Avg_score]]&gt;=79,"Distinction",IF(Table2[[#This Row],[Avg_score]]&gt;=60,"Pass","Fail"))</f>
        <v>Fail</v>
      </c>
      <c r="T50" t="s">
        <v>39</v>
      </c>
      <c r="U50">
        <f>IF(Table2[[#This Row],[Completed]]="Yes",1,0)</f>
        <v>1</v>
      </c>
      <c r="V50" t="s">
        <v>40</v>
      </c>
      <c r="W50" t="s">
        <v>40</v>
      </c>
      <c r="X50" s="4">
        <v>45838</v>
      </c>
    </row>
    <row r="51" spans="1:24" x14ac:dyDescent="0.3">
      <c r="A51">
        <v>50</v>
      </c>
      <c r="B51" s="8">
        <v>17</v>
      </c>
      <c r="C51">
        <v>2</v>
      </c>
      <c r="D51" t="s">
        <v>19</v>
      </c>
      <c r="E51" t="s">
        <v>23</v>
      </c>
      <c r="F51">
        <v>30</v>
      </c>
      <c r="G51" t="str">
        <f>IF(Table2[[#This Row],[Age]]&gt;=30,"Experienced",IF(Table2[[#This Row],[Age]]&gt;=25,"Mid Level", "Entry Level"))</f>
        <v>Experienced</v>
      </c>
      <c r="H51" t="s">
        <v>29</v>
      </c>
      <c r="I51" t="s">
        <v>68</v>
      </c>
      <c r="J51" s="4">
        <v>45712</v>
      </c>
      <c r="K51" s="4" t="str">
        <f>TEXT(Table2[[#This Row],[Enrollment_date]],"Mmm")</f>
        <v>Feb</v>
      </c>
      <c r="L51" s="4" t="str">
        <f>TEXT(Table2[[#This Row],[Enrollment_date]],"Ddd")</f>
        <v>Mon</v>
      </c>
      <c r="M51" s="4" t="s">
        <v>34</v>
      </c>
      <c r="N51" t="s">
        <v>36</v>
      </c>
      <c r="O51" t="s">
        <v>38</v>
      </c>
      <c r="P51" s="8">
        <v>4</v>
      </c>
      <c r="Q51" s="6">
        <v>0.85416666666666663</v>
      </c>
      <c r="R51" s="6">
        <v>90.5</v>
      </c>
      <c r="S51" s="6" t="str">
        <f>IF(Table2[[#This Row],[Avg_score]]&gt;=79,"Distinction",IF(Table2[[#This Row],[Avg_score]]&gt;=60,"Pass","Fail"))</f>
        <v>Distinction</v>
      </c>
      <c r="T51" t="s">
        <v>39</v>
      </c>
      <c r="U51">
        <f>IF(Table2[[#This Row],[Completed]]="Yes",1,0)</f>
        <v>1</v>
      </c>
      <c r="V51" t="s">
        <v>40</v>
      </c>
      <c r="W51" t="s">
        <v>40</v>
      </c>
      <c r="X51" s="4">
        <v>45838</v>
      </c>
    </row>
    <row r="52" spans="1:24" x14ac:dyDescent="0.3">
      <c r="A52">
        <v>51</v>
      </c>
      <c r="B52" s="8">
        <v>17</v>
      </c>
      <c r="C52">
        <v>3</v>
      </c>
      <c r="D52" t="s">
        <v>21</v>
      </c>
      <c r="E52" t="s">
        <v>23</v>
      </c>
      <c r="F52">
        <v>30</v>
      </c>
      <c r="G52" t="str">
        <f>IF(Table2[[#This Row],[Age]]&gt;=30,"Experienced",IF(Table2[[#This Row],[Age]]&gt;=25,"Mid Level", "Entry Level"))</f>
        <v>Experienced</v>
      </c>
      <c r="H52" t="s">
        <v>29</v>
      </c>
      <c r="I52" t="s">
        <v>68</v>
      </c>
      <c r="J52" s="4">
        <v>45712</v>
      </c>
      <c r="K52" s="4" t="str">
        <f>TEXT(Table2[[#This Row],[Enrollment_date]],"Mmm")</f>
        <v>Feb</v>
      </c>
      <c r="L52" s="4" t="str">
        <f>TEXT(Table2[[#This Row],[Enrollment_date]],"Ddd")</f>
        <v>Mon</v>
      </c>
      <c r="M52" s="4" t="s">
        <v>34</v>
      </c>
      <c r="N52" t="s">
        <v>37</v>
      </c>
      <c r="O52" t="s">
        <v>38</v>
      </c>
      <c r="P52" s="8">
        <v>4</v>
      </c>
      <c r="Q52" s="6">
        <v>0.83333333333333337</v>
      </c>
      <c r="R52" s="6">
        <v>98.5</v>
      </c>
      <c r="S52" s="6" t="str">
        <f>IF(Table2[[#This Row],[Avg_score]]&gt;=79,"Distinction",IF(Table2[[#This Row],[Avg_score]]&gt;=60,"Pass","Fail"))</f>
        <v>Distinction</v>
      </c>
      <c r="T52" t="s">
        <v>39</v>
      </c>
      <c r="U52">
        <f>IF(Table2[[#This Row],[Completed]]="Yes",1,0)</f>
        <v>1</v>
      </c>
      <c r="V52" t="s">
        <v>40</v>
      </c>
      <c r="W52" t="s">
        <v>40</v>
      </c>
      <c r="X52" s="4">
        <v>45838</v>
      </c>
    </row>
    <row r="53" spans="1:24" x14ac:dyDescent="0.3">
      <c r="A53">
        <v>52</v>
      </c>
      <c r="B53" s="8">
        <v>18</v>
      </c>
      <c r="C53">
        <v>1</v>
      </c>
      <c r="D53" t="s">
        <v>20</v>
      </c>
      <c r="E53" t="s">
        <v>23</v>
      </c>
      <c r="F53">
        <v>24</v>
      </c>
      <c r="G53" t="str">
        <f>IF(Table2[[#This Row],[Age]]&gt;=30,"Experienced",IF(Table2[[#This Row],[Age]]&gt;=25,"Mid Level", "Entry Level"))</f>
        <v>Entry Level</v>
      </c>
      <c r="H53" t="s">
        <v>24</v>
      </c>
      <c r="I53" t="s">
        <v>44</v>
      </c>
      <c r="J53" s="4">
        <v>45759</v>
      </c>
      <c r="K53" s="4" t="str">
        <f>TEXT(Table2[[#This Row],[Enrollment_date]],"Mmm")</f>
        <v>Apr</v>
      </c>
      <c r="L53" s="4" t="str">
        <f>TEXT(Table2[[#This Row],[Enrollment_date]],"Ddd")</f>
        <v>Sat</v>
      </c>
      <c r="M53" s="4" t="s">
        <v>34</v>
      </c>
      <c r="N53" t="s">
        <v>35</v>
      </c>
      <c r="O53" t="s">
        <v>38</v>
      </c>
      <c r="P53" s="8">
        <v>4</v>
      </c>
      <c r="Q53" s="6">
        <v>0.75</v>
      </c>
      <c r="R53" s="6">
        <v>84</v>
      </c>
      <c r="S53" s="6" t="str">
        <f>IF(Table2[[#This Row],[Avg_score]]&gt;=79,"Distinction",IF(Table2[[#This Row],[Avg_score]]&gt;=60,"Pass","Fail"))</f>
        <v>Distinction</v>
      </c>
      <c r="T53" t="s">
        <v>39</v>
      </c>
      <c r="U53">
        <f>IF(Table2[[#This Row],[Completed]]="Yes",1,0)</f>
        <v>1</v>
      </c>
      <c r="V53" t="s">
        <v>39</v>
      </c>
      <c r="W53" t="s">
        <v>39</v>
      </c>
      <c r="X53" s="4">
        <v>45838</v>
      </c>
    </row>
    <row r="54" spans="1:24" x14ac:dyDescent="0.3">
      <c r="A54">
        <v>53</v>
      </c>
      <c r="B54" s="8">
        <v>18</v>
      </c>
      <c r="C54">
        <v>2</v>
      </c>
      <c r="D54" t="s">
        <v>20</v>
      </c>
      <c r="E54" t="s">
        <v>23</v>
      </c>
      <c r="F54">
        <v>24</v>
      </c>
      <c r="G54" t="str">
        <f>IF(Table2[[#This Row],[Age]]&gt;=30,"Experienced",IF(Table2[[#This Row],[Age]]&gt;=25,"Mid Level", "Entry Level"))</f>
        <v>Entry Level</v>
      </c>
      <c r="H54" t="s">
        <v>24</v>
      </c>
      <c r="I54" t="s">
        <v>44</v>
      </c>
      <c r="J54" s="4">
        <v>45759</v>
      </c>
      <c r="K54" s="4" t="str">
        <f>TEXT(Table2[[#This Row],[Enrollment_date]],"Mmm")</f>
        <v>Apr</v>
      </c>
      <c r="L54" s="4" t="str">
        <f>TEXT(Table2[[#This Row],[Enrollment_date]],"Ddd")</f>
        <v>Sat</v>
      </c>
      <c r="M54" s="4" t="s">
        <v>34</v>
      </c>
      <c r="N54" t="s">
        <v>36</v>
      </c>
      <c r="O54" t="s">
        <v>38</v>
      </c>
      <c r="P54" s="8">
        <v>4</v>
      </c>
      <c r="Q54" s="6">
        <v>0.77083333333333337</v>
      </c>
      <c r="R54" s="6">
        <v>63.5</v>
      </c>
      <c r="S54" s="6" t="str">
        <f>IF(Table2[[#This Row],[Avg_score]]&gt;=79,"Distinction",IF(Table2[[#This Row],[Avg_score]]&gt;=60,"Pass","Fail"))</f>
        <v>Pass</v>
      </c>
      <c r="T54" t="s">
        <v>39</v>
      </c>
      <c r="U54">
        <f>IF(Table2[[#This Row],[Completed]]="Yes",1,0)</f>
        <v>1</v>
      </c>
      <c r="V54" t="s">
        <v>39</v>
      </c>
      <c r="W54" t="s">
        <v>39</v>
      </c>
      <c r="X54" s="4">
        <v>45838</v>
      </c>
    </row>
    <row r="55" spans="1:24" x14ac:dyDescent="0.3">
      <c r="A55">
        <v>54</v>
      </c>
      <c r="B55" s="8">
        <v>18</v>
      </c>
      <c r="C55">
        <v>3</v>
      </c>
      <c r="D55" t="s">
        <v>19</v>
      </c>
      <c r="E55" t="s">
        <v>23</v>
      </c>
      <c r="F55">
        <v>24</v>
      </c>
      <c r="G55" t="str">
        <f>IF(Table2[[#This Row],[Age]]&gt;=30,"Experienced",IF(Table2[[#This Row],[Age]]&gt;=25,"Mid Level", "Entry Level"))</f>
        <v>Entry Level</v>
      </c>
      <c r="H55" t="s">
        <v>24</v>
      </c>
      <c r="I55" t="s">
        <v>44</v>
      </c>
      <c r="J55" s="4">
        <v>45759</v>
      </c>
      <c r="K55" s="4" t="str">
        <f>TEXT(Table2[[#This Row],[Enrollment_date]],"Mmm")</f>
        <v>Apr</v>
      </c>
      <c r="L55" s="4" t="str">
        <f>TEXT(Table2[[#This Row],[Enrollment_date]],"Ddd")</f>
        <v>Sat</v>
      </c>
      <c r="M55" s="4" t="s">
        <v>34</v>
      </c>
      <c r="N55" t="s">
        <v>37</v>
      </c>
      <c r="O55" t="s">
        <v>38</v>
      </c>
      <c r="P55" s="8">
        <v>4</v>
      </c>
      <c r="Q55" s="6">
        <v>0.875</v>
      </c>
      <c r="R55" s="6">
        <v>88</v>
      </c>
      <c r="S55" s="6" t="str">
        <f>IF(Table2[[#This Row],[Avg_score]]&gt;=79,"Distinction",IF(Table2[[#This Row],[Avg_score]]&gt;=60,"Pass","Fail"))</f>
        <v>Distinction</v>
      </c>
      <c r="T55" t="s">
        <v>39</v>
      </c>
      <c r="U55">
        <f>IF(Table2[[#This Row],[Completed]]="Yes",1,0)</f>
        <v>1</v>
      </c>
      <c r="V55" t="s">
        <v>39</v>
      </c>
      <c r="W55" t="s">
        <v>39</v>
      </c>
      <c r="X55" s="4">
        <v>45838</v>
      </c>
    </row>
    <row r="56" spans="1:24" x14ac:dyDescent="0.3">
      <c r="A56">
        <v>55</v>
      </c>
      <c r="B56" s="8">
        <v>19</v>
      </c>
      <c r="C56">
        <v>1</v>
      </c>
      <c r="D56" t="s">
        <v>20</v>
      </c>
      <c r="E56" t="s">
        <v>23</v>
      </c>
      <c r="F56">
        <v>22</v>
      </c>
      <c r="G56" t="str">
        <f>IF(Table2[[#This Row],[Age]]&gt;=30,"Experienced",IF(Table2[[#This Row],[Age]]&gt;=25,"Mid Level", "Entry Level"))</f>
        <v>Entry Level</v>
      </c>
      <c r="H56" t="s">
        <v>29</v>
      </c>
      <c r="I56" t="s">
        <v>32</v>
      </c>
      <c r="J56" s="4">
        <v>45721</v>
      </c>
      <c r="K56" s="4" t="str">
        <f>TEXT(Table2[[#This Row],[Enrollment_date]],"Mmm")</f>
        <v>Mar</v>
      </c>
      <c r="L56" s="4" t="str">
        <f>TEXT(Table2[[#This Row],[Enrollment_date]],"Ddd")</f>
        <v>Wed</v>
      </c>
      <c r="M56" s="4" t="s">
        <v>34</v>
      </c>
      <c r="N56" t="s">
        <v>35</v>
      </c>
      <c r="O56" t="s">
        <v>38</v>
      </c>
      <c r="P56" s="8">
        <v>4</v>
      </c>
      <c r="Q56" s="6">
        <v>0.875</v>
      </c>
      <c r="R56" s="6">
        <v>73.5</v>
      </c>
      <c r="S56" s="6" t="str">
        <f>IF(Table2[[#This Row],[Avg_score]]&gt;=79,"Distinction",IF(Table2[[#This Row],[Avg_score]]&gt;=60,"Pass","Fail"))</f>
        <v>Pass</v>
      </c>
      <c r="T56" t="s">
        <v>40</v>
      </c>
      <c r="U56">
        <f>IF(Table2[[#This Row],[Completed]]="Yes",1,0)</f>
        <v>0</v>
      </c>
      <c r="V56" t="s">
        <v>40</v>
      </c>
      <c r="W56" t="s">
        <v>40</v>
      </c>
      <c r="X56" s="4">
        <v>45838</v>
      </c>
    </row>
    <row r="57" spans="1:24" x14ac:dyDescent="0.3">
      <c r="A57">
        <v>56</v>
      </c>
      <c r="B57" s="8">
        <v>19</v>
      </c>
      <c r="C57">
        <v>2</v>
      </c>
      <c r="D57" t="s">
        <v>19</v>
      </c>
      <c r="E57" t="s">
        <v>23</v>
      </c>
      <c r="F57">
        <v>22</v>
      </c>
      <c r="G57" t="str">
        <f>IF(Table2[[#This Row],[Age]]&gt;=30,"Experienced",IF(Table2[[#This Row],[Age]]&gt;=25,"Mid Level", "Entry Level"))</f>
        <v>Entry Level</v>
      </c>
      <c r="H57" t="s">
        <v>29</v>
      </c>
      <c r="I57" t="s">
        <v>32</v>
      </c>
      <c r="J57" s="4">
        <v>45721</v>
      </c>
      <c r="K57" s="4" t="str">
        <f>TEXT(Table2[[#This Row],[Enrollment_date]],"Mmm")</f>
        <v>Mar</v>
      </c>
      <c r="L57" s="4" t="str">
        <f>TEXT(Table2[[#This Row],[Enrollment_date]],"Ddd")</f>
        <v>Wed</v>
      </c>
      <c r="M57" s="4" t="s">
        <v>34</v>
      </c>
      <c r="N57" t="s">
        <v>36</v>
      </c>
      <c r="O57" t="s">
        <v>38</v>
      </c>
      <c r="P57" s="8">
        <v>4</v>
      </c>
      <c r="Q57" s="6">
        <v>0.89583333333333337</v>
      </c>
      <c r="R57" s="6">
        <v>87</v>
      </c>
      <c r="S57" s="6" t="str">
        <f>IF(Table2[[#This Row],[Avg_score]]&gt;=79,"Distinction",IF(Table2[[#This Row],[Avg_score]]&gt;=60,"Pass","Fail"))</f>
        <v>Distinction</v>
      </c>
      <c r="T57" t="s">
        <v>40</v>
      </c>
      <c r="U57">
        <f>IF(Table2[[#This Row],[Completed]]="Yes",1,0)</f>
        <v>0</v>
      </c>
      <c r="V57" t="s">
        <v>40</v>
      </c>
      <c r="W57" t="s">
        <v>40</v>
      </c>
      <c r="X57" s="4">
        <v>45838</v>
      </c>
    </row>
    <row r="58" spans="1:24" x14ac:dyDescent="0.3">
      <c r="A58">
        <v>57</v>
      </c>
      <c r="B58" s="8">
        <v>19</v>
      </c>
      <c r="C58">
        <v>3</v>
      </c>
      <c r="D58" t="s">
        <v>20</v>
      </c>
      <c r="E58" t="s">
        <v>23</v>
      </c>
      <c r="F58">
        <v>22</v>
      </c>
      <c r="G58" t="str">
        <f>IF(Table2[[#This Row],[Age]]&gt;=30,"Experienced",IF(Table2[[#This Row],[Age]]&gt;=25,"Mid Level", "Entry Level"))</f>
        <v>Entry Level</v>
      </c>
      <c r="H58" t="s">
        <v>29</v>
      </c>
      <c r="I58" t="s">
        <v>32</v>
      </c>
      <c r="J58" s="4">
        <v>45721</v>
      </c>
      <c r="K58" s="4" t="str">
        <f>TEXT(Table2[[#This Row],[Enrollment_date]],"Mmm")</f>
        <v>Mar</v>
      </c>
      <c r="L58" s="4" t="str">
        <f>TEXT(Table2[[#This Row],[Enrollment_date]],"Ddd")</f>
        <v>Wed</v>
      </c>
      <c r="M58" s="4" t="s">
        <v>34</v>
      </c>
      <c r="N58" t="s">
        <v>37</v>
      </c>
      <c r="O58" t="s">
        <v>38</v>
      </c>
      <c r="P58" s="8">
        <v>4</v>
      </c>
      <c r="Q58" s="6">
        <v>0.77083333333333337</v>
      </c>
      <c r="R58" s="6">
        <v>54.5</v>
      </c>
      <c r="S58" s="6" t="str">
        <f>IF(Table2[[#This Row],[Avg_score]]&gt;=79,"Distinction",IF(Table2[[#This Row],[Avg_score]]&gt;=60,"Pass","Fail"))</f>
        <v>Fail</v>
      </c>
      <c r="T58" t="s">
        <v>40</v>
      </c>
      <c r="U58">
        <f>IF(Table2[[#This Row],[Completed]]="Yes",1,0)</f>
        <v>0</v>
      </c>
      <c r="V58" t="s">
        <v>40</v>
      </c>
      <c r="W58" t="s">
        <v>40</v>
      </c>
      <c r="X58" s="4">
        <v>45838</v>
      </c>
    </row>
    <row r="59" spans="1:24" x14ac:dyDescent="0.3">
      <c r="A59">
        <v>58</v>
      </c>
      <c r="B59" s="8">
        <v>20</v>
      </c>
      <c r="C59">
        <v>1</v>
      </c>
      <c r="D59" t="s">
        <v>20</v>
      </c>
      <c r="E59" t="s">
        <v>23</v>
      </c>
      <c r="F59">
        <v>31</v>
      </c>
      <c r="G59" t="str">
        <f>IF(Table2[[#This Row],[Age]]&gt;=30,"Experienced",IF(Table2[[#This Row],[Age]]&gt;=25,"Mid Level", "Entry Level"))</f>
        <v>Experienced</v>
      </c>
      <c r="H59" t="s">
        <v>26</v>
      </c>
      <c r="I59" t="s">
        <v>44</v>
      </c>
      <c r="J59" s="4">
        <v>45750</v>
      </c>
      <c r="K59" s="4" t="str">
        <f>TEXT(Table2[[#This Row],[Enrollment_date]],"Mmm")</f>
        <v>Apr</v>
      </c>
      <c r="L59" s="4" t="str">
        <f>TEXT(Table2[[#This Row],[Enrollment_date]],"Ddd")</f>
        <v>Thu</v>
      </c>
      <c r="M59" s="4" t="s">
        <v>34</v>
      </c>
      <c r="N59" t="s">
        <v>35</v>
      </c>
      <c r="O59" t="s">
        <v>38</v>
      </c>
      <c r="P59" s="8">
        <v>4</v>
      </c>
      <c r="Q59" s="6">
        <v>0.85416666666666663</v>
      </c>
      <c r="R59" s="6">
        <v>77</v>
      </c>
      <c r="S59" s="6" t="str">
        <f>IF(Table2[[#This Row],[Avg_score]]&gt;=79,"Distinction",IF(Table2[[#This Row],[Avg_score]]&gt;=60,"Pass","Fail"))</f>
        <v>Pass</v>
      </c>
      <c r="T59" t="s">
        <v>39</v>
      </c>
      <c r="U59">
        <f>IF(Table2[[#This Row],[Completed]]="Yes",1,0)</f>
        <v>1</v>
      </c>
      <c r="V59" t="s">
        <v>39</v>
      </c>
      <c r="W59" t="s">
        <v>39</v>
      </c>
      <c r="X59" s="4">
        <v>45838</v>
      </c>
    </row>
    <row r="60" spans="1:24" x14ac:dyDescent="0.3">
      <c r="A60">
        <v>59</v>
      </c>
      <c r="B60" s="8">
        <v>20</v>
      </c>
      <c r="C60">
        <v>2</v>
      </c>
      <c r="D60" t="s">
        <v>19</v>
      </c>
      <c r="E60" t="s">
        <v>23</v>
      </c>
      <c r="F60">
        <v>31</v>
      </c>
      <c r="G60" t="str">
        <f>IF(Table2[[#This Row],[Age]]&gt;=30,"Experienced",IF(Table2[[#This Row],[Age]]&gt;=25,"Mid Level", "Entry Level"))</f>
        <v>Experienced</v>
      </c>
      <c r="H60" t="s">
        <v>26</v>
      </c>
      <c r="I60" t="s">
        <v>44</v>
      </c>
      <c r="J60" s="4">
        <v>45750</v>
      </c>
      <c r="K60" s="4" t="str">
        <f>TEXT(Table2[[#This Row],[Enrollment_date]],"Mmm")</f>
        <v>Apr</v>
      </c>
      <c r="L60" s="4" t="str">
        <f>TEXT(Table2[[#This Row],[Enrollment_date]],"Ddd")</f>
        <v>Thu</v>
      </c>
      <c r="M60" s="4" t="s">
        <v>34</v>
      </c>
      <c r="N60" t="s">
        <v>36</v>
      </c>
      <c r="O60" t="s">
        <v>38</v>
      </c>
      <c r="P60" s="8">
        <v>4</v>
      </c>
      <c r="Q60" s="6">
        <v>0.8125</v>
      </c>
      <c r="R60" s="6">
        <v>82.5</v>
      </c>
      <c r="S60" s="6" t="str">
        <f>IF(Table2[[#This Row],[Avg_score]]&gt;=79,"Distinction",IF(Table2[[#This Row],[Avg_score]]&gt;=60,"Pass","Fail"))</f>
        <v>Distinction</v>
      </c>
      <c r="T60" t="s">
        <v>39</v>
      </c>
      <c r="U60">
        <f>IF(Table2[[#This Row],[Completed]]="Yes",1,0)</f>
        <v>1</v>
      </c>
      <c r="V60" t="s">
        <v>39</v>
      </c>
      <c r="W60" t="s">
        <v>39</v>
      </c>
      <c r="X60" s="4">
        <v>45838</v>
      </c>
    </row>
    <row r="61" spans="1:24" x14ac:dyDescent="0.3">
      <c r="A61">
        <v>60</v>
      </c>
      <c r="B61" s="8">
        <v>20</v>
      </c>
      <c r="C61">
        <v>3</v>
      </c>
      <c r="D61" t="s">
        <v>19</v>
      </c>
      <c r="E61" t="s">
        <v>23</v>
      </c>
      <c r="F61">
        <v>31</v>
      </c>
      <c r="G61" t="str">
        <f>IF(Table2[[#This Row],[Age]]&gt;=30,"Experienced",IF(Table2[[#This Row],[Age]]&gt;=25,"Mid Level", "Entry Level"))</f>
        <v>Experienced</v>
      </c>
      <c r="H61" t="s">
        <v>26</v>
      </c>
      <c r="I61" t="s">
        <v>44</v>
      </c>
      <c r="J61" s="4">
        <v>45750</v>
      </c>
      <c r="K61" s="4" t="str">
        <f>TEXT(Table2[[#This Row],[Enrollment_date]],"Mmm")</f>
        <v>Apr</v>
      </c>
      <c r="L61" s="4" t="str">
        <f>TEXT(Table2[[#This Row],[Enrollment_date]],"Ddd")</f>
        <v>Thu</v>
      </c>
      <c r="M61" s="4" t="s">
        <v>34</v>
      </c>
      <c r="N61" t="s">
        <v>37</v>
      </c>
      <c r="O61" t="s">
        <v>38</v>
      </c>
      <c r="P61" s="8">
        <v>4</v>
      </c>
      <c r="Q61" s="6">
        <v>0.79166666666666663</v>
      </c>
      <c r="R61" s="6">
        <v>62.5</v>
      </c>
      <c r="S61" s="6" t="str">
        <f>IF(Table2[[#This Row],[Avg_score]]&gt;=79,"Distinction",IF(Table2[[#This Row],[Avg_score]]&gt;=60,"Pass","Fail"))</f>
        <v>Pass</v>
      </c>
      <c r="T61" t="s">
        <v>39</v>
      </c>
      <c r="U61">
        <f>IF(Table2[[#This Row],[Completed]]="Yes",1,0)</f>
        <v>1</v>
      </c>
      <c r="V61" t="s">
        <v>39</v>
      </c>
      <c r="W61" t="s">
        <v>39</v>
      </c>
      <c r="X61" s="4">
        <v>45838</v>
      </c>
    </row>
    <row r="62" spans="1:24" x14ac:dyDescent="0.3">
      <c r="A62">
        <v>61</v>
      </c>
      <c r="B62" s="8">
        <v>21</v>
      </c>
      <c r="C62">
        <v>1</v>
      </c>
      <c r="D62" t="s">
        <v>20</v>
      </c>
      <c r="E62" t="s">
        <v>22</v>
      </c>
      <c r="F62">
        <v>22</v>
      </c>
      <c r="G62" t="str">
        <f>IF(Table2[[#This Row],[Age]]&gt;=30,"Experienced",IF(Table2[[#This Row],[Age]]&gt;=25,"Mid Level", "Entry Level"))</f>
        <v>Entry Level</v>
      </c>
      <c r="H62" t="s">
        <v>26</v>
      </c>
      <c r="I62" t="s">
        <v>44</v>
      </c>
      <c r="J62" s="4">
        <v>45681</v>
      </c>
      <c r="K62" s="4" t="str">
        <f>TEXT(Table2[[#This Row],[Enrollment_date]],"Mmm")</f>
        <v>Jan</v>
      </c>
      <c r="L62" s="4" t="str">
        <f>TEXT(Table2[[#This Row],[Enrollment_date]],"Ddd")</f>
        <v>Fri</v>
      </c>
      <c r="M62" s="4" t="s">
        <v>34</v>
      </c>
      <c r="N62" t="s">
        <v>35</v>
      </c>
      <c r="O62" t="s">
        <v>38</v>
      </c>
      <c r="P62" s="8">
        <v>4</v>
      </c>
      <c r="Q62" s="6">
        <v>0.83333333333333337</v>
      </c>
      <c r="R62" s="6">
        <v>81</v>
      </c>
      <c r="S62" s="6" t="str">
        <f>IF(Table2[[#This Row],[Avg_score]]&gt;=79,"Distinction",IF(Table2[[#This Row],[Avg_score]]&gt;=60,"Pass","Fail"))</f>
        <v>Distinction</v>
      </c>
      <c r="T62" t="s">
        <v>39</v>
      </c>
      <c r="U62">
        <f>IF(Table2[[#This Row],[Completed]]="Yes",1,0)</f>
        <v>1</v>
      </c>
      <c r="V62" t="s">
        <v>40</v>
      </c>
      <c r="W62" t="s">
        <v>40</v>
      </c>
      <c r="X62" s="4">
        <v>45838</v>
      </c>
    </row>
    <row r="63" spans="1:24" x14ac:dyDescent="0.3">
      <c r="A63">
        <v>62</v>
      </c>
      <c r="B63" s="8">
        <v>21</v>
      </c>
      <c r="C63">
        <v>2</v>
      </c>
      <c r="D63" t="s">
        <v>20</v>
      </c>
      <c r="E63" t="s">
        <v>22</v>
      </c>
      <c r="F63">
        <v>22</v>
      </c>
      <c r="G63" t="str">
        <f>IF(Table2[[#This Row],[Age]]&gt;=30,"Experienced",IF(Table2[[#This Row],[Age]]&gt;=25,"Mid Level", "Entry Level"))</f>
        <v>Entry Level</v>
      </c>
      <c r="H63" t="s">
        <v>26</v>
      </c>
      <c r="I63" t="s">
        <v>44</v>
      </c>
      <c r="J63" s="4">
        <v>45681</v>
      </c>
      <c r="K63" s="4" t="str">
        <f>TEXT(Table2[[#This Row],[Enrollment_date]],"Mmm")</f>
        <v>Jan</v>
      </c>
      <c r="L63" s="4" t="str">
        <f>TEXT(Table2[[#This Row],[Enrollment_date]],"Ddd")</f>
        <v>Fri</v>
      </c>
      <c r="M63" s="4" t="s">
        <v>34</v>
      </c>
      <c r="N63" t="s">
        <v>36</v>
      </c>
      <c r="O63" t="s">
        <v>38</v>
      </c>
      <c r="P63" s="8">
        <v>4</v>
      </c>
      <c r="Q63" s="6">
        <v>0.72916666666666663</v>
      </c>
      <c r="R63" s="6">
        <v>93.5</v>
      </c>
      <c r="S63" s="6" t="str">
        <f>IF(Table2[[#This Row],[Avg_score]]&gt;=79,"Distinction",IF(Table2[[#This Row],[Avg_score]]&gt;=60,"Pass","Fail"))</f>
        <v>Distinction</v>
      </c>
      <c r="T63" t="s">
        <v>39</v>
      </c>
      <c r="U63">
        <f>IF(Table2[[#This Row],[Completed]]="Yes",1,0)</f>
        <v>1</v>
      </c>
      <c r="V63" t="s">
        <v>40</v>
      </c>
      <c r="W63" t="s">
        <v>40</v>
      </c>
      <c r="X63" s="4">
        <v>45838</v>
      </c>
    </row>
    <row r="64" spans="1:24" x14ac:dyDescent="0.3">
      <c r="A64">
        <v>63</v>
      </c>
      <c r="B64" s="8">
        <v>21</v>
      </c>
      <c r="C64">
        <v>3</v>
      </c>
      <c r="D64" t="s">
        <v>20</v>
      </c>
      <c r="E64" t="s">
        <v>22</v>
      </c>
      <c r="F64">
        <v>22</v>
      </c>
      <c r="G64" t="str">
        <f>IF(Table2[[#This Row],[Age]]&gt;=30,"Experienced",IF(Table2[[#This Row],[Age]]&gt;=25,"Mid Level", "Entry Level"))</f>
        <v>Entry Level</v>
      </c>
      <c r="H64" t="s">
        <v>26</v>
      </c>
      <c r="I64" t="s">
        <v>44</v>
      </c>
      <c r="J64" s="4">
        <v>45681</v>
      </c>
      <c r="K64" s="4" t="str">
        <f>TEXT(Table2[[#This Row],[Enrollment_date]],"Mmm")</f>
        <v>Jan</v>
      </c>
      <c r="L64" s="4" t="str">
        <f>TEXT(Table2[[#This Row],[Enrollment_date]],"Ddd")</f>
        <v>Fri</v>
      </c>
      <c r="M64" s="4" t="s">
        <v>34</v>
      </c>
      <c r="N64" t="s">
        <v>37</v>
      </c>
      <c r="O64" t="s">
        <v>38</v>
      </c>
      <c r="P64" s="8">
        <v>4</v>
      </c>
      <c r="Q64" s="6">
        <v>0.83333333333333337</v>
      </c>
      <c r="R64" s="6">
        <v>65.5</v>
      </c>
      <c r="S64" s="6" t="str">
        <f>IF(Table2[[#This Row],[Avg_score]]&gt;=79,"Distinction",IF(Table2[[#This Row],[Avg_score]]&gt;=60,"Pass","Fail"))</f>
        <v>Pass</v>
      </c>
      <c r="T64" t="s">
        <v>39</v>
      </c>
      <c r="U64">
        <f>IF(Table2[[#This Row],[Completed]]="Yes",1,0)</f>
        <v>1</v>
      </c>
      <c r="V64" t="s">
        <v>40</v>
      </c>
      <c r="W64" t="s">
        <v>40</v>
      </c>
      <c r="X64" s="4">
        <v>45838</v>
      </c>
    </row>
    <row r="65" spans="1:24" x14ac:dyDescent="0.3">
      <c r="A65">
        <v>64</v>
      </c>
      <c r="B65" s="8">
        <v>22</v>
      </c>
      <c r="C65">
        <v>1</v>
      </c>
      <c r="D65" t="s">
        <v>21</v>
      </c>
      <c r="E65" t="s">
        <v>22</v>
      </c>
      <c r="F65">
        <v>21</v>
      </c>
      <c r="G65" t="str">
        <f>IF(Table2[[#This Row],[Age]]&gt;=30,"Experienced",IF(Table2[[#This Row],[Age]]&gt;=25,"Mid Level", "Entry Level"))</f>
        <v>Entry Level</v>
      </c>
      <c r="H65" t="s">
        <v>28</v>
      </c>
      <c r="I65" t="s">
        <v>32</v>
      </c>
      <c r="J65" s="4">
        <v>45766</v>
      </c>
      <c r="K65" s="4" t="str">
        <f>TEXT(Table2[[#This Row],[Enrollment_date]],"Mmm")</f>
        <v>Apr</v>
      </c>
      <c r="L65" s="4" t="str">
        <f>TEXT(Table2[[#This Row],[Enrollment_date]],"Ddd")</f>
        <v>Sat</v>
      </c>
      <c r="M65" s="4" t="s">
        <v>34</v>
      </c>
      <c r="N65" t="s">
        <v>35</v>
      </c>
      <c r="O65" t="s">
        <v>38</v>
      </c>
      <c r="P65" s="8">
        <v>4</v>
      </c>
      <c r="Q65" s="6">
        <v>0.83333333333333337</v>
      </c>
      <c r="R65" s="6">
        <v>49.5</v>
      </c>
      <c r="S65" s="6" t="str">
        <f>IF(Table2[[#This Row],[Avg_score]]&gt;=79,"Distinction",IF(Table2[[#This Row],[Avg_score]]&gt;=60,"Pass","Fail"))</f>
        <v>Fail</v>
      </c>
      <c r="T65" t="s">
        <v>39</v>
      </c>
      <c r="U65">
        <f>IF(Table2[[#This Row],[Completed]]="Yes",1,0)</f>
        <v>1</v>
      </c>
      <c r="V65" t="s">
        <v>39</v>
      </c>
      <c r="W65" t="s">
        <v>40</v>
      </c>
      <c r="X65" s="4">
        <v>45838</v>
      </c>
    </row>
    <row r="66" spans="1:24" x14ac:dyDescent="0.3">
      <c r="A66">
        <v>65</v>
      </c>
      <c r="B66" s="8">
        <v>22</v>
      </c>
      <c r="C66">
        <v>2</v>
      </c>
      <c r="D66" t="s">
        <v>19</v>
      </c>
      <c r="E66" t="s">
        <v>22</v>
      </c>
      <c r="F66">
        <v>21</v>
      </c>
      <c r="G66" t="str">
        <f>IF(Table2[[#This Row],[Age]]&gt;=30,"Experienced",IF(Table2[[#This Row],[Age]]&gt;=25,"Mid Level", "Entry Level"))</f>
        <v>Entry Level</v>
      </c>
      <c r="H66" t="s">
        <v>28</v>
      </c>
      <c r="I66" t="s">
        <v>32</v>
      </c>
      <c r="J66" s="4">
        <v>45766</v>
      </c>
      <c r="K66" s="4" t="str">
        <f>TEXT(Table2[[#This Row],[Enrollment_date]],"Mmm")</f>
        <v>Apr</v>
      </c>
      <c r="L66" s="4" t="str">
        <f>TEXT(Table2[[#This Row],[Enrollment_date]],"Ddd")</f>
        <v>Sat</v>
      </c>
      <c r="M66" s="4" t="s">
        <v>34</v>
      </c>
      <c r="N66" t="s">
        <v>36</v>
      </c>
      <c r="O66" t="s">
        <v>38</v>
      </c>
      <c r="P66" s="8">
        <v>4</v>
      </c>
      <c r="Q66" s="6">
        <v>0.85416666666666663</v>
      </c>
      <c r="R66" s="6">
        <v>60</v>
      </c>
      <c r="S66" s="6" t="str">
        <f>IF(Table2[[#This Row],[Avg_score]]&gt;=79,"Distinction",IF(Table2[[#This Row],[Avg_score]]&gt;=60,"Pass","Fail"))</f>
        <v>Pass</v>
      </c>
      <c r="T66" t="s">
        <v>39</v>
      </c>
      <c r="U66">
        <f>IF(Table2[[#This Row],[Completed]]="Yes",1,0)</f>
        <v>1</v>
      </c>
      <c r="V66" t="s">
        <v>39</v>
      </c>
      <c r="W66" t="s">
        <v>40</v>
      </c>
      <c r="X66" s="4">
        <v>45838</v>
      </c>
    </row>
    <row r="67" spans="1:24" x14ac:dyDescent="0.3">
      <c r="A67">
        <v>66</v>
      </c>
      <c r="B67" s="8">
        <v>22</v>
      </c>
      <c r="C67">
        <v>3</v>
      </c>
      <c r="D67" t="s">
        <v>19</v>
      </c>
      <c r="E67" t="s">
        <v>22</v>
      </c>
      <c r="F67">
        <v>21</v>
      </c>
      <c r="G67" t="str">
        <f>IF(Table2[[#This Row],[Age]]&gt;=30,"Experienced",IF(Table2[[#This Row],[Age]]&gt;=25,"Mid Level", "Entry Level"))</f>
        <v>Entry Level</v>
      </c>
      <c r="H67" t="s">
        <v>28</v>
      </c>
      <c r="I67" t="s">
        <v>32</v>
      </c>
      <c r="J67" s="4">
        <v>45766</v>
      </c>
      <c r="K67" s="4" t="str">
        <f>TEXT(Table2[[#This Row],[Enrollment_date]],"Mmm")</f>
        <v>Apr</v>
      </c>
      <c r="L67" s="4" t="str">
        <f>TEXT(Table2[[#This Row],[Enrollment_date]],"Ddd")</f>
        <v>Sat</v>
      </c>
      <c r="M67" s="4" t="s">
        <v>34</v>
      </c>
      <c r="N67" t="s">
        <v>37</v>
      </c>
      <c r="O67" t="s">
        <v>38</v>
      </c>
      <c r="P67" s="8">
        <v>4</v>
      </c>
      <c r="Q67" s="6">
        <v>0.83333333333333337</v>
      </c>
      <c r="R67" s="6">
        <v>75</v>
      </c>
      <c r="S67" s="6" t="str">
        <f>IF(Table2[[#This Row],[Avg_score]]&gt;=79,"Distinction",IF(Table2[[#This Row],[Avg_score]]&gt;=60,"Pass","Fail"))</f>
        <v>Pass</v>
      </c>
      <c r="T67" t="s">
        <v>39</v>
      </c>
      <c r="U67">
        <f>IF(Table2[[#This Row],[Completed]]="Yes",1,0)</f>
        <v>1</v>
      </c>
      <c r="V67" t="s">
        <v>39</v>
      </c>
      <c r="W67" t="s">
        <v>40</v>
      </c>
      <c r="X67" s="4">
        <v>45838</v>
      </c>
    </row>
    <row r="68" spans="1:24" x14ac:dyDescent="0.3">
      <c r="A68">
        <v>67</v>
      </c>
      <c r="B68" s="8">
        <v>23</v>
      </c>
      <c r="C68">
        <v>1</v>
      </c>
      <c r="D68" t="s">
        <v>19</v>
      </c>
      <c r="E68" t="s">
        <v>22</v>
      </c>
      <c r="F68">
        <v>30</v>
      </c>
      <c r="G68" t="str">
        <f>IF(Table2[[#This Row],[Age]]&gt;=30,"Experienced",IF(Table2[[#This Row],[Age]]&gt;=25,"Mid Level", "Entry Level"))</f>
        <v>Experienced</v>
      </c>
      <c r="H68" t="s">
        <v>27</v>
      </c>
      <c r="I68" t="s">
        <v>44</v>
      </c>
      <c r="J68" s="4">
        <v>45793</v>
      </c>
      <c r="K68" s="4" t="str">
        <f>TEXT(Table2[[#This Row],[Enrollment_date]],"Mmm")</f>
        <v>May</v>
      </c>
      <c r="L68" s="4" t="str">
        <f>TEXT(Table2[[#This Row],[Enrollment_date]],"Ddd")</f>
        <v>Fri</v>
      </c>
      <c r="M68" s="4" t="s">
        <v>34</v>
      </c>
      <c r="N68" t="s">
        <v>35</v>
      </c>
      <c r="O68" t="s">
        <v>38</v>
      </c>
      <c r="P68" s="8">
        <v>4</v>
      </c>
      <c r="Q68" s="6">
        <v>0.875</v>
      </c>
      <c r="R68" s="6">
        <v>78</v>
      </c>
      <c r="S68" s="6" t="str">
        <f>IF(Table2[[#This Row],[Avg_score]]&gt;=79,"Distinction",IF(Table2[[#This Row],[Avg_score]]&gt;=60,"Pass","Fail"))</f>
        <v>Pass</v>
      </c>
      <c r="T68" t="s">
        <v>39</v>
      </c>
      <c r="U68">
        <f>IF(Table2[[#This Row],[Completed]]="Yes",1,0)</f>
        <v>1</v>
      </c>
      <c r="V68" t="s">
        <v>39</v>
      </c>
      <c r="W68" t="s">
        <v>40</v>
      </c>
      <c r="X68" s="4">
        <v>45838</v>
      </c>
    </row>
    <row r="69" spans="1:24" x14ac:dyDescent="0.3">
      <c r="A69">
        <v>68</v>
      </c>
      <c r="B69" s="8">
        <v>23</v>
      </c>
      <c r="C69">
        <v>2</v>
      </c>
      <c r="D69" t="s">
        <v>20</v>
      </c>
      <c r="E69" t="s">
        <v>22</v>
      </c>
      <c r="F69">
        <v>30</v>
      </c>
      <c r="G69" t="str">
        <f>IF(Table2[[#This Row],[Age]]&gt;=30,"Experienced",IF(Table2[[#This Row],[Age]]&gt;=25,"Mid Level", "Entry Level"))</f>
        <v>Experienced</v>
      </c>
      <c r="H69" t="s">
        <v>27</v>
      </c>
      <c r="I69" t="s">
        <v>44</v>
      </c>
      <c r="J69" s="4">
        <v>45793</v>
      </c>
      <c r="K69" s="4" t="str">
        <f>TEXT(Table2[[#This Row],[Enrollment_date]],"Mmm")</f>
        <v>May</v>
      </c>
      <c r="L69" s="4" t="str">
        <f>TEXT(Table2[[#This Row],[Enrollment_date]],"Ddd")</f>
        <v>Fri</v>
      </c>
      <c r="M69" s="4" t="s">
        <v>34</v>
      </c>
      <c r="N69" t="s">
        <v>36</v>
      </c>
      <c r="O69" t="s">
        <v>38</v>
      </c>
      <c r="P69" s="8">
        <v>4</v>
      </c>
      <c r="Q69" s="6">
        <v>0.83333333333333337</v>
      </c>
      <c r="R69" s="6">
        <v>69.5</v>
      </c>
      <c r="S69" s="6" t="str">
        <f>IF(Table2[[#This Row],[Avg_score]]&gt;=79,"Distinction",IF(Table2[[#This Row],[Avg_score]]&gt;=60,"Pass","Fail"))</f>
        <v>Pass</v>
      </c>
      <c r="T69" t="s">
        <v>39</v>
      </c>
      <c r="U69">
        <f>IF(Table2[[#This Row],[Completed]]="Yes",1,0)</f>
        <v>1</v>
      </c>
      <c r="V69" t="s">
        <v>39</v>
      </c>
      <c r="W69" t="s">
        <v>40</v>
      </c>
      <c r="X69" s="4">
        <v>45838</v>
      </c>
    </row>
    <row r="70" spans="1:24" x14ac:dyDescent="0.3">
      <c r="A70">
        <v>69</v>
      </c>
      <c r="B70" s="8">
        <v>23</v>
      </c>
      <c r="C70">
        <v>3</v>
      </c>
      <c r="D70" t="s">
        <v>19</v>
      </c>
      <c r="E70" t="s">
        <v>22</v>
      </c>
      <c r="F70">
        <v>30</v>
      </c>
      <c r="G70" t="str">
        <f>IF(Table2[[#This Row],[Age]]&gt;=30,"Experienced",IF(Table2[[#This Row],[Age]]&gt;=25,"Mid Level", "Entry Level"))</f>
        <v>Experienced</v>
      </c>
      <c r="H70" t="s">
        <v>27</v>
      </c>
      <c r="I70" t="s">
        <v>44</v>
      </c>
      <c r="J70" s="4">
        <v>45793</v>
      </c>
      <c r="K70" s="4" t="str">
        <f>TEXT(Table2[[#This Row],[Enrollment_date]],"Mmm")</f>
        <v>May</v>
      </c>
      <c r="L70" s="4" t="str">
        <f>TEXT(Table2[[#This Row],[Enrollment_date]],"Ddd")</f>
        <v>Fri</v>
      </c>
      <c r="M70" s="4" t="s">
        <v>34</v>
      </c>
      <c r="N70" t="s">
        <v>37</v>
      </c>
      <c r="O70" t="s">
        <v>38</v>
      </c>
      <c r="P70" s="8">
        <v>4</v>
      </c>
      <c r="Q70" s="6">
        <v>0.83333333333333337</v>
      </c>
      <c r="R70" s="6">
        <v>83.5</v>
      </c>
      <c r="S70" s="6" t="str">
        <f>IF(Table2[[#This Row],[Avg_score]]&gt;=79,"Distinction",IF(Table2[[#This Row],[Avg_score]]&gt;=60,"Pass","Fail"))</f>
        <v>Distinction</v>
      </c>
      <c r="T70" t="s">
        <v>39</v>
      </c>
      <c r="U70">
        <f>IF(Table2[[#This Row],[Completed]]="Yes",1,0)</f>
        <v>1</v>
      </c>
      <c r="V70" t="s">
        <v>39</v>
      </c>
      <c r="W70" t="s">
        <v>40</v>
      </c>
      <c r="X70" s="4">
        <v>45838</v>
      </c>
    </row>
    <row r="71" spans="1:24" x14ac:dyDescent="0.3">
      <c r="A71">
        <v>70</v>
      </c>
      <c r="B71" s="8">
        <v>24</v>
      </c>
      <c r="C71">
        <v>1</v>
      </c>
      <c r="D71" t="s">
        <v>20</v>
      </c>
      <c r="E71" t="s">
        <v>23</v>
      </c>
      <c r="F71">
        <v>35</v>
      </c>
      <c r="G71" t="str">
        <f>IF(Table2[[#This Row],[Age]]&gt;=30,"Experienced",IF(Table2[[#This Row],[Age]]&gt;=25,"Mid Level", "Entry Level"))</f>
        <v>Experienced</v>
      </c>
      <c r="H71" t="s">
        <v>25</v>
      </c>
      <c r="I71" t="s">
        <v>68</v>
      </c>
      <c r="J71" s="4">
        <v>45795</v>
      </c>
      <c r="K71" s="4" t="str">
        <f>TEXT(Table2[[#This Row],[Enrollment_date]],"Mmm")</f>
        <v>May</v>
      </c>
      <c r="L71" s="4" t="str">
        <f>TEXT(Table2[[#This Row],[Enrollment_date]],"Ddd")</f>
        <v>Sun</v>
      </c>
      <c r="M71" s="4" t="s">
        <v>34</v>
      </c>
      <c r="N71" t="s">
        <v>35</v>
      </c>
      <c r="O71" t="s">
        <v>38</v>
      </c>
      <c r="P71" s="8">
        <v>4</v>
      </c>
      <c r="Q71" s="6">
        <v>0.89583333333333337</v>
      </c>
      <c r="R71" s="6">
        <v>58.5</v>
      </c>
      <c r="S71" s="6" t="str">
        <f>IF(Table2[[#This Row],[Avg_score]]&gt;=79,"Distinction",IF(Table2[[#This Row],[Avg_score]]&gt;=60,"Pass","Fail"))</f>
        <v>Fail</v>
      </c>
      <c r="T71" t="s">
        <v>39</v>
      </c>
      <c r="U71">
        <f>IF(Table2[[#This Row],[Completed]]="Yes",1,0)</f>
        <v>1</v>
      </c>
      <c r="V71" t="s">
        <v>39</v>
      </c>
      <c r="W71" t="s">
        <v>39</v>
      </c>
      <c r="X71" s="4">
        <v>45838</v>
      </c>
    </row>
    <row r="72" spans="1:24" x14ac:dyDescent="0.3">
      <c r="A72">
        <v>71</v>
      </c>
      <c r="B72" s="8">
        <v>24</v>
      </c>
      <c r="C72">
        <v>2</v>
      </c>
      <c r="D72" t="s">
        <v>19</v>
      </c>
      <c r="E72" t="s">
        <v>23</v>
      </c>
      <c r="F72">
        <v>35</v>
      </c>
      <c r="G72" t="str">
        <f>IF(Table2[[#This Row],[Age]]&gt;=30,"Experienced",IF(Table2[[#This Row],[Age]]&gt;=25,"Mid Level", "Entry Level"))</f>
        <v>Experienced</v>
      </c>
      <c r="H72" t="s">
        <v>25</v>
      </c>
      <c r="I72" t="s">
        <v>68</v>
      </c>
      <c r="J72" s="4">
        <v>45795</v>
      </c>
      <c r="K72" s="4" t="str">
        <f>TEXT(Table2[[#This Row],[Enrollment_date]],"Mmm")</f>
        <v>May</v>
      </c>
      <c r="L72" s="4" t="str">
        <f>TEXT(Table2[[#This Row],[Enrollment_date]],"Ddd")</f>
        <v>Sun</v>
      </c>
      <c r="M72" s="4" t="s">
        <v>34</v>
      </c>
      <c r="N72" t="s">
        <v>36</v>
      </c>
      <c r="O72" t="s">
        <v>38</v>
      </c>
      <c r="P72" s="8">
        <v>4</v>
      </c>
      <c r="Q72" s="6">
        <v>0.79166666666666663</v>
      </c>
      <c r="R72" s="6">
        <v>85</v>
      </c>
      <c r="S72" s="6" t="str">
        <f>IF(Table2[[#This Row],[Avg_score]]&gt;=79,"Distinction",IF(Table2[[#This Row],[Avg_score]]&gt;=60,"Pass","Fail"))</f>
        <v>Distinction</v>
      </c>
      <c r="T72" t="s">
        <v>39</v>
      </c>
      <c r="U72">
        <f>IF(Table2[[#This Row],[Completed]]="Yes",1,0)</f>
        <v>1</v>
      </c>
      <c r="V72" t="s">
        <v>39</v>
      </c>
      <c r="W72" t="s">
        <v>39</v>
      </c>
      <c r="X72" s="4">
        <v>45838</v>
      </c>
    </row>
    <row r="73" spans="1:24" x14ac:dyDescent="0.3">
      <c r="A73">
        <v>72</v>
      </c>
      <c r="B73" s="8">
        <v>24</v>
      </c>
      <c r="C73">
        <v>3</v>
      </c>
      <c r="D73" t="s">
        <v>19</v>
      </c>
      <c r="E73" t="s">
        <v>23</v>
      </c>
      <c r="F73">
        <v>35</v>
      </c>
      <c r="G73" t="str">
        <f>IF(Table2[[#This Row],[Age]]&gt;=30,"Experienced",IF(Table2[[#This Row],[Age]]&gt;=25,"Mid Level", "Entry Level"))</f>
        <v>Experienced</v>
      </c>
      <c r="H73" t="s">
        <v>25</v>
      </c>
      <c r="I73" t="s">
        <v>68</v>
      </c>
      <c r="J73" s="4">
        <v>45795</v>
      </c>
      <c r="K73" s="4" t="str">
        <f>TEXT(Table2[[#This Row],[Enrollment_date]],"Mmm")</f>
        <v>May</v>
      </c>
      <c r="L73" s="4" t="str">
        <f>TEXT(Table2[[#This Row],[Enrollment_date]],"Ddd")</f>
        <v>Sun</v>
      </c>
      <c r="M73" s="4" t="s">
        <v>34</v>
      </c>
      <c r="N73" t="s">
        <v>37</v>
      </c>
      <c r="O73" t="s">
        <v>38</v>
      </c>
      <c r="P73" s="8">
        <v>4</v>
      </c>
      <c r="Q73" s="6">
        <v>0.72916666666666663</v>
      </c>
      <c r="R73" s="6">
        <v>94.5</v>
      </c>
      <c r="S73" s="6" t="str">
        <f>IF(Table2[[#This Row],[Avg_score]]&gt;=79,"Distinction",IF(Table2[[#This Row],[Avg_score]]&gt;=60,"Pass","Fail"))</f>
        <v>Distinction</v>
      </c>
      <c r="T73" t="s">
        <v>39</v>
      </c>
      <c r="U73">
        <f>IF(Table2[[#This Row],[Completed]]="Yes",1,0)</f>
        <v>1</v>
      </c>
      <c r="V73" t="s">
        <v>39</v>
      </c>
      <c r="W73" t="s">
        <v>39</v>
      </c>
      <c r="X73" s="4">
        <v>45838</v>
      </c>
    </row>
    <row r="74" spans="1:24" x14ac:dyDescent="0.3">
      <c r="A74">
        <v>73</v>
      </c>
      <c r="B74" s="8">
        <v>25</v>
      </c>
      <c r="C74">
        <v>1</v>
      </c>
      <c r="D74" t="s">
        <v>20</v>
      </c>
      <c r="E74" t="s">
        <v>23</v>
      </c>
      <c r="F74">
        <v>28</v>
      </c>
      <c r="G74" t="str">
        <f>IF(Table2[[#This Row],[Age]]&gt;=30,"Experienced",IF(Table2[[#This Row],[Age]]&gt;=25,"Mid Level", "Entry Level"))</f>
        <v>Mid Level</v>
      </c>
      <c r="H74" t="s">
        <v>25</v>
      </c>
      <c r="I74" t="s">
        <v>30</v>
      </c>
      <c r="J74" s="4">
        <v>45769</v>
      </c>
      <c r="K74" s="4" t="str">
        <f>TEXT(Table2[[#This Row],[Enrollment_date]],"Mmm")</f>
        <v>Apr</v>
      </c>
      <c r="L74" s="4" t="str">
        <f>TEXT(Table2[[#This Row],[Enrollment_date]],"Ddd")</f>
        <v>Tue</v>
      </c>
      <c r="M74" s="4" t="s">
        <v>34</v>
      </c>
      <c r="N74" t="s">
        <v>35</v>
      </c>
      <c r="O74" t="s">
        <v>38</v>
      </c>
      <c r="P74" s="8">
        <v>4</v>
      </c>
      <c r="Q74" s="6">
        <v>0.79166666666666663</v>
      </c>
      <c r="R74" s="6">
        <v>69.5</v>
      </c>
      <c r="S74" s="6" t="str">
        <f>IF(Table2[[#This Row],[Avg_score]]&gt;=79,"Distinction",IF(Table2[[#This Row],[Avg_score]]&gt;=60,"Pass","Fail"))</f>
        <v>Pass</v>
      </c>
      <c r="T74" t="s">
        <v>40</v>
      </c>
      <c r="U74">
        <f>IF(Table2[[#This Row],[Completed]]="Yes",1,0)</f>
        <v>0</v>
      </c>
      <c r="V74" t="s">
        <v>40</v>
      </c>
      <c r="W74" t="s">
        <v>40</v>
      </c>
      <c r="X74" s="4">
        <v>45838</v>
      </c>
    </row>
    <row r="75" spans="1:24" x14ac:dyDescent="0.3">
      <c r="A75">
        <v>74</v>
      </c>
      <c r="B75" s="8">
        <v>25</v>
      </c>
      <c r="C75">
        <v>2</v>
      </c>
      <c r="D75" t="s">
        <v>21</v>
      </c>
      <c r="E75" t="s">
        <v>23</v>
      </c>
      <c r="F75">
        <v>28</v>
      </c>
      <c r="G75" t="str">
        <f>IF(Table2[[#This Row],[Age]]&gt;=30,"Experienced",IF(Table2[[#This Row],[Age]]&gt;=25,"Mid Level", "Entry Level"))</f>
        <v>Mid Level</v>
      </c>
      <c r="H75" t="s">
        <v>25</v>
      </c>
      <c r="I75" t="s">
        <v>30</v>
      </c>
      <c r="J75" s="4">
        <v>45769</v>
      </c>
      <c r="K75" s="4" t="str">
        <f>TEXT(Table2[[#This Row],[Enrollment_date]],"Mmm")</f>
        <v>Apr</v>
      </c>
      <c r="L75" s="4" t="str">
        <f>TEXT(Table2[[#This Row],[Enrollment_date]],"Ddd")</f>
        <v>Tue</v>
      </c>
      <c r="M75" s="4" t="s">
        <v>34</v>
      </c>
      <c r="N75" t="s">
        <v>36</v>
      </c>
      <c r="O75" t="s">
        <v>38</v>
      </c>
      <c r="P75" s="8">
        <v>4</v>
      </c>
      <c r="Q75" s="6">
        <v>0.75</v>
      </c>
      <c r="R75" s="6">
        <v>77</v>
      </c>
      <c r="S75" s="6" t="str">
        <f>IF(Table2[[#This Row],[Avg_score]]&gt;=79,"Distinction",IF(Table2[[#This Row],[Avg_score]]&gt;=60,"Pass","Fail"))</f>
        <v>Pass</v>
      </c>
      <c r="T75" t="s">
        <v>40</v>
      </c>
      <c r="U75">
        <f>IF(Table2[[#This Row],[Completed]]="Yes",1,0)</f>
        <v>0</v>
      </c>
      <c r="V75" t="s">
        <v>40</v>
      </c>
      <c r="W75" t="s">
        <v>40</v>
      </c>
      <c r="X75" s="4">
        <v>45838</v>
      </c>
    </row>
    <row r="76" spans="1:24" x14ac:dyDescent="0.3">
      <c r="A76">
        <v>75</v>
      </c>
      <c r="B76" s="8">
        <v>25</v>
      </c>
      <c r="C76">
        <v>3</v>
      </c>
      <c r="D76" t="s">
        <v>19</v>
      </c>
      <c r="E76" t="s">
        <v>23</v>
      </c>
      <c r="F76">
        <v>28</v>
      </c>
      <c r="G76" t="str">
        <f>IF(Table2[[#This Row],[Age]]&gt;=30,"Experienced",IF(Table2[[#This Row],[Age]]&gt;=25,"Mid Level", "Entry Level"))</f>
        <v>Mid Level</v>
      </c>
      <c r="H76" t="s">
        <v>25</v>
      </c>
      <c r="I76" t="s">
        <v>30</v>
      </c>
      <c r="J76" s="4">
        <v>45769</v>
      </c>
      <c r="K76" s="4" t="str">
        <f>TEXT(Table2[[#This Row],[Enrollment_date]],"Mmm")</f>
        <v>Apr</v>
      </c>
      <c r="L76" s="4" t="str">
        <f>TEXT(Table2[[#This Row],[Enrollment_date]],"Ddd")</f>
        <v>Tue</v>
      </c>
      <c r="M76" s="4" t="s">
        <v>34</v>
      </c>
      <c r="N76" t="s">
        <v>37</v>
      </c>
      <c r="O76" t="s">
        <v>38</v>
      </c>
      <c r="P76" s="8">
        <v>4</v>
      </c>
      <c r="Q76" s="6">
        <v>0.77083333333333337</v>
      </c>
      <c r="R76" s="6">
        <v>71.5</v>
      </c>
      <c r="S76" s="6" t="str">
        <f>IF(Table2[[#This Row],[Avg_score]]&gt;=79,"Distinction",IF(Table2[[#This Row],[Avg_score]]&gt;=60,"Pass","Fail"))</f>
        <v>Pass</v>
      </c>
      <c r="T76" t="s">
        <v>40</v>
      </c>
      <c r="U76">
        <f>IF(Table2[[#This Row],[Completed]]="Yes",1,0)</f>
        <v>0</v>
      </c>
      <c r="V76" t="s">
        <v>40</v>
      </c>
      <c r="W76" t="s">
        <v>40</v>
      </c>
      <c r="X76" s="4">
        <v>45838</v>
      </c>
    </row>
    <row r="77" spans="1:24" x14ac:dyDescent="0.3">
      <c r="A77">
        <v>76</v>
      </c>
      <c r="B77" s="8">
        <v>26</v>
      </c>
      <c r="C77">
        <v>1</v>
      </c>
      <c r="D77" t="s">
        <v>19</v>
      </c>
      <c r="E77" t="s">
        <v>22</v>
      </c>
      <c r="F77">
        <v>32</v>
      </c>
      <c r="G77" t="str">
        <f>IF(Table2[[#This Row],[Age]]&gt;=30,"Experienced",IF(Table2[[#This Row],[Age]]&gt;=25,"Mid Level", "Entry Level"))</f>
        <v>Experienced</v>
      </c>
      <c r="H77" t="s">
        <v>25</v>
      </c>
      <c r="I77" t="s">
        <v>30</v>
      </c>
      <c r="J77" s="4">
        <v>45786</v>
      </c>
      <c r="K77" s="4" t="str">
        <f>TEXT(Table2[[#This Row],[Enrollment_date]],"Mmm")</f>
        <v>May</v>
      </c>
      <c r="L77" s="4" t="str">
        <f>TEXT(Table2[[#This Row],[Enrollment_date]],"Ddd")</f>
        <v>Fri</v>
      </c>
      <c r="M77" s="4" t="s">
        <v>34</v>
      </c>
      <c r="N77" t="s">
        <v>35</v>
      </c>
      <c r="O77" t="s">
        <v>38</v>
      </c>
      <c r="P77" s="8">
        <v>4</v>
      </c>
      <c r="Q77" s="6">
        <v>0.75</v>
      </c>
      <c r="R77" s="6">
        <v>73</v>
      </c>
      <c r="S77" s="6" t="str">
        <f>IF(Table2[[#This Row],[Avg_score]]&gt;=79,"Distinction",IF(Table2[[#This Row],[Avg_score]]&gt;=60,"Pass","Fail"))</f>
        <v>Pass</v>
      </c>
      <c r="T77" t="s">
        <v>39</v>
      </c>
      <c r="U77">
        <f>IF(Table2[[#This Row],[Completed]]="Yes",1,0)</f>
        <v>1</v>
      </c>
      <c r="V77" t="s">
        <v>39</v>
      </c>
      <c r="W77" t="s">
        <v>40</v>
      </c>
      <c r="X77" s="4">
        <v>45838</v>
      </c>
    </row>
    <row r="78" spans="1:24" x14ac:dyDescent="0.3">
      <c r="A78">
        <v>77</v>
      </c>
      <c r="B78" s="8">
        <v>26</v>
      </c>
      <c r="C78">
        <v>2</v>
      </c>
      <c r="D78" t="s">
        <v>19</v>
      </c>
      <c r="E78" t="s">
        <v>22</v>
      </c>
      <c r="F78">
        <v>32</v>
      </c>
      <c r="G78" t="str">
        <f>IF(Table2[[#This Row],[Age]]&gt;=30,"Experienced",IF(Table2[[#This Row],[Age]]&gt;=25,"Mid Level", "Entry Level"))</f>
        <v>Experienced</v>
      </c>
      <c r="H78" t="s">
        <v>25</v>
      </c>
      <c r="I78" t="s">
        <v>30</v>
      </c>
      <c r="J78" s="4">
        <v>45786</v>
      </c>
      <c r="K78" s="4" t="str">
        <f>TEXT(Table2[[#This Row],[Enrollment_date]],"Mmm")</f>
        <v>May</v>
      </c>
      <c r="L78" s="4" t="str">
        <f>TEXT(Table2[[#This Row],[Enrollment_date]],"Ddd")</f>
        <v>Fri</v>
      </c>
      <c r="M78" s="4" t="s">
        <v>34</v>
      </c>
      <c r="N78" t="s">
        <v>36</v>
      </c>
      <c r="O78" t="s">
        <v>38</v>
      </c>
      <c r="P78" s="8">
        <v>4</v>
      </c>
      <c r="Q78" s="6">
        <v>0.77083333333333337</v>
      </c>
      <c r="R78" s="6">
        <v>65</v>
      </c>
      <c r="S78" s="6" t="str">
        <f>IF(Table2[[#This Row],[Avg_score]]&gt;=79,"Distinction",IF(Table2[[#This Row],[Avg_score]]&gt;=60,"Pass","Fail"))</f>
        <v>Pass</v>
      </c>
      <c r="T78" t="s">
        <v>39</v>
      </c>
      <c r="U78">
        <f>IF(Table2[[#This Row],[Completed]]="Yes",1,0)</f>
        <v>1</v>
      </c>
      <c r="V78" t="s">
        <v>39</v>
      </c>
      <c r="W78" t="s">
        <v>40</v>
      </c>
      <c r="X78" s="4">
        <v>45838</v>
      </c>
    </row>
    <row r="79" spans="1:24" x14ac:dyDescent="0.3">
      <c r="A79">
        <v>78</v>
      </c>
      <c r="B79" s="8">
        <v>26</v>
      </c>
      <c r="C79">
        <v>3</v>
      </c>
      <c r="D79" t="s">
        <v>19</v>
      </c>
      <c r="E79" t="s">
        <v>22</v>
      </c>
      <c r="F79">
        <v>32</v>
      </c>
      <c r="G79" t="str">
        <f>IF(Table2[[#This Row],[Age]]&gt;=30,"Experienced",IF(Table2[[#This Row],[Age]]&gt;=25,"Mid Level", "Entry Level"))</f>
        <v>Experienced</v>
      </c>
      <c r="H79" t="s">
        <v>25</v>
      </c>
      <c r="I79" t="s">
        <v>30</v>
      </c>
      <c r="J79" s="4">
        <v>45786</v>
      </c>
      <c r="K79" s="4" t="str">
        <f>TEXT(Table2[[#This Row],[Enrollment_date]],"Mmm")</f>
        <v>May</v>
      </c>
      <c r="L79" s="4" t="str">
        <f>TEXT(Table2[[#This Row],[Enrollment_date]],"Ddd")</f>
        <v>Fri</v>
      </c>
      <c r="M79" s="4" t="s">
        <v>34</v>
      </c>
      <c r="N79" t="s">
        <v>37</v>
      </c>
      <c r="O79" t="s">
        <v>38</v>
      </c>
      <c r="P79" s="8">
        <v>4</v>
      </c>
      <c r="Q79" s="6">
        <v>0.89583333333333337</v>
      </c>
      <c r="R79" s="6">
        <v>82.5</v>
      </c>
      <c r="S79" s="6" t="str">
        <f>IF(Table2[[#This Row],[Avg_score]]&gt;=79,"Distinction",IF(Table2[[#This Row],[Avg_score]]&gt;=60,"Pass","Fail"))</f>
        <v>Distinction</v>
      </c>
      <c r="T79" t="s">
        <v>39</v>
      </c>
      <c r="U79">
        <f>IF(Table2[[#This Row],[Completed]]="Yes",1,0)</f>
        <v>1</v>
      </c>
      <c r="V79" t="s">
        <v>39</v>
      </c>
      <c r="W79" t="s">
        <v>40</v>
      </c>
      <c r="X79" s="4">
        <v>45838</v>
      </c>
    </row>
    <row r="80" spans="1:24" x14ac:dyDescent="0.3">
      <c r="A80">
        <v>79</v>
      </c>
      <c r="B80" s="8">
        <v>27</v>
      </c>
      <c r="C80">
        <v>1</v>
      </c>
      <c r="D80" t="s">
        <v>19</v>
      </c>
      <c r="E80" t="s">
        <v>22</v>
      </c>
      <c r="F80">
        <v>34</v>
      </c>
      <c r="G80" t="str">
        <f>IF(Table2[[#This Row],[Age]]&gt;=30,"Experienced",IF(Table2[[#This Row],[Age]]&gt;=25,"Mid Level", "Entry Level"))</f>
        <v>Experienced</v>
      </c>
      <c r="H80" t="s">
        <v>25</v>
      </c>
      <c r="I80" t="s">
        <v>30</v>
      </c>
      <c r="J80" s="4">
        <v>45787</v>
      </c>
      <c r="K80" s="4" t="str">
        <f>TEXT(Table2[[#This Row],[Enrollment_date]],"Mmm")</f>
        <v>May</v>
      </c>
      <c r="L80" s="4" t="str">
        <f>TEXT(Table2[[#This Row],[Enrollment_date]],"Ddd")</f>
        <v>Sat</v>
      </c>
      <c r="M80" s="4" t="s">
        <v>34</v>
      </c>
      <c r="N80" t="s">
        <v>35</v>
      </c>
      <c r="O80" t="s">
        <v>38</v>
      </c>
      <c r="P80" s="8">
        <v>4</v>
      </c>
      <c r="Q80" s="6">
        <v>0.8125</v>
      </c>
      <c r="R80" s="6">
        <v>68.5</v>
      </c>
      <c r="S80" s="6" t="str">
        <f>IF(Table2[[#This Row],[Avg_score]]&gt;=79,"Distinction",IF(Table2[[#This Row],[Avg_score]]&gt;=60,"Pass","Fail"))</f>
        <v>Pass</v>
      </c>
      <c r="T80" t="s">
        <v>39</v>
      </c>
      <c r="U80">
        <f>IF(Table2[[#This Row],[Completed]]="Yes",1,0)</f>
        <v>1</v>
      </c>
      <c r="V80" t="s">
        <v>40</v>
      </c>
      <c r="W80" t="s">
        <v>39</v>
      </c>
      <c r="X80" s="4">
        <v>45838</v>
      </c>
    </row>
    <row r="81" spans="1:24" x14ac:dyDescent="0.3">
      <c r="A81">
        <v>80</v>
      </c>
      <c r="B81" s="8">
        <v>27</v>
      </c>
      <c r="C81">
        <v>2</v>
      </c>
      <c r="D81" t="s">
        <v>19</v>
      </c>
      <c r="E81" t="s">
        <v>22</v>
      </c>
      <c r="F81">
        <v>34</v>
      </c>
      <c r="G81" t="str">
        <f>IF(Table2[[#This Row],[Age]]&gt;=30,"Experienced",IF(Table2[[#This Row],[Age]]&gt;=25,"Mid Level", "Entry Level"))</f>
        <v>Experienced</v>
      </c>
      <c r="H81" t="s">
        <v>25</v>
      </c>
      <c r="I81" t="s">
        <v>30</v>
      </c>
      <c r="J81" s="4">
        <v>45787</v>
      </c>
      <c r="K81" s="4" t="str">
        <f>TEXT(Table2[[#This Row],[Enrollment_date]],"Mmm")</f>
        <v>May</v>
      </c>
      <c r="L81" s="4" t="str">
        <f>TEXT(Table2[[#This Row],[Enrollment_date]],"Ddd")</f>
        <v>Sat</v>
      </c>
      <c r="M81" s="4" t="s">
        <v>34</v>
      </c>
      <c r="N81" t="s">
        <v>36</v>
      </c>
      <c r="O81" t="s">
        <v>38</v>
      </c>
      <c r="P81" s="8">
        <v>4</v>
      </c>
      <c r="Q81" s="6">
        <v>0.85416666666666663</v>
      </c>
      <c r="R81" s="6">
        <v>73</v>
      </c>
      <c r="S81" s="6" t="str">
        <f>IF(Table2[[#This Row],[Avg_score]]&gt;=79,"Distinction",IF(Table2[[#This Row],[Avg_score]]&gt;=60,"Pass","Fail"))</f>
        <v>Pass</v>
      </c>
      <c r="T81" t="s">
        <v>39</v>
      </c>
      <c r="U81">
        <f>IF(Table2[[#This Row],[Completed]]="Yes",1,0)</f>
        <v>1</v>
      </c>
      <c r="V81" t="s">
        <v>40</v>
      </c>
      <c r="W81" t="s">
        <v>39</v>
      </c>
      <c r="X81" s="4">
        <v>45838</v>
      </c>
    </row>
    <row r="82" spans="1:24" x14ac:dyDescent="0.3">
      <c r="A82">
        <v>81</v>
      </c>
      <c r="B82" s="8">
        <v>27</v>
      </c>
      <c r="C82">
        <v>3</v>
      </c>
      <c r="D82" t="s">
        <v>19</v>
      </c>
      <c r="E82" t="s">
        <v>22</v>
      </c>
      <c r="F82">
        <v>34</v>
      </c>
      <c r="G82" t="str">
        <f>IF(Table2[[#This Row],[Age]]&gt;=30,"Experienced",IF(Table2[[#This Row],[Age]]&gt;=25,"Mid Level", "Entry Level"))</f>
        <v>Experienced</v>
      </c>
      <c r="H82" t="s">
        <v>25</v>
      </c>
      <c r="I82" t="s">
        <v>30</v>
      </c>
      <c r="J82" s="4">
        <v>45787</v>
      </c>
      <c r="K82" s="4" t="str">
        <f>TEXT(Table2[[#This Row],[Enrollment_date]],"Mmm")</f>
        <v>May</v>
      </c>
      <c r="L82" s="4" t="str">
        <f>TEXT(Table2[[#This Row],[Enrollment_date]],"Ddd")</f>
        <v>Sat</v>
      </c>
      <c r="M82" s="4" t="s">
        <v>34</v>
      </c>
      <c r="N82" t="s">
        <v>37</v>
      </c>
      <c r="O82" t="s">
        <v>38</v>
      </c>
      <c r="P82" s="8">
        <v>4</v>
      </c>
      <c r="Q82" s="6">
        <v>0.8125</v>
      </c>
      <c r="R82" s="6">
        <v>81.5</v>
      </c>
      <c r="S82" s="6" t="str">
        <f>IF(Table2[[#This Row],[Avg_score]]&gt;=79,"Distinction",IF(Table2[[#This Row],[Avg_score]]&gt;=60,"Pass","Fail"))</f>
        <v>Distinction</v>
      </c>
      <c r="T82" t="s">
        <v>39</v>
      </c>
      <c r="U82">
        <f>IF(Table2[[#This Row],[Completed]]="Yes",1,0)</f>
        <v>1</v>
      </c>
      <c r="V82" t="s">
        <v>40</v>
      </c>
      <c r="W82" t="s">
        <v>39</v>
      </c>
      <c r="X82" s="4">
        <v>45838</v>
      </c>
    </row>
    <row r="83" spans="1:24" x14ac:dyDescent="0.3">
      <c r="A83">
        <v>82</v>
      </c>
      <c r="B83" s="8">
        <v>28</v>
      </c>
      <c r="C83">
        <v>1</v>
      </c>
      <c r="D83" t="s">
        <v>21</v>
      </c>
      <c r="E83" t="s">
        <v>22</v>
      </c>
      <c r="F83">
        <v>22</v>
      </c>
      <c r="G83" t="str">
        <f>IF(Table2[[#This Row],[Age]]&gt;=30,"Experienced",IF(Table2[[#This Row],[Age]]&gt;=25,"Mid Level", "Entry Level"))</f>
        <v>Entry Level</v>
      </c>
      <c r="H83" t="s">
        <v>29</v>
      </c>
      <c r="I83" t="s">
        <v>32</v>
      </c>
      <c r="J83" s="4">
        <v>45796</v>
      </c>
      <c r="K83" s="4" t="str">
        <f>TEXT(Table2[[#This Row],[Enrollment_date]],"Mmm")</f>
        <v>May</v>
      </c>
      <c r="L83" s="4" t="str">
        <f>TEXT(Table2[[#This Row],[Enrollment_date]],"Ddd")</f>
        <v>Mon</v>
      </c>
      <c r="M83" s="4" t="s">
        <v>34</v>
      </c>
      <c r="N83" t="s">
        <v>35</v>
      </c>
      <c r="O83" t="s">
        <v>38</v>
      </c>
      <c r="P83" s="8">
        <v>4</v>
      </c>
      <c r="Q83" s="6">
        <v>0.875</v>
      </c>
      <c r="R83" s="6">
        <v>68.5</v>
      </c>
      <c r="S83" s="6" t="str">
        <f>IF(Table2[[#This Row],[Avg_score]]&gt;=79,"Distinction",IF(Table2[[#This Row],[Avg_score]]&gt;=60,"Pass","Fail"))</f>
        <v>Pass</v>
      </c>
      <c r="T83" t="s">
        <v>40</v>
      </c>
      <c r="U83">
        <f>IF(Table2[[#This Row],[Completed]]="Yes",1,0)</f>
        <v>0</v>
      </c>
      <c r="V83" t="s">
        <v>40</v>
      </c>
      <c r="W83" t="s">
        <v>40</v>
      </c>
      <c r="X83" s="4">
        <v>45838</v>
      </c>
    </row>
    <row r="84" spans="1:24" x14ac:dyDescent="0.3">
      <c r="A84">
        <v>83</v>
      </c>
      <c r="B84" s="8">
        <v>28</v>
      </c>
      <c r="C84">
        <v>2</v>
      </c>
      <c r="D84" t="s">
        <v>21</v>
      </c>
      <c r="E84" t="s">
        <v>22</v>
      </c>
      <c r="F84">
        <v>22</v>
      </c>
      <c r="G84" t="str">
        <f>IF(Table2[[#This Row],[Age]]&gt;=30,"Experienced",IF(Table2[[#This Row],[Age]]&gt;=25,"Mid Level", "Entry Level"))</f>
        <v>Entry Level</v>
      </c>
      <c r="H84" t="s">
        <v>29</v>
      </c>
      <c r="I84" t="s">
        <v>32</v>
      </c>
      <c r="J84" s="4">
        <v>45796</v>
      </c>
      <c r="K84" s="4" t="str">
        <f>TEXT(Table2[[#This Row],[Enrollment_date]],"Mmm")</f>
        <v>May</v>
      </c>
      <c r="L84" s="4" t="str">
        <f>TEXT(Table2[[#This Row],[Enrollment_date]],"Ddd")</f>
        <v>Mon</v>
      </c>
      <c r="M84" s="4" t="s">
        <v>34</v>
      </c>
      <c r="N84" t="s">
        <v>36</v>
      </c>
      <c r="O84" t="s">
        <v>38</v>
      </c>
      <c r="P84" s="8">
        <v>4</v>
      </c>
      <c r="Q84" s="6">
        <v>0.85416666666666663</v>
      </c>
      <c r="R84" s="6">
        <v>98.5</v>
      </c>
      <c r="S84" s="6" t="str">
        <f>IF(Table2[[#This Row],[Avg_score]]&gt;=79,"Distinction",IF(Table2[[#This Row],[Avg_score]]&gt;=60,"Pass","Fail"))</f>
        <v>Distinction</v>
      </c>
      <c r="T84" t="s">
        <v>40</v>
      </c>
      <c r="U84">
        <f>IF(Table2[[#This Row],[Completed]]="Yes",1,0)</f>
        <v>0</v>
      </c>
      <c r="V84" t="s">
        <v>40</v>
      </c>
      <c r="W84" t="s">
        <v>40</v>
      </c>
      <c r="X84" s="4">
        <v>45838</v>
      </c>
    </row>
    <row r="85" spans="1:24" x14ac:dyDescent="0.3">
      <c r="A85">
        <v>84</v>
      </c>
      <c r="B85" s="8">
        <v>28</v>
      </c>
      <c r="C85">
        <v>3</v>
      </c>
      <c r="D85" t="s">
        <v>19</v>
      </c>
      <c r="E85" t="s">
        <v>22</v>
      </c>
      <c r="F85">
        <v>22</v>
      </c>
      <c r="G85" t="str">
        <f>IF(Table2[[#This Row],[Age]]&gt;=30,"Experienced",IF(Table2[[#This Row],[Age]]&gt;=25,"Mid Level", "Entry Level"))</f>
        <v>Entry Level</v>
      </c>
      <c r="H85" t="s">
        <v>29</v>
      </c>
      <c r="I85" t="s">
        <v>32</v>
      </c>
      <c r="J85" s="4">
        <v>45796</v>
      </c>
      <c r="K85" s="4" t="str">
        <f>TEXT(Table2[[#This Row],[Enrollment_date]],"Mmm")</f>
        <v>May</v>
      </c>
      <c r="L85" s="4" t="str">
        <f>TEXT(Table2[[#This Row],[Enrollment_date]],"Ddd")</f>
        <v>Mon</v>
      </c>
      <c r="M85" s="4" t="s">
        <v>34</v>
      </c>
      <c r="N85" t="s">
        <v>37</v>
      </c>
      <c r="O85" t="s">
        <v>38</v>
      </c>
      <c r="P85" s="8">
        <v>4</v>
      </c>
      <c r="Q85" s="6">
        <v>0.89583333333333337</v>
      </c>
      <c r="R85" s="6">
        <v>86.5</v>
      </c>
      <c r="S85" s="6" t="str">
        <f>IF(Table2[[#This Row],[Avg_score]]&gt;=79,"Distinction",IF(Table2[[#This Row],[Avg_score]]&gt;=60,"Pass","Fail"))</f>
        <v>Distinction</v>
      </c>
      <c r="T85" t="s">
        <v>40</v>
      </c>
      <c r="U85">
        <f>IF(Table2[[#This Row],[Completed]]="Yes",1,0)</f>
        <v>0</v>
      </c>
      <c r="V85" t="s">
        <v>40</v>
      </c>
      <c r="W85" t="s">
        <v>40</v>
      </c>
      <c r="X85" s="4">
        <v>45838</v>
      </c>
    </row>
    <row r="86" spans="1:24" x14ac:dyDescent="0.3">
      <c r="A86">
        <v>85</v>
      </c>
      <c r="B86" s="8">
        <v>29</v>
      </c>
      <c r="C86">
        <v>1</v>
      </c>
      <c r="D86" t="s">
        <v>21</v>
      </c>
      <c r="E86" t="s">
        <v>22</v>
      </c>
      <c r="F86">
        <v>28</v>
      </c>
      <c r="G86" t="str">
        <f>IF(Table2[[#This Row],[Age]]&gt;=30,"Experienced",IF(Table2[[#This Row],[Age]]&gt;=25,"Mid Level", "Entry Level"))</f>
        <v>Mid Level</v>
      </c>
      <c r="H86" t="s">
        <v>27</v>
      </c>
      <c r="I86" t="s">
        <v>68</v>
      </c>
      <c r="J86" s="4">
        <v>45686</v>
      </c>
      <c r="K86" s="4" t="str">
        <f>TEXT(Table2[[#This Row],[Enrollment_date]],"Mmm")</f>
        <v>Jan</v>
      </c>
      <c r="L86" s="4" t="str">
        <f>TEXT(Table2[[#This Row],[Enrollment_date]],"Ddd")</f>
        <v>Wed</v>
      </c>
      <c r="M86" s="4" t="s">
        <v>34</v>
      </c>
      <c r="N86" t="s">
        <v>35</v>
      </c>
      <c r="O86" t="s">
        <v>38</v>
      </c>
      <c r="P86" s="8">
        <v>4</v>
      </c>
      <c r="Q86" s="6">
        <v>0.85416666666666663</v>
      </c>
      <c r="R86" s="6">
        <v>94</v>
      </c>
      <c r="S86" s="6" t="str">
        <f>IF(Table2[[#This Row],[Avg_score]]&gt;=79,"Distinction",IF(Table2[[#This Row],[Avg_score]]&gt;=60,"Pass","Fail"))</f>
        <v>Distinction</v>
      </c>
      <c r="T86" t="s">
        <v>39</v>
      </c>
      <c r="U86">
        <f>IF(Table2[[#This Row],[Completed]]="Yes",1,0)</f>
        <v>1</v>
      </c>
      <c r="V86" t="s">
        <v>40</v>
      </c>
      <c r="W86" t="s">
        <v>39</v>
      </c>
      <c r="X86" s="4">
        <v>45838</v>
      </c>
    </row>
    <row r="87" spans="1:24" x14ac:dyDescent="0.3">
      <c r="A87">
        <v>86</v>
      </c>
      <c r="B87" s="8">
        <v>29</v>
      </c>
      <c r="C87">
        <v>2</v>
      </c>
      <c r="D87" t="s">
        <v>19</v>
      </c>
      <c r="E87" t="s">
        <v>22</v>
      </c>
      <c r="F87">
        <v>28</v>
      </c>
      <c r="G87" t="str">
        <f>IF(Table2[[#This Row],[Age]]&gt;=30,"Experienced",IF(Table2[[#This Row],[Age]]&gt;=25,"Mid Level", "Entry Level"))</f>
        <v>Mid Level</v>
      </c>
      <c r="H87" t="s">
        <v>27</v>
      </c>
      <c r="I87" t="s">
        <v>68</v>
      </c>
      <c r="J87" s="4">
        <v>45686</v>
      </c>
      <c r="K87" s="4" t="str">
        <f>TEXT(Table2[[#This Row],[Enrollment_date]],"Mmm")</f>
        <v>Jan</v>
      </c>
      <c r="L87" s="4" t="str">
        <f>TEXT(Table2[[#This Row],[Enrollment_date]],"Ddd")</f>
        <v>Wed</v>
      </c>
      <c r="M87" s="4" t="s">
        <v>34</v>
      </c>
      <c r="N87" t="s">
        <v>36</v>
      </c>
      <c r="O87" t="s">
        <v>38</v>
      </c>
      <c r="P87" s="8">
        <v>4</v>
      </c>
      <c r="Q87" s="6">
        <v>0.83333333333333337</v>
      </c>
      <c r="R87" s="6">
        <v>65</v>
      </c>
      <c r="S87" s="6" t="str">
        <f>IF(Table2[[#This Row],[Avg_score]]&gt;=79,"Distinction",IF(Table2[[#This Row],[Avg_score]]&gt;=60,"Pass","Fail"))</f>
        <v>Pass</v>
      </c>
      <c r="T87" t="s">
        <v>39</v>
      </c>
      <c r="U87">
        <f>IF(Table2[[#This Row],[Completed]]="Yes",1,0)</f>
        <v>1</v>
      </c>
      <c r="V87" t="s">
        <v>40</v>
      </c>
      <c r="W87" t="s">
        <v>39</v>
      </c>
      <c r="X87" s="4">
        <v>45838</v>
      </c>
    </row>
    <row r="88" spans="1:24" x14ac:dyDescent="0.3">
      <c r="A88">
        <v>87</v>
      </c>
      <c r="B88" s="8">
        <v>29</v>
      </c>
      <c r="C88">
        <v>3</v>
      </c>
      <c r="D88" t="s">
        <v>21</v>
      </c>
      <c r="E88" t="s">
        <v>22</v>
      </c>
      <c r="F88">
        <v>28</v>
      </c>
      <c r="G88" t="str">
        <f>IF(Table2[[#This Row],[Age]]&gt;=30,"Experienced",IF(Table2[[#This Row],[Age]]&gt;=25,"Mid Level", "Entry Level"))</f>
        <v>Mid Level</v>
      </c>
      <c r="H88" t="s">
        <v>27</v>
      </c>
      <c r="I88" t="s">
        <v>68</v>
      </c>
      <c r="J88" s="4">
        <v>45686</v>
      </c>
      <c r="K88" s="4" t="str">
        <f>TEXT(Table2[[#This Row],[Enrollment_date]],"Mmm")</f>
        <v>Jan</v>
      </c>
      <c r="L88" s="4" t="str">
        <f>TEXT(Table2[[#This Row],[Enrollment_date]],"Ddd")</f>
        <v>Wed</v>
      </c>
      <c r="M88" s="4" t="s">
        <v>34</v>
      </c>
      <c r="N88" t="s">
        <v>37</v>
      </c>
      <c r="O88" t="s">
        <v>38</v>
      </c>
      <c r="P88" s="8">
        <v>4</v>
      </c>
      <c r="Q88" s="6">
        <v>0.89583333333333337</v>
      </c>
      <c r="R88" s="6">
        <v>95.5</v>
      </c>
      <c r="S88" s="6" t="str">
        <f>IF(Table2[[#This Row],[Avg_score]]&gt;=79,"Distinction",IF(Table2[[#This Row],[Avg_score]]&gt;=60,"Pass","Fail"))</f>
        <v>Distinction</v>
      </c>
      <c r="T88" t="s">
        <v>39</v>
      </c>
      <c r="U88">
        <f>IF(Table2[[#This Row],[Completed]]="Yes",1,0)</f>
        <v>1</v>
      </c>
      <c r="V88" t="s">
        <v>40</v>
      </c>
      <c r="W88" t="s">
        <v>39</v>
      </c>
      <c r="X88" s="4">
        <v>45838</v>
      </c>
    </row>
    <row r="89" spans="1:24" x14ac:dyDescent="0.3">
      <c r="A89">
        <v>88</v>
      </c>
      <c r="B89" s="8">
        <v>30</v>
      </c>
      <c r="C89">
        <v>1</v>
      </c>
      <c r="D89" t="s">
        <v>20</v>
      </c>
      <c r="E89" t="s">
        <v>23</v>
      </c>
      <c r="F89">
        <v>27</v>
      </c>
      <c r="G89" t="str">
        <f>IF(Table2[[#This Row],[Age]]&gt;=30,"Experienced",IF(Table2[[#This Row],[Age]]&gt;=25,"Mid Level", "Entry Level"))</f>
        <v>Mid Level</v>
      </c>
      <c r="H89" t="s">
        <v>28</v>
      </c>
      <c r="I89" t="s">
        <v>68</v>
      </c>
      <c r="J89" s="4">
        <v>45719</v>
      </c>
      <c r="K89" s="4" t="str">
        <f>TEXT(Table2[[#This Row],[Enrollment_date]],"Mmm")</f>
        <v>Mar</v>
      </c>
      <c r="L89" s="4" t="str">
        <f>TEXT(Table2[[#This Row],[Enrollment_date]],"Ddd")</f>
        <v>Mon</v>
      </c>
      <c r="M89" s="4" t="s">
        <v>34</v>
      </c>
      <c r="N89" t="s">
        <v>35</v>
      </c>
      <c r="O89" t="s">
        <v>38</v>
      </c>
      <c r="P89" s="8">
        <v>4</v>
      </c>
      <c r="Q89" s="6">
        <v>0.83333333333333337</v>
      </c>
      <c r="R89" s="6">
        <v>80.5</v>
      </c>
      <c r="S89" s="6" t="str">
        <f>IF(Table2[[#This Row],[Avg_score]]&gt;=79,"Distinction",IF(Table2[[#This Row],[Avg_score]]&gt;=60,"Pass","Fail"))</f>
        <v>Distinction</v>
      </c>
      <c r="T89" t="s">
        <v>39</v>
      </c>
      <c r="U89">
        <f>IF(Table2[[#This Row],[Completed]]="Yes",1,0)</f>
        <v>1</v>
      </c>
      <c r="V89" t="s">
        <v>39</v>
      </c>
      <c r="W89" t="s">
        <v>39</v>
      </c>
      <c r="X89" s="4">
        <v>45838</v>
      </c>
    </row>
    <row r="90" spans="1:24" x14ac:dyDescent="0.3">
      <c r="A90">
        <v>89</v>
      </c>
      <c r="B90" s="8">
        <v>30</v>
      </c>
      <c r="C90">
        <v>2</v>
      </c>
      <c r="D90" t="s">
        <v>21</v>
      </c>
      <c r="E90" t="s">
        <v>23</v>
      </c>
      <c r="F90">
        <v>27</v>
      </c>
      <c r="G90" t="str">
        <f>IF(Table2[[#This Row],[Age]]&gt;=30,"Experienced",IF(Table2[[#This Row],[Age]]&gt;=25,"Mid Level", "Entry Level"))</f>
        <v>Mid Level</v>
      </c>
      <c r="H90" t="s">
        <v>28</v>
      </c>
      <c r="I90" t="s">
        <v>68</v>
      </c>
      <c r="J90" s="4">
        <v>45719</v>
      </c>
      <c r="K90" s="4" t="str">
        <f>TEXT(Table2[[#This Row],[Enrollment_date]],"Mmm")</f>
        <v>Mar</v>
      </c>
      <c r="L90" s="4" t="str">
        <f>TEXT(Table2[[#This Row],[Enrollment_date]],"Ddd")</f>
        <v>Mon</v>
      </c>
      <c r="M90" s="4" t="s">
        <v>34</v>
      </c>
      <c r="N90" t="s">
        <v>36</v>
      </c>
      <c r="O90" t="s">
        <v>38</v>
      </c>
      <c r="P90" s="8">
        <v>4</v>
      </c>
      <c r="Q90" s="6">
        <v>0.875</v>
      </c>
      <c r="R90" s="6">
        <v>80</v>
      </c>
      <c r="S90" s="6" t="str">
        <f>IF(Table2[[#This Row],[Avg_score]]&gt;=79,"Distinction",IF(Table2[[#This Row],[Avg_score]]&gt;=60,"Pass","Fail"))</f>
        <v>Distinction</v>
      </c>
      <c r="T90" t="s">
        <v>39</v>
      </c>
      <c r="U90">
        <f>IF(Table2[[#This Row],[Completed]]="Yes",1,0)</f>
        <v>1</v>
      </c>
      <c r="V90" t="s">
        <v>39</v>
      </c>
      <c r="W90" t="s">
        <v>39</v>
      </c>
      <c r="X90" s="4">
        <v>45838</v>
      </c>
    </row>
    <row r="91" spans="1:24" x14ac:dyDescent="0.3">
      <c r="A91">
        <v>90</v>
      </c>
      <c r="B91" s="8">
        <v>30</v>
      </c>
      <c r="C91">
        <v>3</v>
      </c>
      <c r="D91" t="s">
        <v>19</v>
      </c>
      <c r="E91" t="s">
        <v>23</v>
      </c>
      <c r="F91">
        <v>27</v>
      </c>
      <c r="G91" t="str">
        <f>IF(Table2[[#This Row],[Age]]&gt;=30,"Experienced",IF(Table2[[#This Row],[Age]]&gt;=25,"Mid Level", "Entry Level"))</f>
        <v>Mid Level</v>
      </c>
      <c r="H91" t="s">
        <v>28</v>
      </c>
      <c r="I91" t="s">
        <v>68</v>
      </c>
      <c r="J91" s="4">
        <v>45719</v>
      </c>
      <c r="K91" s="4" t="str">
        <f>TEXT(Table2[[#This Row],[Enrollment_date]],"Mmm")</f>
        <v>Mar</v>
      </c>
      <c r="L91" s="4" t="str">
        <f>TEXT(Table2[[#This Row],[Enrollment_date]],"Ddd")</f>
        <v>Mon</v>
      </c>
      <c r="M91" s="4" t="s">
        <v>34</v>
      </c>
      <c r="N91" t="s">
        <v>37</v>
      </c>
      <c r="O91" t="s">
        <v>38</v>
      </c>
      <c r="P91" s="8">
        <v>4</v>
      </c>
      <c r="Q91" s="6">
        <v>0.83333333333333337</v>
      </c>
      <c r="R91" s="6">
        <v>68</v>
      </c>
      <c r="S91" s="6" t="str">
        <f>IF(Table2[[#This Row],[Avg_score]]&gt;=79,"Distinction",IF(Table2[[#This Row],[Avg_score]]&gt;=60,"Pass","Fail"))</f>
        <v>Pass</v>
      </c>
      <c r="T91" t="s">
        <v>39</v>
      </c>
      <c r="U91">
        <f>IF(Table2[[#This Row],[Completed]]="Yes",1,0)</f>
        <v>1</v>
      </c>
      <c r="V91" t="s">
        <v>39</v>
      </c>
      <c r="W91" t="s">
        <v>39</v>
      </c>
      <c r="X91" s="4">
        <v>45838</v>
      </c>
    </row>
    <row r="92" spans="1:24" x14ac:dyDescent="0.3">
      <c r="A92">
        <v>91</v>
      </c>
      <c r="B92" s="8">
        <v>31</v>
      </c>
      <c r="C92">
        <v>1</v>
      </c>
      <c r="D92" t="s">
        <v>19</v>
      </c>
      <c r="E92" t="s">
        <v>22</v>
      </c>
      <c r="F92">
        <v>20</v>
      </c>
      <c r="G92" t="str">
        <f>IF(Table2[[#This Row],[Age]]&gt;=30,"Experienced",IF(Table2[[#This Row],[Age]]&gt;=25,"Mid Level", "Entry Level"))</f>
        <v>Entry Level</v>
      </c>
      <c r="H92" t="s">
        <v>24</v>
      </c>
      <c r="I92" t="s">
        <v>44</v>
      </c>
      <c r="J92" s="4">
        <v>45675</v>
      </c>
      <c r="K92" s="4" t="str">
        <f>TEXT(Table2[[#This Row],[Enrollment_date]],"Mmm")</f>
        <v>Jan</v>
      </c>
      <c r="L92" s="4" t="str">
        <f>TEXT(Table2[[#This Row],[Enrollment_date]],"Ddd")</f>
        <v>Sat</v>
      </c>
      <c r="M92" s="4" t="s">
        <v>34</v>
      </c>
      <c r="N92" t="s">
        <v>35</v>
      </c>
      <c r="O92" t="s">
        <v>38</v>
      </c>
      <c r="P92" s="8">
        <v>4</v>
      </c>
      <c r="Q92" s="6">
        <v>0.91666666666666663</v>
      </c>
      <c r="R92" s="6">
        <v>68</v>
      </c>
      <c r="S92" s="6" t="str">
        <f>IF(Table2[[#This Row],[Avg_score]]&gt;=79,"Distinction",IF(Table2[[#This Row],[Avg_score]]&gt;=60,"Pass","Fail"))</f>
        <v>Pass</v>
      </c>
      <c r="T92" t="s">
        <v>39</v>
      </c>
      <c r="U92">
        <f>IF(Table2[[#This Row],[Completed]]="Yes",1,0)</f>
        <v>1</v>
      </c>
      <c r="V92" t="s">
        <v>39</v>
      </c>
      <c r="W92" t="s">
        <v>40</v>
      </c>
      <c r="X92" s="4">
        <v>45838</v>
      </c>
    </row>
    <row r="93" spans="1:24" x14ac:dyDescent="0.3">
      <c r="A93">
        <v>92</v>
      </c>
      <c r="B93" s="8">
        <v>31</v>
      </c>
      <c r="C93">
        <v>2</v>
      </c>
      <c r="D93" t="s">
        <v>19</v>
      </c>
      <c r="E93" t="s">
        <v>22</v>
      </c>
      <c r="F93">
        <v>20</v>
      </c>
      <c r="G93" t="str">
        <f>IF(Table2[[#This Row],[Age]]&gt;=30,"Experienced",IF(Table2[[#This Row],[Age]]&gt;=25,"Mid Level", "Entry Level"))</f>
        <v>Entry Level</v>
      </c>
      <c r="H93" t="s">
        <v>24</v>
      </c>
      <c r="I93" t="s">
        <v>44</v>
      </c>
      <c r="J93" s="4">
        <v>45675</v>
      </c>
      <c r="K93" s="4" t="str">
        <f>TEXT(Table2[[#This Row],[Enrollment_date]],"Mmm")</f>
        <v>Jan</v>
      </c>
      <c r="L93" s="4" t="str">
        <f>TEXT(Table2[[#This Row],[Enrollment_date]],"Ddd")</f>
        <v>Sat</v>
      </c>
      <c r="M93" s="4" t="s">
        <v>34</v>
      </c>
      <c r="N93" t="s">
        <v>36</v>
      </c>
      <c r="O93" t="s">
        <v>38</v>
      </c>
      <c r="P93" s="8">
        <v>4</v>
      </c>
      <c r="Q93" s="6">
        <v>0.89583333333333337</v>
      </c>
      <c r="R93" s="6">
        <v>63</v>
      </c>
      <c r="S93" s="6" t="str">
        <f>IF(Table2[[#This Row],[Avg_score]]&gt;=79,"Distinction",IF(Table2[[#This Row],[Avg_score]]&gt;=60,"Pass","Fail"))</f>
        <v>Pass</v>
      </c>
      <c r="T93" t="s">
        <v>39</v>
      </c>
      <c r="U93">
        <f>IF(Table2[[#This Row],[Completed]]="Yes",1,0)</f>
        <v>1</v>
      </c>
      <c r="V93" t="s">
        <v>39</v>
      </c>
      <c r="W93" t="s">
        <v>40</v>
      </c>
      <c r="X93" s="4">
        <v>45838</v>
      </c>
    </row>
    <row r="94" spans="1:24" x14ac:dyDescent="0.3">
      <c r="A94">
        <v>93</v>
      </c>
      <c r="B94" s="8">
        <v>31</v>
      </c>
      <c r="C94">
        <v>3</v>
      </c>
      <c r="D94" t="s">
        <v>19</v>
      </c>
      <c r="E94" t="s">
        <v>22</v>
      </c>
      <c r="F94">
        <v>20</v>
      </c>
      <c r="G94" t="str">
        <f>IF(Table2[[#This Row],[Age]]&gt;=30,"Experienced",IF(Table2[[#This Row],[Age]]&gt;=25,"Mid Level", "Entry Level"))</f>
        <v>Entry Level</v>
      </c>
      <c r="H94" t="s">
        <v>24</v>
      </c>
      <c r="I94" t="s">
        <v>44</v>
      </c>
      <c r="J94" s="4">
        <v>45675</v>
      </c>
      <c r="K94" s="4" t="str">
        <f>TEXT(Table2[[#This Row],[Enrollment_date]],"Mmm")</f>
        <v>Jan</v>
      </c>
      <c r="L94" s="4" t="str">
        <f>TEXT(Table2[[#This Row],[Enrollment_date]],"Ddd")</f>
        <v>Sat</v>
      </c>
      <c r="M94" s="4" t="s">
        <v>34</v>
      </c>
      <c r="N94" t="s">
        <v>37</v>
      </c>
      <c r="O94" t="s">
        <v>38</v>
      </c>
      <c r="P94" s="8">
        <v>4</v>
      </c>
      <c r="Q94" s="6">
        <v>0.85416666666666663</v>
      </c>
      <c r="R94" s="6">
        <v>71</v>
      </c>
      <c r="S94" s="6" t="str">
        <f>IF(Table2[[#This Row],[Avg_score]]&gt;=79,"Distinction",IF(Table2[[#This Row],[Avg_score]]&gt;=60,"Pass","Fail"))</f>
        <v>Pass</v>
      </c>
      <c r="T94" t="s">
        <v>39</v>
      </c>
      <c r="U94">
        <f>IF(Table2[[#This Row],[Completed]]="Yes",1,0)</f>
        <v>1</v>
      </c>
      <c r="V94" t="s">
        <v>39</v>
      </c>
      <c r="W94" t="s">
        <v>40</v>
      </c>
      <c r="X94" s="4">
        <v>45838</v>
      </c>
    </row>
    <row r="95" spans="1:24" x14ac:dyDescent="0.3">
      <c r="A95">
        <v>94</v>
      </c>
      <c r="B95" s="8">
        <v>32</v>
      </c>
      <c r="C95">
        <v>1</v>
      </c>
      <c r="D95" t="s">
        <v>19</v>
      </c>
      <c r="E95" t="s">
        <v>22</v>
      </c>
      <c r="F95">
        <v>22</v>
      </c>
      <c r="G95" t="str">
        <f>IF(Table2[[#This Row],[Age]]&gt;=30,"Experienced",IF(Table2[[#This Row],[Age]]&gt;=25,"Mid Level", "Entry Level"))</f>
        <v>Entry Level</v>
      </c>
      <c r="H95" t="s">
        <v>24</v>
      </c>
      <c r="I95" t="s">
        <v>44</v>
      </c>
      <c r="J95" s="4">
        <v>45798</v>
      </c>
      <c r="K95" s="4" t="str">
        <f>TEXT(Table2[[#This Row],[Enrollment_date]],"Mmm")</f>
        <v>May</v>
      </c>
      <c r="L95" s="4" t="str">
        <f>TEXT(Table2[[#This Row],[Enrollment_date]],"Ddd")</f>
        <v>Wed</v>
      </c>
      <c r="M95" s="4" t="s">
        <v>34</v>
      </c>
      <c r="N95" t="s">
        <v>35</v>
      </c>
      <c r="O95" t="s">
        <v>38</v>
      </c>
      <c r="P95" s="8">
        <v>4</v>
      </c>
      <c r="Q95" s="6">
        <v>0.75</v>
      </c>
      <c r="R95" s="6">
        <v>95.5</v>
      </c>
      <c r="S95" s="6" t="str">
        <f>IF(Table2[[#This Row],[Avg_score]]&gt;=79,"Distinction",IF(Table2[[#This Row],[Avg_score]]&gt;=60,"Pass","Fail"))</f>
        <v>Distinction</v>
      </c>
      <c r="T95" t="s">
        <v>39</v>
      </c>
      <c r="U95">
        <f>IF(Table2[[#This Row],[Completed]]="Yes",1,0)</f>
        <v>1</v>
      </c>
      <c r="V95" t="s">
        <v>39</v>
      </c>
      <c r="W95" t="s">
        <v>40</v>
      </c>
      <c r="X95" s="4">
        <v>45838</v>
      </c>
    </row>
    <row r="96" spans="1:24" x14ac:dyDescent="0.3">
      <c r="A96">
        <v>95</v>
      </c>
      <c r="B96" s="8">
        <v>32</v>
      </c>
      <c r="C96">
        <v>2</v>
      </c>
      <c r="D96" t="s">
        <v>19</v>
      </c>
      <c r="E96" t="s">
        <v>22</v>
      </c>
      <c r="F96">
        <v>22</v>
      </c>
      <c r="G96" t="str">
        <f>IF(Table2[[#This Row],[Age]]&gt;=30,"Experienced",IF(Table2[[#This Row],[Age]]&gt;=25,"Mid Level", "Entry Level"))</f>
        <v>Entry Level</v>
      </c>
      <c r="H96" t="s">
        <v>24</v>
      </c>
      <c r="I96" t="s">
        <v>44</v>
      </c>
      <c r="J96" s="4">
        <v>45798</v>
      </c>
      <c r="K96" s="4" t="str">
        <f>TEXT(Table2[[#This Row],[Enrollment_date]],"Mmm")</f>
        <v>May</v>
      </c>
      <c r="L96" s="4" t="str">
        <f>TEXT(Table2[[#This Row],[Enrollment_date]],"Ddd")</f>
        <v>Wed</v>
      </c>
      <c r="M96" s="4" t="s">
        <v>34</v>
      </c>
      <c r="N96" t="s">
        <v>36</v>
      </c>
      <c r="O96" t="s">
        <v>38</v>
      </c>
      <c r="P96" s="8">
        <v>4</v>
      </c>
      <c r="Q96" s="6">
        <v>0.85416666666666663</v>
      </c>
      <c r="R96" s="6">
        <v>71.5</v>
      </c>
      <c r="S96" s="6" t="str">
        <f>IF(Table2[[#This Row],[Avg_score]]&gt;=79,"Distinction",IF(Table2[[#This Row],[Avg_score]]&gt;=60,"Pass","Fail"))</f>
        <v>Pass</v>
      </c>
      <c r="T96" t="s">
        <v>39</v>
      </c>
      <c r="U96">
        <f>IF(Table2[[#This Row],[Completed]]="Yes",1,0)</f>
        <v>1</v>
      </c>
      <c r="V96" t="s">
        <v>39</v>
      </c>
      <c r="W96" t="s">
        <v>40</v>
      </c>
      <c r="X96" s="4">
        <v>45838</v>
      </c>
    </row>
    <row r="97" spans="1:24" x14ac:dyDescent="0.3">
      <c r="A97">
        <v>96</v>
      </c>
      <c r="B97" s="8">
        <v>32</v>
      </c>
      <c r="C97">
        <v>3</v>
      </c>
      <c r="D97" t="s">
        <v>19</v>
      </c>
      <c r="E97" t="s">
        <v>22</v>
      </c>
      <c r="F97">
        <v>22</v>
      </c>
      <c r="G97" t="str">
        <f>IF(Table2[[#This Row],[Age]]&gt;=30,"Experienced",IF(Table2[[#This Row],[Age]]&gt;=25,"Mid Level", "Entry Level"))</f>
        <v>Entry Level</v>
      </c>
      <c r="H97" t="s">
        <v>24</v>
      </c>
      <c r="I97" t="s">
        <v>44</v>
      </c>
      <c r="J97" s="4">
        <v>45798</v>
      </c>
      <c r="K97" s="4" t="str">
        <f>TEXT(Table2[[#This Row],[Enrollment_date]],"Mmm")</f>
        <v>May</v>
      </c>
      <c r="L97" s="4" t="str">
        <f>TEXT(Table2[[#This Row],[Enrollment_date]],"Ddd")</f>
        <v>Wed</v>
      </c>
      <c r="M97" s="4" t="s">
        <v>34</v>
      </c>
      <c r="N97" t="s">
        <v>37</v>
      </c>
      <c r="O97" t="s">
        <v>38</v>
      </c>
      <c r="P97" s="8">
        <v>4</v>
      </c>
      <c r="Q97" s="6">
        <v>0.89583333333333337</v>
      </c>
      <c r="R97" s="6">
        <v>75.5</v>
      </c>
      <c r="S97" s="6" t="str">
        <f>IF(Table2[[#This Row],[Avg_score]]&gt;=79,"Distinction",IF(Table2[[#This Row],[Avg_score]]&gt;=60,"Pass","Fail"))</f>
        <v>Pass</v>
      </c>
      <c r="T97" t="s">
        <v>39</v>
      </c>
      <c r="U97">
        <f>IF(Table2[[#This Row],[Completed]]="Yes",1,0)</f>
        <v>1</v>
      </c>
      <c r="V97" t="s">
        <v>39</v>
      </c>
      <c r="W97" t="s">
        <v>40</v>
      </c>
      <c r="X97" s="4">
        <v>45838</v>
      </c>
    </row>
    <row r="98" spans="1:24" x14ac:dyDescent="0.3">
      <c r="A98">
        <v>97</v>
      </c>
      <c r="B98" s="8">
        <v>33</v>
      </c>
      <c r="C98">
        <v>1</v>
      </c>
      <c r="D98" t="s">
        <v>19</v>
      </c>
      <c r="E98" t="s">
        <v>22</v>
      </c>
      <c r="F98">
        <v>26</v>
      </c>
      <c r="G98" t="str">
        <f>IF(Table2[[#This Row],[Age]]&gt;=30,"Experienced",IF(Table2[[#This Row],[Age]]&gt;=25,"Mid Level", "Entry Level"))</f>
        <v>Mid Level</v>
      </c>
      <c r="H98" t="s">
        <v>26</v>
      </c>
      <c r="I98" t="s">
        <v>44</v>
      </c>
      <c r="J98" s="4">
        <v>45712</v>
      </c>
      <c r="K98" s="4" t="str">
        <f>TEXT(Table2[[#This Row],[Enrollment_date]],"Mmm")</f>
        <v>Feb</v>
      </c>
      <c r="L98" s="4" t="str">
        <f>TEXT(Table2[[#This Row],[Enrollment_date]],"Ddd")</f>
        <v>Mon</v>
      </c>
      <c r="M98" s="4" t="s">
        <v>34</v>
      </c>
      <c r="N98" t="s">
        <v>35</v>
      </c>
      <c r="O98" t="s">
        <v>38</v>
      </c>
      <c r="P98" s="8">
        <v>4</v>
      </c>
      <c r="Q98" s="6">
        <v>0.83333333333333337</v>
      </c>
      <c r="R98" s="6">
        <v>71</v>
      </c>
      <c r="S98" s="6" t="str">
        <f>IF(Table2[[#This Row],[Avg_score]]&gt;=79,"Distinction",IF(Table2[[#This Row],[Avg_score]]&gt;=60,"Pass","Fail"))</f>
        <v>Pass</v>
      </c>
      <c r="T98" t="s">
        <v>39</v>
      </c>
      <c r="U98">
        <f>IF(Table2[[#This Row],[Completed]]="Yes",1,0)</f>
        <v>1</v>
      </c>
      <c r="V98" t="s">
        <v>39</v>
      </c>
      <c r="W98" t="s">
        <v>40</v>
      </c>
      <c r="X98" s="4">
        <v>45838</v>
      </c>
    </row>
    <row r="99" spans="1:24" x14ac:dyDescent="0.3">
      <c r="A99">
        <v>98</v>
      </c>
      <c r="B99" s="8">
        <v>33</v>
      </c>
      <c r="C99">
        <v>2</v>
      </c>
      <c r="D99" t="s">
        <v>19</v>
      </c>
      <c r="E99" t="s">
        <v>22</v>
      </c>
      <c r="F99">
        <v>26</v>
      </c>
      <c r="G99" t="str">
        <f>IF(Table2[[#This Row],[Age]]&gt;=30,"Experienced",IF(Table2[[#This Row],[Age]]&gt;=25,"Mid Level", "Entry Level"))</f>
        <v>Mid Level</v>
      </c>
      <c r="H99" t="s">
        <v>26</v>
      </c>
      <c r="I99" t="s">
        <v>44</v>
      </c>
      <c r="J99" s="4">
        <v>45712</v>
      </c>
      <c r="K99" s="4" t="str">
        <f>TEXT(Table2[[#This Row],[Enrollment_date]],"Mmm")</f>
        <v>Feb</v>
      </c>
      <c r="L99" s="4" t="str">
        <f>TEXT(Table2[[#This Row],[Enrollment_date]],"Ddd")</f>
        <v>Mon</v>
      </c>
      <c r="M99" s="4" t="s">
        <v>34</v>
      </c>
      <c r="N99" t="s">
        <v>36</v>
      </c>
      <c r="O99" t="s">
        <v>38</v>
      </c>
      <c r="P99" s="8">
        <v>4</v>
      </c>
      <c r="Q99" s="6">
        <v>0.85416666666666663</v>
      </c>
      <c r="R99" s="6">
        <v>79</v>
      </c>
      <c r="S99" s="6" t="str">
        <f>IF(Table2[[#This Row],[Avg_score]]&gt;=79,"Distinction",IF(Table2[[#This Row],[Avg_score]]&gt;=60,"Pass","Fail"))</f>
        <v>Distinction</v>
      </c>
      <c r="T99" t="s">
        <v>39</v>
      </c>
      <c r="U99">
        <f>IF(Table2[[#This Row],[Completed]]="Yes",1,0)</f>
        <v>1</v>
      </c>
      <c r="V99" t="s">
        <v>39</v>
      </c>
      <c r="W99" t="s">
        <v>40</v>
      </c>
      <c r="X99" s="4">
        <v>45838</v>
      </c>
    </row>
    <row r="100" spans="1:24" x14ac:dyDescent="0.3">
      <c r="A100">
        <v>99</v>
      </c>
      <c r="B100" s="8">
        <v>33</v>
      </c>
      <c r="C100">
        <v>3</v>
      </c>
      <c r="D100" t="s">
        <v>21</v>
      </c>
      <c r="E100" t="s">
        <v>22</v>
      </c>
      <c r="F100">
        <v>26</v>
      </c>
      <c r="G100" t="str">
        <f>IF(Table2[[#This Row],[Age]]&gt;=30,"Experienced",IF(Table2[[#This Row],[Age]]&gt;=25,"Mid Level", "Entry Level"))</f>
        <v>Mid Level</v>
      </c>
      <c r="H100" t="s">
        <v>26</v>
      </c>
      <c r="I100" t="s">
        <v>44</v>
      </c>
      <c r="J100" s="4">
        <v>45712</v>
      </c>
      <c r="K100" s="4" t="str">
        <f>TEXT(Table2[[#This Row],[Enrollment_date]],"Mmm")</f>
        <v>Feb</v>
      </c>
      <c r="L100" s="4" t="str">
        <f>TEXT(Table2[[#This Row],[Enrollment_date]],"Ddd")</f>
        <v>Mon</v>
      </c>
      <c r="M100" s="4" t="s">
        <v>34</v>
      </c>
      <c r="N100" t="s">
        <v>37</v>
      </c>
      <c r="O100" t="s">
        <v>38</v>
      </c>
      <c r="P100" s="8">
        <v>4</v>
      </c>
      <c r="Q100" s="6">
        <v>0.79166666666666663</v>
      </c>
      <c r="R100" s="6">
        <v>81</v>
      </c>
      <c r="S100" s="6" t="str">
        <f>IF(Table2[[#This Row],[Avg_score]]&gt;=79,"Distinction",IF(Table2[[#This Row],[Avg_score]]&gt;=60,"Pass","Fail"))</f>
        <v>Distinction</v>
      </c>
      <c r="T100" t="s">
        <v>39</v>
      </c>
      <c r="U100">
        <f>IF(Table2[[#This Row],[Completed]]="Yes",1,0)</f>
        <v>1</v>
      </c>
      <c r="V100" t="s">
        <v>39</v>
      </c>
      <c r="W100" t="s">
        <v>40</v>
      </c>
      <c r="X100" s="4">
        <v>45838</v>
      </c>
    </row>
    <row r="101" spans="1:24" x14ac:dyDescent="0.3">
      <c r="A101">
        <v>100</v>
      </c>
      <c r="B101" s="8">
        <v>34</v>
      </c>
      <c r="C101">
        <v>1</v>
      </c>
      <c r="D101" t="s">
        <v>20</v>
      </c>
      <c r="E101" t="s">
        <v>22</v>
      </c>
      <c r="F101">
        <v>27</v>
      </c>
      <c r="G101" t="str">
        <f>IF(Table2[[#This Row],[Age]]&gt;=30,"Experienced",IF(Table2[[#This Row],[Age]]&gt;=25,"Mid Level", "Entry Level"))</f>
        <v>Mid Level</v>
      </c>
      <c r="H101" t="s">
        <v>27</v>
      </c>
      <c r="I101" t="s">
        <v>30</v>
      </c>
      <c r="J101" s="4">
        <v>45770</v>
      </c>
      <c r="K101" s="4" t="str">
        <f>TEXT(Table2[[#This Row],[Enrollment_date]],"Mmm")</f>
        <v>Apr</v>
      </c>
      <c r="L101" s="4" t="str">
        <f>TEXT(Table2[[#This Row],[Enrollment_date]],"Ddd")</f>
        <v>Wed</v>
      </c>
      <c r="M101" s="4" t="s">
        <v>34</v>
      </c>
      <c r="N101" t="s">
        <v>35</v>
      </c>
      <c r="O101" t="s">
        <v>38</v>
      </c>
      <c r="P101" s="8">
        <v>4</v>
      </c>
      <c r="Q101" s="6">
        <v>0.85416666666666663</v>
      </c>
      <c r="R101" s="6">
        <v>51</v>
      </c>
      <c r="S101" s="6" t="str">
        <f>IF(Table2[[#This Row],[Avg_score]]&gt;=79,"Distinction",IF(Table2[[#This Row],[Avg_score]]&gt;=60,"Pass","Fail"))</f>
        <v>Fail</v>
      </c>
      <c r="T101" t="s">
        <v>39</v>
      </c>
      <c r="U101">
        <f>IF(Table2[[#This Row],[Completed]]="Yes",1,0)</f>
        <v>1</v>
      </c>
      <c r="V101" t="s">
        <v>39</v>
      </c>
      <c r="W101" t="s">
        <v>40</v>
      </c>
      <c r="X101" s="4">
        <v>45838</v>
      </c>
    </row>
    <row r="102" spans="1:24" x14ac:dyDescent="0.3">
      <c r="A102">
        <v>101</v>
      </c>
      <c r="B102" s="8">
        <v>34</v>
      </c>
      <c r="C102">
        <v>2</v>
      </c>
      <c r="D102" t="s">
        <v>19</v>
      </c>
      <c r="E102" t="s">
        <v>22</v>
      </c>
      <c r="F102">
        <v>27</v>
      </c>
      <c r="G102" t="str">
        <f>IF(Table2[[#This Row],[Age]]&gt;=30,"Experienced",IF(Table2[[#This Row],[Age]]&gt;=25,"Mid Level", "Entry Level"))</f>
        <v>Mid Level</v>
      </c>
      <c r="H102" t="s">
        <v>27</v>
      </c>
      <c r="I102" t="s">
        <v>30</v>
      </c>
      <c r="J102" s="4">
        <v>45770</v>
      </c>
      <c r="K102" s="4" t="str">
        <f>TEXT(Table2[[#This Row],[Enrollment_date]],"Mmm")</f>
        <v>Apr</v>
      </c>
      <c r="L102" s="4" t="str">
        <f>TEXT(Table2[[#This Row],[Enrollment_date]],"Ddd")</f>
        <v>Wed</v>
      </c>
      <c r="M102" s="4" t="s">
        <v>34</v>
      </c>
      <c r="N102" t="s">
        <v>36</v>
      </c>
      <c r="O102" t="s">
        <v>38</v>
      </c>
      <c r="P102" s="8">
        <v>4</v>
      </c>
      <c r="Q102" s="6">
        <v>0.79166666666666663</v>
      </c>
      <c r="R102" s="6">
        <v>67.5</v>
      </c>
      <c r="S102" s="6" t="str">
        <f>IF(Table2[[#This Row],[Avg_score]]&gt;=79,"Distinction",IF(Table2[[#This Row],[Avg_score]]&gt;=60,"Pass","Fail"))</f>
        <v>Pass</v>
      </c>
      <c r="T102" t="s">
        <v>39</v>
      </c>
      <c r="U102">
        <f>IF(Table2[[#This Row],[Completed]]="Yes",1,0)</f>
        <v>1</v>
      </c>
      <c r="V102" t="s">
        <v>39</v>
      </c>
      <c r="W102" t="s">
        <v>40</v>
      </c>
      <c r="X102" s="4">
        <v>45838</v>
      </c>
    </row>
    <row r="103" spans="1:24" x14ac:dyDescent="0.3">
      <c r="A103">
        <v>102</v>
      </c>
      <c r="B103" s="8">
        <v>34</v>
      </c>
      <c r="C103">
        <v>3</v>
      </c>
      <c r="D103" t="s">
        <v>21</v>
      </c>
      <c r="E103" t="s">
        <v>22</v>
      </c>
      <c r="F103">
        <v>27</v>
      </c>
      <c r="G103" t="str">
        <f>IF(Table2[[#This Row],[Age]]&gt;=30,"Experienced",IF(Table2[[#This Row],[Age]]&gt;=25,"Mid Level", "Entry Level"))</f>
        <v>Mid Level</v>
      </c>
      <c r="H103" t="s">
        <v>27</v>
      </c>
      <c r="I103" t="s">
        <v>30</v>
      </c>
      <c r="J103" s="4">
        <v>45770</v>
      </c>
      <c r="K103" s="4" t="str">
        <f>TEXT(Table2[[#This Row],[Enrollment_date]],"Mmm")</f>
        <v>Apr</v>
      </c>
      <c r="L103" s="4" t="str">
        <f>TEXT(Table2[[#This Row],[Enrollment_date]],"Ddd")</f>
        <v>Wed</v>
      </c>
      <c r="M103" s="4" t="s">
        <v>34</v>
      </c>
      <c r="N103" t="s">
        <v>37</v>
      </c>
      <c r="O103" t="s">
        <v>38</v>
      </c>
      <c r="P103" s="8">
        <v>4</v>
      </c>
      <c r="Q103" s="6">
        <v>0.8125</v>
      </c>
      <c r="R103" s="6">
        <v>90.5</v>
      </c>
      <c r="S103" s="6" t="str">
        <f>IF(Table2[[#This Row],[Avg_score]]&gt;=79,"Distinction",IF(Table2[[#This Row],[Avg_score]]&gt;=60,"Pass","Fail"))</f>
        <v>Distinction</v>
      </c>
      <c r="T103" t="s">
        <v>39</v>
      </c>
      <c r="U103">
        <f>IF(Table2[[#This Row],[Completed]]="Yes",1,0)</f>
        <v>1</v>
      </c>
      <c r="V103" t="s">
        <v>39</v>
      </c>
      <c r="W103" t="s">
        <v>40</v>
      </c>
      <c r="X103" s="4">
        <v>45838</v>
      </c>
    </row>
    <row r="104" spans="1:24" x14ac:dyDescent="0.3">
      <c r="A104">
        <v>103</v>
      </c>
      <c r="B104" s="8">
        <v>35</v>
      </c>
      <c r="C104">
        <v>1</v>
      </c>
      <c r="D104" t="s">
        <v>19</v>
      </c>
      <c r="E104" t="s">
        <v>23</v>
      </c>
      <c r="F104">
        <v>21</v>
      </c>
      <c r="G104" t="str">
        <f>IF(Table2[[#This Row],[Age]]&gt;=30,"Experienced",IF(Table2[[#This Row],[Age]]&gt;=25,"Mid Level", "Entry Level"))</f>
        <v>Entry Level</v>
      </c>
      <c r="H104" t="s">
        <v>28</v>
      </c>
      <c r="I104" t="s">
        <v>32</v>
      </c>
      <c r="J104" s="4">
        <v>45674</v>
      </c>
      <c r="K104" s="4" t="str">
        <f>TEXT(Table2[[#This Row],[Enrollment_date]],"Mmm")</f>
        <v>Jan</v>
      </c>
      <c r="L104" s="4" t="str">
        <f>TEXT(Table2[[#This Row],[Enrollment_date]],"Ddd")</f>
        <v>Fri</v>
      </c>
      <c r="M104" s="4" t="s">
        <v>34</v>
      </c>
      <c r="N104" t="s">
        <v>35</v>
      </c>
      <c r="O104" t="s">
        <v>38</v>
      </c>
      <c r="P104" s="8">
        <v>4</v>
      </c>
      <c r="Q104" s="6">
        <v>0.875</v>
      </c>
      <c r="R104" s="6">
        <v>71.5</v>
      </c>
      <c r="S104" s="6" t="str">
        <f>IF(Table2[[#This Row],[Avg_score]]&gt;=79,"Distinction",IF(Table2[[#This Row],[Avg_score]]&gt;=60,"Pass","Fail"))</f>
        <v>Pass</v>
      </c>
      <c r="T104" t="s">
        <v>39</v>
      </c>
      <c r="U104">
        <f>IF(Table2[[#This Row],[Completed]]="Yes",1,0)</f>
        <v>1</v>
      </c>
      <c r="V104" t="s">
        <v>39</v>
      </c>
      <c r="W104" t="s">
        <v>40</v>
      </c>
      <c r="X104" s="4">
        <v>45838</v>
      </c>
    </row>
    <row r="105" spans="1:24" x14ac:dyDescent="0.3">
      <c r="A105">
        <v>104</v>
      </c>
      <c r="B105" s="8">
        <v>35</v>
      </c>
      <c r="C105">
        <v>2</v>
      </c>
      <c r="D105" t="s">
        <v>19</v>
      </c>
      <c r="E105" t="s">
        <v>23</v>
      </c>
      <c r="F105">
        <v>21</v>
      </c>
      <c r="G105" t="str">
        <f>IF(Table2[[#This Row],[Age]]&gt;=30,"Experienced",IF(Table2[[#This Row],[Age]]&gt;=25,"Mid Level", "Entry Level"))</f>
        <v>Entry Level</v>
      </c>
      <c r="H105" t="s">
        <v>28</v>
      </c>
      <c r="I105" t="s">
        <v>32</v>
      </c>
      <c r="J105" s="4">
        <v>45674</v>
      </c>
      <c r="K105" s="4" t="str">
        <f>TEXT(Table2[[#This Row],[Enrollment_date]],"Mmm")</f>
        <v>Jan</v>
      </c>
      <c r="L105" s="4" t="str">
        <f>TEXT(Table2[[#This Row],[Enrollment_date]],"Ddd")</f>
        <v>Fri</v>
      </c>
      <c r="M105" s="4" t="s">
        <v>34</v>
      </c>
      <c r="N105" t="s">
        <v>36</v>
      </c>
      <c r="O105" t="s">
        <v>38</v>
      </c>
      <c r="P105" s="8">
        <v>4</v>
      </c>
      <c r="Q105" s="6">
        <v>0.85416666666666663</v>
      </c>
      <c r="R105" s="6">
        <v>70.5</v>
      </c>
      <c r="S105" s="6" t="str">
        <f>IF(Table2[[#This Row],[Avg_score]]&gt;=79,"Distinction",IF(Table2[[#This Row],[Avg_score]]&gt;=60,"Pass","Fail"))</f>
        <v>Pass</v>
      </c>
      <c r="T105" t="s">
        <v>39</v>
      </c>
      <c r="U105">
        <f>IF(Table2[[#This Row],[Completed]]="Yes",1,0)</f>
        <v>1</v>
      </c>
      <c r="V105" t="s">
        <v>39</v>
      </c>
      <c r="W105" t="s">
        <v>40</v>
      </c>
      <c r="X105" s="4">
        <v>45838</v>
      </c>
    </row>
    <row r="106" spans="1:24" x14ac:dyDescent="0.3">
      <c r="A106">
        <v>105</v>
      </c>
      <c r="B106" s="8">
        <v>35</v>
      </c>
      <c r="C106">
        <v>3</v>
      </c>
      <c r="D106" t="s">
        <v>21</v>
      </c>
      <c r="E106" t="s">
        <v>23</v>
      </c>
      <c r="F106">
        <v>21</v>
      </c>
      <c r="G106" t="str">
        <f>IF(Table2[[#This Row],[Age]]&gt;=30,"Experienced",IF(Table2[[#This Row],[Age]]&gt;=25,"Mid Level", "Entry Level"))</f>
        <v>Entry Level</v>
      </c>
      <c r="H106" t="s">
        <v>28</v>
      </c>
      <c r="I106" t="s">
        <v>32</v>
      </c>
      <c r="J106" s="4">
        <v>45674</v>
      </c>
      <c r="K106" s="4" t="str">
        <f>TEXT(Table2[[#This Row],[Enrollment_date]],"Mmm")</f>
        <v>Jan</v>
      </c>
      <c r="L106" s="4" t="str">
        <f>TEXT(Table2[[#This Row],[Enrollment_date]],"Ddd")</f>
        <v>Fri</v>
      </c>
      <c r="M106" s="4" t="s">
        <v>34</v>
      </c>
      <c r="N106" t="s">
        <v>37</v>
      </c>
      <c r="O106" t="s">
        <v>38</v>
      </c>
      <c r="P106" s="8">
        <v>4</v>
      </c>
      <c r="Q106" s="6">
        <v>0.85416666666666663</v>
      </c>
      <c r="R106" s="6">
        <v>66</v>
      </c>
      <c r="S106" s="6" t="str">
        <f>IF(Table2[[#This Row],[Avg_score]]&gt;=79,"Distinction",IF(Table2[[#This Row],[Avg_score]]&gt;=60,"Pass","Fail"))</f>
        <v>Pass</v>
      </c>
      <c r="T106" t="s">
        <v>39</v>
      </c>
      <c r="U106">
        <f>IF(Table2[[#This Row],[Completed]]="Yes",1,0)</f>
        <v>1</v>
      </c>
      <c r="V106" t="s">
        <v>39</v>
      </c>
      <c r="W106" t="s">
        <v>40</v>
      </c>
      <c r="X106" s="4">
        <v>45838</v>
      </c>
    </row>
    <row r="107" spans="1:24" x14ac:dyDescent="0.3">
      <c r="A107">
        <v>106</v>
      </c>
      <c r="B107" s="8">
        <v>36</v>
      </c>
      <c r="C107">
        <v>1</v>
      </c>
      <c r="D107" t="s">
        <v>19</v>
      </c>
      <c r="E107" t="s">
        <v>23</v>
      </c>
      <c r="F107">
        <v>18</v>
      </c>
      <c r="G107" t="str">
        <f>IF(Table2[[#This Row],[Age]]&gt;=30,"Experienced",IF(Table2[[#This Row],[Age]]&gt;=25,"Mid Level", "Entry Level"))</f>
        <v>Entry Level</v>
      </c>
      <c r="H107" t="s">
        <v>26</v>
      </c>
      <c r="I107" t="s">
        <v>32</v>
      </c>
      <c r="J107" s="4">
        <v>45808</v>
      </c>
      <c r="K107" s="4" t="str">
        <f>TEXT(Table2[[#This Row],[Enrollment_date]],"Mmm")</f>
        <v>May</v>
      </c>
      <c r="L107" s="4" t="str">
        <f>TEXT(Table2[[#This Row],[Enrollment_date]],"Ddd")</f>
        <v>Sat</v>
      </c>
      <c r="M107" s="4" t="s">
        <v>34</v>
      </c>
      <c r="N107" t="s">
        <v>35</v>
      </c>
      <c r="O107" t="s">
        <v>38</v>
      </c>
      <c r="P107" s="8">
        <v>4</v>
      </c>
      <c r="Q107" s="6">
        <v>0.79166666666666663</v>
      </c>
      <c r="R107" s="6">
        <v>69.5</v>
      </c>
      <c r="S107" s="6" t="str">
        <f>IF(Table2[[#This Row],[Avg_score]]&gt;=79,"Distinction",IF(Table2[[#This Row],[Avg_score]]&gt;=60,"Pass","Fail"))</f>
        <v>Pass</v>
      </c>
      <c r="T107" t="s">
        <v>40</v>
      </c>
      <c r="U107">
        <f>IF(Table2[[#This Row],[Completed]]="Yes",1,0)</f>
        <v>0</v>
      </c>
      <c r="V107" t="s">
        <v>40</v>
      </c>
      <c r="W107" t="s">
        <v>40</v>
      </c>
      <c r="X107" s="4">
        <v>45838</v>
      </c>
    </row>
    <row r="108" spans="1:24" x14ac:dyDescent="0.3">
      <c r="A108">
        <v>107</v>
      </c>
      <c r="B108" s="8">
        <v>36</v>
      </c>
      <c r="C108">
        <v>2</v>
      </c>
      <c r="D108" t="s">
        <v>19</v>
      </c>
      <c r="E108" t="s">
        <v>23</v>
      </c>
      <c r="F108">
        <v>18</v>
      </c>
      <c r="G108" t="str">
        <f>IF(Table2[[#This Row],[Age]]&gt;=30,"Experienced",IF(Table2[[#This Row],[Age]]&gt;=25,"Mid Level", "Entry Level"))</f>
        <v>Entry Level</v>
      </c>
      <c r="H108" t="s">
        <v>26</v>
      </c>
      <c r="I108" t="s">
        <v>32</v>
      </c>
      <c r="J108" s="4">
        <v>45808</v>
      </c>
      <c r="K108" s="4" t="str">
        <f>TEXT(Table2[[#This Row],[Enrollment_date]],"Mmm")</f>
        <v>May</v>
      </c>
      <c r="L108" s="4" t="str">
        <f>TEXT(Table2[[#This Row],[Enrollment_date]],"Ddd")</f>
        <v>Sat</v>
      </c>
      <c r="M108" s="4" t="s">
        <v>34</v>
      </c>
      <c r="N108" t="s">
        <v>36</v>
      </c>
      <c r="O108" t="s">
        <v>38</v>
      </c>
      <c r="P108" s="8">
        <v>4</v>
      </c>
      <c r="Q108" s="6">
        <v>0.8125</v>
      </c>
      <c r="R108" s="6">
        <v>63.5</v>
      </c>
      <c r="S108" s="6" t="str">
        <f>IF(Table2[[#This Row],[Avg_score]]&gt;=79,"Distinction",IF(Table2[[#This Row],[Avg_score]]&gt;=60,"Pass","Fail"))</f>
        <v>Pass</v>
      </c>
      <c r="T108" t="s">
        <v>40</v>
      </c>
      <c r="U108">
        <f>IF(Table2[[#This Row],[Completed]]="Yes",1,0)</f>
        <v>0</v>
      </c>
      <c r="V108" t="s">
        <v>40</v>
      </c>
      <c r="W108" t="s">
        <v>40</v>
      </c>
      <c r="X108" s="4">
        <v>45838</v>
      </c>
    </row>
    <row r="109" spans="1:24" x14ac:dyDescent="0.3">
      <c r="A109">
        <v>108</v>
      </c>
      <c r="B109" s="8">
        <v>36</v>
      </c>
      <c r="C109">
        <v>3</v>
      </c>
      <c r="D109" t="s">
        <v>19</v>
      </c>
      <c r="E109" t="s">
        <v>23</v>
      </c>
      <c r="F109">
        <v>18</v>
      </c>
      <c r="G109" t="str">
        <f>IF(Table2[[#This Row],[Age]]&gt;=30,"Experienced",IF(Table2[[#This Row],[Age]]&gt;=25,"Mid Level", "Entry Level"))</f>
        <v>Entry Level</v>
      </c>
      <c r="H109" t="s">
        <v>26</v>
      </c>
      <c r="I109" t="s">
        <v>32</v>
      </c>
      <c r="J109" s="4">
        <v>45808</v>
      </c>
      <c r="K109" s="4" t="str">
        <f>TEXT(Table2[[#This Row],[Enrollment_date]],"Mmm")</f>
        <v>May</v>
      </c>
      <c r="L109" s="4" t="str">
        <f>TEXT(Table2[[#This Row],[Enrollment_date]],"Ddd")</f>
        <v>Sat</v>
      </c>
      <c r="M109" s="4" t="s">
        <v>34</v>
      </c>
      <c r="N109" t="s">
        <v>37</v>
      </c>
      <c r="O109" t="s">
        <v>38</v>
      </c>
      <c r="P109" s="8">
        <v>4</v>
      </c>
      <c r="Q109" s="6">
        <v>0.8125</v>
      </c>
      <c r="R109" s="6">
        <v>60</v>
      </c>
      <c r="S109" s="6" t="str">
        <f>IF(Table2[[#This Row],[Avg_score]]&gt;=79,"Distinction",IF(Table2[[#This Row],[Avg_score]]&gt;=60,"Pass","Fail"))</f>
        <v>Pass</v>
      </c>
      <c r="T109" t="s">
        <v>40</v>
      </c>
      <c r="U109">
        <f>IF(Table2[[#This Row],[Completed]]="Yes",1,0)</f>
        <v>0</v>
      </c>
      <c r="V109" t="s">
        <v>40</v>
      </c>
      <c r="W109" t="s">
        <v>40</v>
      </c>
      <c r="X109" s="4">
        <v>45838</v>
      </c>
    </row>
    <row r="110" spans="1:24" x14ac:dyDescent="0.3">
      <c r="A110">
        <v>109</v>
      </c>
      <c r="B110" s="8">
        <v>37</v>
      </c>
      <c r="C110">
        <v>1</v>
      </c>
      <c r="D110" t="s">
        <v>19</v>
      </c>
      <c r="E110" t="s">
        <v>22</v>
      </c>
      <c r="F110">
        <v>18</v>
      </c>
      <c r="G110" t="str">
        <f>IF(Table2[[#This Row],[Age]]&gt;=30,"Experienced",IF(Table2[[#This Row],[Age]]&gt;=25,"Mid Level", "Entry Level"))</f>
        <v>Entry Level</v>
      </c>
      <c r="H110" t="s">
        <v>25</v>
      </c>
      <c r="I110" t="s">
        <v>68</v>
      </c>
      <c r="J110" s="4">
        <v>45716</v>
      </c>
      <c r="K110" s="4" t="str">
        <f>TEXT(Table2[[#This Row],[Enrollment_date]],"Mmm")</f>
        <v>Feb</v>
      </c>
      <c r="L110" s="4" t="str">
        <f>TEXT(Table2[[#This Row],[Enrollment_date]],"Ddd")</f>
        <v>Fri</v>
      </c>
      <c r="M110" s="4" t="s">
        <v>34</v>
      </c>
      <c r="N110" t="s">
        <v>35</v>
      </c>
      <c r="O110" t="s">
        <v>38</v>
      </c>
      <c r="P110" s="8">
        <v>4</v>
      </c>
      <c r="Q110" s="6">
        <v>0.77083333333333337</v>
      </c>
      <c r="R110" s="6">
        <v>81.5</v>
      </c>
      <c r="S110" s="6" t="str">
        <f>IF(Table2[[#This Row],[Avg_score]]&gt;=79,"Distinction",IF(Table2[[#This Row],[Avg_score]]&gt;=60,"Pass","Fail"))</f>
        <v>Distinction</v>
      </c>
      <c r="T110" t="s">
        <v>39</v>
      </c>
      <c r="U110">
        <f>IF(Table2[[#This Row],[Completed]]="Yes",1,0)</f>
        <v>1</v>
      </c>
      <c r="V110" t="s">
        <v>39</v>
      </c>
      <c r="W110" t="s">
        <v>40</v>
      </c>
      <c r="X110" s="4">
        <v>45838</v>
      </c>
    </row>
    <row r="111" spans="1:24" x14ac:dyDescent="0.3">
      <c r="A111">
        <v>110</v>
      </c>
      <c r="B111" s="8">
        <v>37</v>
      </c>
      <c r="C111">
        <v>2</v>
      </c>
      <c r="D111" t="s">
        <v>19</v>
      </c>
      <c r="E111" t="s">
        <v>22</v>
      </c>
      <c r="F111">
        <v>18</v>
      </c>
      <c r="G111" t="str">
        <f>IF(Table2[[#This Row],[Age]]&gt;=30,"Experienced",IF(Table2[[#This Row],[Age]]&gt;=25,"Mid Level", "Entry Level"))</f>
        <v>Entry Level</v>
      </c>
      <c r="H111" t="s">
        <v>25</v>
      </c>
      <c r="I111" t="s">
        <v>68</v>
      </c>
      <c r="J111" s="4">
        <v>45716</v>
      </c>
      <c r="K111" s="4" t="str">
        <f>TEXT(Table2[[#This Row],[Enrollment_date]],"Mmm")</f>
        <v>Feb</v>
      </c>
      <c r="L111" s="4" t="str">
        <f>TEXT(Table2[[#This Row],[Enrollment_date]],"Ddd")</f>
        <v>Fri</v>
      </c>
      <c r="M111" s="4" t="s">
        <v>34</v>
      </c>
      <c r="N111" t="s">
        <v>36</v>
      </c>
      <c r="O111" t="s">
        <v>38</v>
      </c>
      <c r="P111" s="8">
        <v>4</v>
      </c>
      <c r="Q111" s="6">
        <v>0.79166666666666663</v>
      </c>
      <c r="R111" s="6">
        <v>77</v>
      </c>
      <c r="S111" s="6" t="str">
        <f>IF(Table2[[#This Row],[Avg_score]]&gt;=79,"Distinction",IF(Table2[[#This Row],[Avg_score]]&gt;=60,"Pass","Fail"))</f>
        <v>Pass</v>
      </c>
      <c r="T111" t="s">
        <v>39</v>
      </c>
      <c r="U111">
        <f>IF(Table2[[#This Row],[Completed]]="Yes",1,0)</f>
        <v>1</v>
      </c>
      <c r="V111" t="s">
        <v>39</v>
      </c>
      <c r="W111" t="s">
        <v>40</v>
      </c>
      <c r="X111" s="4">
        <v>45838</v>
      </c>
    </row>
    <row r="112" spans="1:24" x14ac:dyDescent="0.3">
      <c r="A112">
        <v>111</v>
      </c>
      <c r="B112" s="8">
        <v>37</v>
      </c>
      <c r="C112">
        <v>3</v>
      </c>
      <c r="D112" t="s">
        <v>20</v>
      </c>
      <c r="E112" t="s">
        <v>22</v>
      </c>
      <c r="F112">
        <v>18</v>
      </c>
      <c r="G112" t="str">
        <f>IF(Table2[[#This Row],[Age]]&gt;=30,"Experienced",IF(Table2[[#This Row],[Age]]&gt;=25,"Mid Level", "Entry Level"))</f>
        <v>Entry Level</v>
      </c>
      <c r="H112" t="s">
        <v>25</v>
      </c>
      <c r="I112" t="s">
        <v>68</v>
      </c>
      <c r="J112" s="4">
        <v>45716</v>
      </c>
      <c r="K112" s="4" t="str">
        <f>TEXT(Table2[[#This Row],[Enrollment_date]],"Mmm")</f>
        <v>Feb</v>
      </c>
      <c r="L112" s="4" t="str">
        <f>TEXT(Table2[[#This Row],[Enrollment_date]],"Ddd")</f>
        <v>Fri</v>
      </c>
      <c r="M112" s="4" t="s">
        <v>34</v>
      </c>
      <c r="N112" t="s">
        <v>37</v>
      </c>
      <c r="O112" t="s">
        <v>38</v>
      </c>
      <c r="P112" s="8">
        <v>4</v>
      </c>
      <c r="Q112" s="6">
        <v>0.9375</v>
      </c>
      <c r="R112" s="6">
        <v>70.5</v>
      </c>
      <c r="S112" s="6" t="str">
        <f>IF(Table2[[#This Row],[Avg_score]]&gt;=79,"Distinction",IF(Table2[[#This Row],[Avg_score]]&gt;=60,"Pass","Fail"))</f>
        <v>Pass</v>
      </c>
      <c r="T112" t="s">
        <v>39</v>
      </c>
      <c r="U112">
        <f>IF(Table2[[#This Row],[Completed]]="Yes",1,0)</f>
        <v>1</v>
      </c>
      <c r="V112" t="s">
        <v>39</v>
      </c>
      <c r="W112" t="s">
        <v>40</v>
      </c>
      <c r="X112" s="4">
        <v>45838</v>
      </c>
    </row>
    <row r="113" spans="1:24" x14ac:dyDescent="0.3">
      <c r="A113">
        <v>112</v>
      </c>
      <c r="B113" s="8">
        <v>38</v>
      </c>
      <c r="C113">
        <v>1</v>
      </c>
      <c r="D113" t="s">
        <v>21</v>
      </c>
      <c r="E113" t="s">
        <v>22</v>
      </c>
      <c r="F113">
        <v>19</v>
      </c>
      <c r="G113" t="str">
        <f>IF(Table2[[#This Row],[Age]]&gt;=30,"Experienced",IF(Table2[[#This Row],[Age]]&gt;=25,"Mid Level", "Entry Level"))</f>
        <v>Entry Level</v>
      </c>
      <c r="H113" t="s">
        <v>29</v>
      </c>
      <c r="I113" t="s">
        <v>68</v>
      </c>
      <c r="J113" s="4">
        <v>45789</v>
      </c>
      <c r="K113" s="4" t="str">
        <f>TEXT(Table2[[#This Row],[Enrollment_date]],"Mmm")</f>
        <v>May</v>
      </c>
      <c r="L113" s="4" t="str">
        <f>TEXT(Table2[[#This Row],[Enrollment_date]],"Ddd")</f>
        <v>Mon</v>
      </c>
      <c r="M113" s="4" t="s">
        <v>34</v>
      </c>
      <c r="N113" t="s">
        <v>35</v>
      </c>
      <c r="O113" t="s">
        <v>38</v>
      </c>
      <c r="P113" s="8">
        <v>4</v>
      </c>
      <c r="Q113" s="6">
        <v>0.8125</v>
      </c>
      <c r="R113" s="6">
        <v>52</v>
      </c>
      <c r="S113" s="6" t="str">
        <f>IF(Table2[[#This Row],[Avg_score]]&gt;=79,"Distinction",IF(Table2[[#This Row],[Avg_score]]&gt;=60,"Pass","Fail"))</f>
        <v>Fail</v>
      </c>
      <c r="T113" t="s">
        <v>39</v>
      </c>
      <c r="U113">
        <f>IF(Table2[[#This Row],[Completed]]="Yes",1,0)</f>
        <v>1</v>
      </c>
      <c r="V113" t="s">
        <v>39</v>
      </c>
      <c r="W113" t="s">
        <v>40</v>
      </c>
      <c r="X113" s="4">
        <v>45838</v>
      </c>
    </row>
    <row r="114" spans="1:24" x14ac:dyDescent="0.3">
      <c r="A114">
        <v>113</v>
      </c>
      <c r="B114" s="8">
        <v>38</v>
      </c>
      <c r="C114">
        <v>2</v>
      </c>
      <c r="D114" t="s">
        <v>19</v>
      </c>
      <c r="E114" t="s">
        <v>22</v>
      </c>
      <c r="F114">
        <v>19</v>
      </c>
      <c r="G114" t="str">
        <f>IF(Table2[[#This Row],[Age]]&gt;=30,"Experienced",IF(Table2[[#This Row],[Age]]&gt;=25,"Mid Level", "Entry Level"))</f>
        <v>Entry Level</v>
      </c>
      <c r="H114" t="s">
        <v>29</v>
      </c>
      <c r="I114" t="s">
        <v>68</v>
      </c>
      <c r="J114" s="4">
        <v>45789</v>
      </c>
      <c r="K114" s="4" t="str">
        <f>TEXT(Table2[[#This Row],[Enrollment_date]],"Mmm")</f>
        <v>May</v>
      </c>
      <c r="L114" s="4" t="str">
        <f>TEXT(Table2[[#This Row],[Enrollment_date]],"Ddd")</f>
        <v>Mon</v>
      </c>
      <c r="M114" s="4" t="s">
        <v>34</v>
      </c>
      <c r="N114" t="s">
        <v>36</v>
      </c>
      <c r="O114" t="s">
        <v>38</v>
      </c>
      <c r="P114" s="8">
        <v>4</v>
      </c>
      <c r="Q114" s="6">
        <v>0.8125</v>
      </c>
      <c r="R114" s="6">
        <v>81.5</v>
      </c>
      <c r="S114" s="6" t="str">
        <f>IF(Table2[[#This Row],[Avg_score]]&gt;=79,"Distinction",IF(Table2[[#This Row],[Avg_score]]&gt;=60,"Pass","Fail"))</f>
        <v>Distinction</v>
      </c>
      <c r="T114" t="s">
        <v>39</v>
      </c>
      <c r="U114">
        <f>IF(Table2[[#This Row],[Completed]]="Yes",1,0)</f>
        <v>1</v>
      </c>
      <c r="V114" t="s">
        <v>39</v>
      </c>
      <c r="W114" t="s">
        <v>40</v>
      </c>
      <c r="X114" s="4">
        <v>45838</v>
      </c>
    </row>
    <row r="115" spans="1:24" x14ac:dyDescent="0.3">
      <c r="A115">
        <v>114</v>
      </c>
      <c r="B115" s="8">
        <v>38</v>
      </c>
      <c r="C115">
        <v>3</v>
      </c>
      <c r="D115" t="s">
        <v>19</v>
      </c>
      <c r="E115" t="s">
        <v>22</v>
      </c>
      <c r="F115">
        <v>19</v>
      </c>
      <c r="G115" t="str">
        <f>IF(Table2[[#This Row],[Age]]&gt;=30,"Experienced",IF(Table2[[#This Row],[Age]]&gt;=25,"Mid Level", "Entry Level"))</f>
        <v>Entry Level</v>
      </c>
      <c r="H115" t="s">
        <v>29</v>
      </c>
      <c r="I115" t="s">
        <v>68</v>
      </c>
      <c r="J115" s="4">
        <v>45789</v>
      </c>
      <c r="K115" s="4" t="str">
        <f>TEXT(Table2[[#This Row],[Enrollment_date]],"Mmm")</f>
        <v>May</v>
      </c>
      <c r="L115" s="4" t="str">
        <f>TEXT(Table2[[#This Row],[Enrollment_date]],"Ddd")</f>
        <v>Mon</v>
      </c>
      <c r="M115" s="4" t="s">
        <v>34</v>
      </c>
      <c r="N115" t="s">
        <v>37</v>
      </c>
      <c r="O115" t="s">
        <v>38</v>
      </c>
      <c r="P115" s="8">
        <v>4</v>
      </c>
      <c r="Q115" s="6">
        <v>0.77083333333333337</v>
      </c>
      <c r="R115" s="6">
        <v>79</v>
      </c>
      <c r="S115" s="6" t="str">
        <f>IF(Table2[[#This Row],[Avg_score]]&gt;=79,"Distinction",IF(Table2[[#This Row],[Avg_score]]&gt;=60,"Pass","Fail"))</f>
        <v>Distinction</v>
      </c>
      <c r="T115" t="s">
        <v>39</v>
      </c>
      <c r="U115">
        <f>IF(Table2[[#This Row],[Completed]]="Yes",1,0)</f>
        <v>1</v>
      </c>
      <c r="V115" t="s">
        <v>39</v>
      </c>
      <c r="W115" t="s">
        <v>40</v>
      </c>
      <c r="X115" s="4">
        <v>45838</v>
      </c>
    </row>
    <row r="116" spans="1:24" x14ac:dyDescent="0.3">
      <c r="A116">
        <v>115</v>
      </c>
      <c r="B116" s="8">
        <v>39</v>
      </c>
      <c r="C116">
        <v>1</v>
      </c>
      <c r="D116" t="s">
        <v>20</v>
      </c>
      <c r="E116" t="s">
        <v>22</v>
      </c>
      <c r="F116">
        <v>26</v>
      </c>
      <c r="G116" t="str">
        <f>IF(Table2[[#This Row],[Age]]&gt;=30,"Experienced",IF(Table2[[#This Row],[Age]]&gt;=25,"Mid Level", "Entry Level"))</f>
        <v>Mid Level</v>
      </c>
      <c r="H116" t="s">
        <v>24</v>
      </c>
      <c r="I116" t="s">
        <v>44</v>
      </c>
      <c r="J116" s="4">
        <v>45712</v>
      </c>
      <c r="K116" s="4" t="str">
        <f>TEXT(Table2[[#This Row],[Enrollment_date]],"Mmm")</f>
        <v>Feb</v>
      </c>
      <c r="L116" s="4" t="str">
        <f>TEXT(Table2[[#This Row],[Enrollment_date]],"Ddd")</f>
        <v>Mon</v>
      </c>
      <c r="M116" s="4" t="s">
        <v>34</v>
      </c>
      <c r="N116" t="s">
        <v>35</v>
      </c>
      <c r="O116" t="s">
        <v>38</v>
      </c>
      <c r="P116" s="8">
        <v>4</v>
      </c>
      <c r="Q116" s="6">
        <v>0.8125</v>
      </c>
      <c r="R116" s="6">
        <v>59</v>
      </c>
      <c r="S116" s="6" t="str">
        <f>IF(Table2[[#This Row],[Avg_score]]&gt;=79,"Distinction",IF(Table2[[#This Row],[Avg_score]]&gt;=60,"Pass","Fail"))</f>
        <v>Fail</v>
      </c>
      <c r="T116" t="s">
        <v>39</v>
      </c>
      <c r="U116">
        <f>IF(Table2[[#This Row],[Completed]]="Yes",1,0)</f>
        <v>1</v>
      </c>
      <c r="V116" t="s">
        <v>40</v>
      </c>
      <c r="W116" t="s">
        <v>40</v>
      </c>
      <c r="X116" s="4">
        <v>45838</v>
      </c>
    </row>
    <row r="117" spans="1:24" x14ac:dyDescent="0.3">
      <c r="A117">
        <v>116</v>
      </c>
      <c r="B117" s="8">
        <v>39</v>
      </c>
      <c r="C117">
        <v>2</v>
      </c>
      <c r="D117" t="s">
        <v>19</v>
      </c>
      <c r="E117" t="s">
        <v>22</v>
      </c>
      <c r="F117">
        <v>26</v>
      </c>
      <c r="G117" t="str">
        <f>IF(Table2[[#This Row],[Age]]&gt;=30,"Experienced",IF(Table2[[#This Row],[Age]]&gt;=25,"Mid Level", "Entry Level"))</f>
        <v>Mid Level</v>
      </c>
      <c r="H117" t="s">
        <v>24</v>
      </c>
      <c r="I117" t="s">
        <v>44</v>
      </c>
      <c r="J117" s="4">
        <v>45712</v>
      </c>
      <c r="K117" s="4" t="str">
        <f>TEXT(Table2[[#This Row],[Enrollment_date]],"Mmm")</f>
        <v>Feb</v>
      </c>
      <c r="L117" s="4" t="str">
        <f>TEXT(Table2[[#This Row],[Enrollment_date]],"Ddd")</f>
        <v>Mon</v>
      </c>
      <c r="M117" s="4" t="s">
        <v>34</v>
      </c>
      <c r="N117" t="s">
        <v>36</v>
      </c>
      <c r="O117" t="s">
        <v>38</v>
      </c>
      <c r="P117" s="8">
        <v>4</v>
      </c>
      <c r="Q117" s="6">
        <v>0.89583333333333337</v>
      </c>
      <c r="R117" s="6">
        <v>80</v>
      </c>
      <c r="S117" s="6" t="str">
        <f>IF(Table2[[#This Row],[Avg_score]]&gt;=79,"Distinction",IF(Table2[[#This Row],[Avg_score]]&gt;=60,"Pass","Fail"))</f>
        <v>Distinction</v>
      </c>
      <c r="T117" t="s">
        <v>39</v>
      </c>
      <c r="U117">
        <f>IF(Table2[[#This Row],[Completed]]="Yes",1,0)</f>
        <v>1</v>
      </c>
      <c r="V117" t="s">
        <v>40</v>
      </c>
      <c r="W117" t="s">
        <v>40</v>
      </c>
      <c r="X117" s="4">
        <v>45838</v>
      </c>
    </row>
    <row r="118" spans="1:24" x14ac:dyDescent="0.3">
      <c r="A118">
        <v>117</v>
      </c>
      <c r="B118" s="8">
        <v>39</v>
      </c>
      <c r="C118">
        <v>3</v>
      </c>
      <c r="D118" t="s">
        <v>19</v>
      </c>
      <c r="E118" t="s">
        <v>22</v>
      </c>
      <c r="F118">
        <v>26</v>
      </c>
      <c r="G118" t="str">
        <f>IF(Table2[[#This Row],[Age]]&gt;=30,"Experienced",IF(Table2[[#This Row],[Age]]&gt;=25,"Mid Level", "Entry Level"))</f>
        <v>Mid Level</v>
      </c>
      <c r="H118" t="s">
        <v>24</v>
      </c>
      <c r="I118" t="s">
        <v>44</v>
      </c>
      <c r="J118" s="4">
        <v>45712</v>
      </c>
      <c r="K118" s="4" t="str">
        <f>TEXT(Table2[[#This Row],[Enrollment_date]],"Mmm")</f>
        <v>Feb</v>
      </c>
      <c r="L118" s="4" t="str">
        <f>TEXT(Table2[[#This Row],[Enrollment_date]],"Ddd")</f>
        <v>Mon</v>
      </c>
      <c r="M118" s="4" t="s">
        <v>34</v>
      </c>
      <c r="N118" t="s">
        <v>37</v>
      </c>
      <c r="O118" t="s">
        <v>38</v>
      </c>
      <c r="P118" s="8">
        <v>4</v>
      </c>
      <c r="Q118" s="6">
        <v>0.83333333333333337</v>
      </c>
      <c r="R118" s="6">
        <v>63.5</v>
      </c>
      <c r="S118" s="6" t="str">
        <f>IF(Table2[[#This Row],[Avg_score]]&gt;=79,"Distinction",IF(Table2[[#This Row],[Avg_score]]&gt;=60,"Pass","Fail"))</f>
        <v>Pass</v>
      </c>
      <c r="T118" t="s">
        <v>39</v>
      </c>
      <c r="U118">
        <f>IF(Table2[[#This Row],[Completed]]="Yes",1,0)</f>
        <v>1</v>
      </c>
      <c r="V118" t="s">
        <v>40</v>
      </c>
      <c r="W118" t="s">
        <v>40</v>
      </c>
      <c r="X118" s="4">
        <v>45838</v>
      </c>
    </row>
    <row r="119" spans="1:24" x14ac:dyDescent="0.3">
      <c r="A119">
        <v>118</v>
      </c>
      <c r="B119" s="8">
        <v>40</v>
      </c>
      <c r="C119">
        <v>1</v>
      </c>
      <c r="D119" t="s">
        <v>19</v>
      </c>
      <c r="E119" t="s">
        <v>22</v>
      </c>
      <c r="F119">
        <v>33</v>
      </c>
      <c r="G119" t="str">
        <f>IF(Table2[[#This Row],[Age]]&gt;=30,"Experienced",IF(Table2[[#This Row],[Age]]&gt;=25,"Mid Level", "Entry Level"))</f>
        <v>Experienced</v>
      </c>
      <c r="H119" t="s">
        <v>28</v>
      </c>
      <c r="I119" t="s">
        <v>44</v>
      </c>
      <c r="J119" s="4">
        <v>45762</v>
      </c>
      <c r="K119" s="4" t="str">
        <f>TEXT(Table2[[#This Row],[Enrollment_date]],"Mmm")</f>
        <v>Apr</v>
      </c>
      <c r="L119" s="4" t="str">
        <f>TEXT(Table2[[#This Row],[Enrollment_date]],"Ddd")</f>
        <v>Tue</v>
      </c>
      <c r="M119" s="4" t="s">
        <v>34</v>
      </c>
      <c r="N119" t="s">
        <v>35</v>
      </c>
      <c r="O119" t="s">
        <v>38</v>
      </c>
      <c r="P119" s="8">
        <v>4</v>
      </c>
      <c r="Q119" s="6">
        <v>0.875</v>
      </c>
      <c r="R119" s="6">
        <v>69.5</v>
      </c>
      <c r="S119" s="6" t="str">
        <f>IF(Table2[[#This Row],[Avg_score]]&gt;=79,"Distinction",IF(Table2[[#This Row],[Avg_score]]&gt;=60,"Pass","Fail"))</f>
        <v>Pass</v>
      </c>
      <c r="T119" t="s">
        <v>39</v>
      </c>
      <c r="U119">
        <f>IF(Table2[[#This Row],[Completed]]="Yes",1,0)</f>
        <v>1</v>
      </c>
      <c r="V119" t="s">
        <v>39</v>
      </c>
      <c r="W119" t="s">
        <v>40</v>
      </c>
      <c r="X119" s="4">
        <v>45838</v>
      </c>
    </row>
    <row r="120" spans="1:24" x14ac:dyDescent="0.3">
      <c r="A120">
        <v>119</v>
      </c>
      <c r="B120" s="8">
        <v>40</v>
      </c>
      <c r="C120">
        <v>2</v>
      </c>
      <c r="D120" t="s">
        <v>19</v>
      </c>
      <c r="E120" t="s">
        <v>22</v>
      </c>
      <c r="F120">
        <v>33</v>
      </c>
      <c r="G120" t="str">
        <f>IF(Table2[[#This Row],[Age]]&gt;=30,"Experienced",IF(Table2[[#This Row],[Age]]&gt;=25,"Mid Level", "Entry Level"))</f>
        <v>Experienced</v>
      </c>
      <c r="H120" t="s">
        <v>28</v>
      </c>
      <c r="I120" t="s">
        <v>44</v>
      </c>
      <c r="J120" s="4">
        <v>45762</v>
      </c>
      <c r="K120" s="4" t="str">
        <f>TEXT(Table2[[#This Row],[Enrollment_date]],"Mmm")</f>
        <v>Apr</v>
      </c>
      <c r="L120" s="4" t="str">
        <f>TEXT(Table2[[#This Row],[Enrollment_date]],"Ddd")</f>
        <v>Tue</v>
      </c>
      <c r="M120" s="4" t="s">
        <v>34</v>
      </c>
      <c r="N120" t="s">
        <v>36</v>
      </c>
      <c r="O120" t="s">
        <v>38</v>
      </c>
      <c r="P120" s="8">
        <v>4</v>
      </c>
      <c r="Q120" s="6">
        <v>0.77083333333333337</v>
      </c>
      <c r="R120" s="6">
        <v>84</v>
      </c>
      <c r="S120" s="6" t="str">
        <f>IF(Table2[[#This Row],[Avg_score]]&gt;=79,"Distinction",IF(Table2[[#This Row],[Avg_score]]&gt;=60,"Pass","Fail"))</f>
        <v>Distinction</v>
      </c>
      <c r="T120" t="s">
        <v>39</v>
      </c>
      <c r="U120">
        <f>IF(Table2[[#This Row],[Completed]]="Yes",1,0)</f>
        <v>1</v>
      </c>
      <c r="V120" t="s">
        <v>39</v>
      </c>
      <c r="W120" t="s">
        <v>40</v>
      </c>
      <c r="X120" s="4">
        <v>45838</v>
      </c>
    </row>
    <row r="121" spans="1:24" x14ac:dyDescent="0.3">
      <c r="A121">
        <v>120</v>
      </c>
      <c r="B121" s="8">
        <v>40</v>
      </c>
      <c r="C121">
        <v>3</v>
      </c>
      <c r="D121" t="s">
        <v>19</v>
      </c>
      <c r="E121" t="s">
        <v>22</v>
      </c>
      <c r="F121">
        <v>33</v>
      </c>
      <c r="G121" t="str">
        <f>IF(Table2[[#This Row],[Age]]&gt;=30,"Experienced",IF(Table2[[#This Row],[Age]]&gt;=25,"Mid Level", "Entry Level"))</f>
        <v>Experienced</v>
      </c>
      <c r="H121" t="s">
        <v>28</v>
      </c>
      <c r="I121" t="s">
        <v>44</v>
      </c>
      <c r="J121" s="4">
        <v>45762</v>
      </c>
      <c r="K121" s="4" t="str">
        <f>TEXT(Table2[[#This Row],[Enrollment_date]],"Mmm")</f>
        <v>Apr</v>
      </c>
      <c r="L121" s="4" t="str">
        <f>TEXT(Table2[[#This Row],[Enrollment_date]],"Ddd")</f>
        <v>Tue</v>
      </c>
      <c r="M121" s="4" t="s">
        <v>34</v>
      </c>
      <c r="N121" t="s">
        <v>37</v>
      </c>
      <c r="O121" t="s">
        <v>38</v>
      </c>
      <c r="P121" s="8">
        <v>4</v>
      </c>
      <c r="Q121" s="6">
        <v>0.875</v>
      </c>
      <c r="R121" s="6">
        <v>69.5</v>
      </c>
      <c r="S121" s="6" t="str">
        <f>IF(Table2[[#This Row],[Avg_score]]&gt;=79,"Distinction",IF(Table2[[#This Row],[Avg_score]]&gt;=60,"Pass","Fail"))</f>
        <v>Pass</v>
      </c>
      <c r="T121" t="s">
        <v>39</v>
      </c>
      <c r="U121">
        <f>IF(Table2[[#This Row],[Completed]]="Yes",1,0)</f>
        <v>1</v>
      </c>
      <c r="V121" t="s">
        <v>39</v>
      </c>
      <c r="W121" t="s">
        <v>40</v>
      </c>
      <c r="X121" s="4">
        <v>45838</v>
      </c>
    </row>
    <row r="122" spans="1:24" x14ac:dyDescent="0.3">
      <c r="A122">
        <v>121</v>
      </c>
      <c r="B122" s="8">
        <v>41</v>
      </c>
      <c r="C122">
        <v>1</v>
      </c>
      <c r="D122" t="s">
        <v>21</v>
      </c>
      <c r="E122" t="s">
        <v>22</v>
      </c>
      <c r="F122">
        <v>21</v>
      </c>
      <c r="G122" t="str">
        <f>IF(Table2[[#This Row],[Age]]&gt;=30,"Experienced",IF(Table2[[#This Row],[Age]]&gt;=25,"Mid Level", "Entry Level"))</f>
        <v>Entry Level</v>
      </c>
      <c r="H122" t="s">
        <v>25</v>
      </c>
      <c r="I122" t="s">
        <v>44</v>
      </c>
      <c r="J122" s="4">
        <v>45748</v>
      </c>
      <c r="K122" s="4" t="str">
        <f>TEXT(Table2[[#This Row],[Enrollment_date]],"Mmm")</f>
        <v>Apr</v>
      </c>
      <c r="L122" s="4" t="str">
        <f>TEXT(Table2[[#This Row],[Enrollment_date]],"Ddd")</f>
        <v>Tue</v>
      </c>
      <c r="M122" s="4" t="s">
        <v>34</v>
      </c>
      <c r="N122" t="s">
        <v>35</v>
      </c>
      <c r="O122" t="s">
        <v>38</v>
      </c>
      <c r="P122" s="8">
        <v>4</v>
      </c>
      <c r="Q122" s="6">
        <v>0.875</v>
      </c>
      <c r="R122" s="6">
        <v>67</v>
      </c>
      <c r="S122" s="6" t="str">
        <f>IF(Table2[[#This Row],[Avg_score]]&gt;=79,"Distinction",IF(Table2[[#This Row],[Avg_score]]&gt;=60,"Pass","Fail"))</f>
        <v>Pass</v>
      </c>
      <c r="T122" t="s">
        <v>40</v>
      </c>
      <c r="U122">
        <f>IF(Table2[[#This Row],[Completed]]="Yes",1,0)</f>
        <v>0</v>
      </c>
      <c r="V122" t="s">
        <v>40</v>
      </c>
      <c r="W122" t="s">
        <v>40</v>
      </c>
      <c r="X122" s="4">
        <v>45838</v>
      </c>
    </row>
    <row r="123" spans="1:24" x14ac:dyDescent="0.3">
      <c r="A123">
        <v>122</v>
      </c>
      <c r="B123" s="8">
        <v>41</v>
      </c>
      <c r="C123">
        <v>2</v>
      </c>
      <c r="D123" t="s">
        <v>19</v>
      </c>
      <c r="E123" t="s">
        <v>22</v>
      </c>
      <c r="F123">
        <v>21</v>
      </c>
      <c r="G123" t="str">
        <f>IF(Table2[[#This Row],[Age]]&gt;=30,"Experienced",IF(Table2[[#This Row],[Age]]&gt;=25,"Mid Level", "Entry Level"))</f>
        <v>Entry Level</v>
      </c>
      <c r="H123" t="s">
        <v>25</v>
      </c>
      <c r="I123" t="s">
        <v>44</v>
      </c>
      <c r="J123" s="4">
        <v>45748</v>
      </c>
      <c r="K123" s="4" t="str">
        <f>TEXT(Table2[[#This Row],[Enrollment_date]],"Mmm")</f>
        <v>Apr</v>
      </c>
      <c r="L123" s="4" t="str">
        <f>TEXT(Table2[[#This Row],[Enrollment_date]],"Ddd")</f>
        <v>Tue</v>
      </c>
      <c r="M123" s="4" t="s">
        <v>34</v>
      </c>
      <c r="N123" t="s">
        <v>36</v>
      </c>
      <c r="O123" t="s">
        <v>38</v>
      </c>
      <c r="P123" s="8">
        <v>4</v>
      </c>
      <c r="Q123" s="6">
        <v>0.83333333333333337</v>
      </c>
      <c r="R123" s="6">
        <v>74</v>
      </c>
      <c r="S123" s="6" t="str">
        <f>IF(Table2[[#This Row],[Avg_score]]&gt;=79,"Distinction",IF(Table2[[#This Row],[Avg_score]]&gt;=60,"Pass","Fail"))</f>
        <v>Pass</v>
      </c>
      <c r="T123" t="s">
        <v>40</v>
      </c>
      <c r="U123">
        <f>IF(Table2[[#This Row],[Completed]]="Yes",1,0)</f>
        <v>0</v>
      </c>
      <c r="V123" t="s">
        <v>40</v>
      </c>
      <c r="W123" t="s">
        <v>40</v>
      </c>
      <c r="X123" s="4">
        <v>45838</v>
      </c>
    </row>
    <row r="124" spans="1:24" x14ac:dyDescent="0.3">
      <c r="A124">
        <v>123</v>
      </c>
      <c r="B124" s="8">
        <v>41</v>
      </c>
      <c r="C124">
        <v>3</v>
      </c>
      <c r="D124" t="s">
        <v>19</v>
      </c>
      <c r="E124" t="s">
        <v>22</v>
      </c>
      <c r="F124">
        <v>21</v>
      </c>
      <c r="G124" t="str">
        <f>IF(Table2[[#This Row],[Age]]&gt;=30,"Experienced",IF(Table2[[#This Row],[Age]]&gt;=25,"Mid Level", "Entry Level"))</f>
        <v>Entry Level</v>
      </c>
      <c r="H124" t="s">
        <v>25</v>
      </c>
      <c r="I124" t="s">
        <v>44</v>
      </c>
      <c r="J124" s="4">
        <v>45748</v>
      </c>
      <c r="K124" s="4" t="str">
        <f>TEXT(Table2[[#This Row],[Enrollment_date]],"Mmm")</f>
        <v>Apr</v>
      </c>
      <c r="L124" s="4" t="str">
        <f>TEXT(Table2[[#This Row],[Enrollment_date]],"Ddd")</f>
        <v>Tue</v>
      </c>
      <c r="M124" s="4" t="s">
        <v>34</v>
      </c>
      <c r="N124" t="s">
        <v>37</v>
      </c>
      <c r="O124" t="s">
        <v>38</v>
      </c>
      <c r="P124" s="8">
        <v>4</v>
      </c>
      <c r="Q124" s="6">
        <v>0.89583333333333337</v>
      </c>
      <c r="R124" s="6">
        <v>82</v>
      </c>
      <c r="S124" s="6" t="str">
        <f>IF(Table2[[#This Row],[Avg_score]]&gt;=79,"Distinction",IF(Table2[[#This Row],[Avg_score]]&gt;=60,"Pass","Fail"))</f>
        <v>Distinction</v>
      </c>
      <c r="T124" t="s">
        <v>40</v>
      </c>
      <c r="U124">
        <f>IF(Table2[[#This Row],[Completed]]="Yes",1,0)</f>
        <v>0</v>
      </c>
      <c r="V124" t="s">
        <v>40</v>
      </c>
      <c r="W124" t="s">
        <v>40</v>
      </c>
      <c r="X124" s="4">
        <v>45838</v>
      </c>
    </row>
    <row r="125" spans="1:24" x14ac:dyDescent="0.3">
      <c r="A125">
        <v>124</v>
      </c>
      <c r="B125" s="8">
        <v>42</v>
      </c>
      <c r="C125">
        <v>1</v>
      </c>
      <c r="D125" t="s">
        <v>19</v>
      </c>
      <c r="E125" t="s">
        <v>23</v>
      </c>
      <c r="F125">
        <v>31</v>
      </c>
      <c r="G125" t="str">
        <f>IF(Table2[[#This Row],[Age]]&gt;=30,"Experienced",IF(Table2[[#This Row],[Age]]&gt;=25,"Mid Level", "Entry Level"))</f>
        <v>Experienced</v>
      </c>
      <c r="H125" t="s">
        <v>27</v>
      </c>
      <c r="I125" t="s">
        <v>68</v>
      </c>
      <c r="J125" s="4">
        <v>45683</v>
      </c>
      <c r="K125" s="4" t="str">
        <f>TEXT(Table2[[#This Row],[Enrollment_date]],"Mmm")</f>
        <v>Jan</v>
      </c>
      <c r="L125" s="4" t="str">
        <f>TEXT(Table2[[#This Row],[Enrollment_date]],"Ddd")</f>
        <v>Sun</v>
      </c>
      <c r="M125" s="4" t="s">
        <v>34</v>
      </c>
      <c r="N125" t="s">
        <v>35</v>
      </c>
      <c r="O125" t="s">
        <v>38</v>
      </c>
      <c r="P125" s="8">
        <v>4</v>
      </c>
      <c r="Q125" s="6">
        <v>0.75</v>
      </c>
      <c r="R125" s="6">
        <v>66</v>
      </c>
      <c r="S125" s="6" t="str">
        <f>IF(Table2[[#This Row],[Avg_score]]&gt;=79,"Distinction",IF(Table2[[#This Row],[Avg_score]]&gt;=60,"Pass","Fail"))</f>
        <v>Pass</v>
      </c>
      <c r="T125" t="s">
        <v>39</v>
      </c>
      <c r="U125">
        <f>IF(Table2[[#This Row],[Completed]]="Yes",1,0)</f>
        <v>1</v>
      </c>
      <c r="V125" t="s">
        <v>39</v>
      </c>
      <c r="W125" t="s">
        <v>40</v>
      </c>
      <c r="X125" s="4">
        <v>45838</v>
      </c>
    </row>
    <row r="126" spans="1:24" x14ac:dyDescent="0.3">
      <c r="A126">
        <v>125</v>
      </c>
      <c r="B126" s="8">
        <v>42</v>
      </c>
      <c r="C126">
        <v>2</v>
      </c>
      <c r="D126" t="s">
        <v>19</v>
      </c>
      <c r="E126" t="s">
        <v>23</v>
      </c>
      <c r="F126">
        <v>31</v>
      </c>
      <c r="G126" t="str">
        <f>IF(Table2[[#This Row],[Age]]&gt;=30,"Experienced",IF(Table2[[#This Row],[Age]]&gt;=25,"Mid Level", "Entry Level"))</f>
        <v>Experienced</v>
      </c>
      <c r="H126" t="s">
        <v>27</v>
      </c>
      <c r="I126" t="s">
        <v>68</v>
      </c>
      <c r="J126" s="4">
        <v>45683</v>
      </c>
      <c r="K126" s="4" t="str">
        <f>TEXT(Table2[[#This Row],[Enrollment_date]],"Mmm")</f>
        <v>Jan</v>
      </c>
      <c r="L126" s="4" t="str">
        <f>TEXT(Table2[[#This Row],[Enrollment_date]],"Ddd")</f>
        <v>Sun</v>
      </c>
      <c r="M126" s="4" t="s">
        <v>34</v>
      </c>
      <c r="N126" t="s">
        <v>36</v>
      </c>
      <c r="O126" t="s">
        <v>38</v>
      </c>
      <c r="P126" s="8">
        <v>4</v>
      </c>
      <c r="Q126" s="6">
        <v>0.83333333333333337</v>
      </c>
      <c r="R126" s="6">
        <v>74.5</v>
      </c>
      <c r="S126" s="6" t="str">
        <f>IF(Table2[[#This Row],[Avg_score]]&gt;=79,"Distinction",IF(Table2[[#This Row],[Avg_score]]&gt;=60,"Pass","Fail"))</f>
        <v>Pass</v>
      </c>
      <c r="T126" t="s">
        <v>39</v>
      </c>
      <c r="U126">
        <f>IF(Table2[[#This Row],[Completed]]="Yes",1,0)</f>
        <v>1</v>
      </c>
      <c r="V126" t="s">
        <v>39</v>
      </c>
      <c r="W126" t="s">
        <v>40</v>
      </c>
      <c r="X126" s="4">
        <v>45838</v>
      </c>
    </row>
    <row r="127" spans="1:24" x14ac:dyDescent="0.3">
      <c r="A127">
        <v>126</v>
      </c>
      <c r="B127" s="8">
        <v>42</v>
      </c>
      <c r="C127">
        <v>3</v>
      </c>
      <c r="D127" t="s">
        <v>19</v>
      </c>
      <c r="E127" t="s">
        <v>23</v>
      </c>
      <c r="F127">
        <v>31</v>
      </c>
      <c r="G127" t="str">
        <f>IF(Table2[[#This Row],[Age]]&gt;=30,"Experienced",IF(Table2[[#This Row],[Age]]&gt;=25,"Mid Level", "Entry Level"))</f>
        <v>Experienced</v>
      </c>
      <c r="H127" t="s">
        <v>27</v>
      </c>
      <c r="I127" t="s">
        <v>68</v>
      </c>
      <c r="J127" s="4">
        <v>45683</v>
      </c>
      <c r="K127" s="4" t="str">
        <f>TEXT(Table2[[#This Row],[Enrollment_date]],"Mmm")</f>
        <v>Jan</v>
      </c>
      <c r="L127" s="4" t="str">
        <f>TEXT(Table2[[#This Row],[Enrollment_date]],"Ddd")</f>
        <v>Sun</v>
      </c>
      <c r="M127" s="4" t="s">
        <v>34</v>
      </c>
      <c r="N127" t="s">
        <v>37</v>
      </c>
      <c r="O127" t="s">
        <v>38</v>
      </c>
      <c r="P127" s="8">
        <v>4</v>
      </c>
      <c r="Q127" s="6">
        <v>0.83333333333333337</v>
      </c>
      <c r="R127" s="6">
        <v>64</v>
      </c>
      <c r="S127" s="6" t="str">
        <f>IF(Table2[[#This Row],[Avg_score]]&gt;=79,"Distinction",IF(Table2[[#This Row],[Avg_score]]&gt;=60,"Pass","Fail"))</f>
        <v>Pass</v>
      </c>
      <c r="T127" t="s">
        <v>39</v>
      </c>
      <c r="U127">
        <f>IF(Table2[[#This Row],[Completed]]="Yes",1,0)</f>
        <v>1</v>
      </c>
      <c r="V127" t="s">
        <v>39</v>
      </c>
      <c r="W127" t="s">
        <v>40</v>
      </c>
      <c r="X127" s="4">
        <v>45838</v>
      </c>
    </row>
    <row r="128" spans="1:24" x14ac:dyDescent="0.3">
      <c r="A128">
        <v>127</v>
      </c>
      <c r="B128" s="8">
        <v>43</v>
      </c>
      <c r="C128">
        <v>1</v>
      </c>
      <c r="D128" t="s">
        <v>19</v>
      </c>
      <c r="E128" t="s">
        <v>22</v>
      </c>
      <c r="F128">
        <v>30</v>
      </c>
      <c r="G128" t="str">
        <f>IF(Table2[[#This Row],[Age]]&gt;=30,"Experienced",IF(Table2[[#This Row],[Age]]&gt;=25,"Mid Level", "Entry Level"))</f>
        <v>Experienced</v>
      </c>
      <c r="H128" t="s">
        <v>24</v>
      </c>
      <c r="I128" t="s">
        <v>30</v>
      </c>
      <c r="J128" s="4">
        <v>45685</v>
      </c>
      <c r="K128" s="4" t="str">
        <f>TEXT(Table2[[#This Row],[Enrollment_date]],"Mmm")</f>
        <v>Jan</v>
      </c>
      <c r="L128" s="4" t="str">
        <f>TEXT(Table2[[#This Row],[Enrollment_date]],"Ddd")</f>
        <v>Tue</v>
      </c>
      <c r="M128" s="4" t="s">
        <v>34</v>
      </c>
      <c r="N128" t="s">
        <v>35</v>
      </c>
      <c r="O128" t="s">
        <v>38</v>
      </c>
      <c r="P128" s="8">
        <v>4</v>
      </c>
      <c r="Q128" s="6">
        <v>0.77083333333333337</v>
      </c>
      <c r="R128" s="6">
        <v>76.5</v>
      </c>
      <c r="S128" s="6" t="str">
        <f>IF(Table2[[#This Row],[Avg_score]]&gt;=79,"Distinction",IF(Table2[[#This Row],[Avg_score]]&gt;=60,"Pass","Fail"))</f>
        <v>Pass</v>
      </c>
      <c r="T128" t="s">
        <v>39</v>
      </c>
      <c r="U128">
        <f>IF(Table2[[#This Row],[Completed]]="Yes",1,0)</f>
        <v>1</v>
      </c>
      <c r="V128" t="s">
        <v>39</v>
      </c>
      <c r="W128" t="s">
        <v>40</v>
      </c>
      <c r="X128" s="4">
        <v>45838</v>
      </c>
    </row>
    <row r="129" spans="1:24" x14ac:dyDescent="0.3">
      <c r="A129">
        <v>128</v>
      </c>
      <c r="B129" s="8">
        <v>43</v>
      </c>
      <c r="C129">
        <v>2</v>
      </c>
      <c r="D129" t="s">
        <v>19</v>
      </c>
      <c r="E129" t="s">
        <v>22</v>
      </c>
      <c r="F129">
        <v>30</v>
      </c>
      <c r="G129" t="str">
        <f>IF(Table2[[#This Row],[Age]]&gt;=30,"Experienced",IF(Table2[[#This Row],[Age]]&gt;=25,"Mid Level", "Entry Level"))</f>
        <v>Experienced</v>
      </c>
      <c r="H129" t="s">
        <v>24</v>
      </c>
      <c r="I129" t="s">
        <v>30</v>
      </c>
      <c r="J129" s="4">
        <v>45685</v>
      </c>
      <c r="K129" s="4" t="str">
        <f>TEXT(Table2[[#This Row],[Enrollment_date]],"Mmm")</f>
        <v>Jan</v>
      </c>
      <c r="L129" s="4" t="str">
        <f>TEXT(Table2[[#This Row],[Enrollment_date]],"Ddd")</f>
        <v>Tue</v>
      </c>
      <c r="M129" s="4" t="s">
        <v>34</v>
      </c>
      <c r="N129" t="s">
        <v>36</v>
      </c>
      <c r="O129" t="s">
        <v>38</v>
      </c>
      <c r="P129" s="8">
        <v>4</v>
      </c>
      <c r="Q129" s="6">
        <v>0.85416666666666663</v>
      </c>
      <c r="R129" s="6">
        <v>73.5</v>
      </c>
      <c r="S129" s="6" t="str">
        <f>IF(Table2[[#This Row],[Avg_score]]&gt;=79,"Distinction",IF(Table2[[#This Row],[Avg_score]]&gt;=60,"Pass","Fail"))</f>
        <v>Pass</v>
      </c>
      <c r="T129" t="s">
        <v>39</v>
      </c>
      <c r="U129">
        <f>IF(Table2[[#This Row],[Completed]]="Yes",1,0)</f>
        <v>1</v>
      </c>
      <c r="V129" t="s">
        <v>39</v>
      </c>
      <c r="W129" t="s">
        <v>40</v>
      </c>
      <c r="X129" s="4">
        <v>45838</v>
      </c>
    </row>
    <row r="130" spans="1:24" x14ac:dyDescent="0.3">
      <c r="A130">
        <v>129</v>
      </c>
      <c r="B130" s="8">
        <v>43</v>
      </c>
      <c r="C130">
        <v>3</v>
      </c>
      <c r="D130" t="s">
        <v>19</v>
      </c>
      <c r="E130" t="s">
        <v>22</v>
      </c>
      <c r="F130">
        <v>30</v>
      </c>
      <c r="G130" t="str">
        <f>IF(Table2[[#This Row],[Age]]&gt;=30,"Experienced",IF(Table2[[#This Row],[Age]]&gt;=25,"Mid Level", "Entry Level"))</f>
        <v>Experienced</v>
      </c>
      <c r="H130" t="s">
        <v>24</v>
      </c>
      <c r="I130" t="s">
        <v>30</v>
      </c>
      <c r="J130" s="4">
        <v>45685</v>
      </c>
      <c r="K130" s="4" t="str">
        <f>TEXT(Table2[[#This Row],[Enrollment_date]],"Mmm")</f>
        <v>Jan</v>
      </c>
      <c r="L130" s="4" t="str">
        <f>TEXT(Table2[[#This Row],[Enrollment_date]],"Ddd")</f>
        <v>Tue</v>
      </c>
      <c r="M130" s="4" t="s">
        <v>34</v>
      </c>
      <c r="N130" t="s">
        <v>37</v>
      </c>
      <c r="O130" t="s">
        <v>38</v>
      </c>
      <c r="P130" s="8">
        <v>4</v>
      </c>
      <c r="Q130" s="6">
        <v>0.8125</v>
      </c>
      <c r="R130" s="6">
        <v>67.5</v>
      </c>
      <c r="S130" s="6" t="str">
        <f>IF(Table2[[#This Row],[Avg_score]]&gt;=79,"Distinction",IF(Table2[[#This Row],[Avg_score]]&gt;=60,"Pass","Fail"))</f>
        <v>Pass</v>
      </c>
      <c r="T130" t="s">
        <v>39</v>
      </c>
      <c r="U130">
        <f>IF(Table2[[#This Row],[Completed]]="Yes",1,0)</f>
        <v>1</v>
      </c>
      <c r="V130" t="s">
        <v>39</v>
      </c>
      <c r="W130" t="s">
        <v>40</v>
      </c>
      <c r="X130" s="4">
        <v>45838</v>
      </c>
    </row>
    <row r="131" spans="1:24" x14ac:dyDescent="0.3">
      <c r="A131">
        <v>130</v>
      </c>
      <c r="B131" s="8">
        <v>44</v>
      </c>
      <c r="C131">
        <v>1</v>
      </c>
      <c r="D131" t="s">
        <v>21</v>
      </c>
      <c r="E131" t="s">
        <v>22</v>
      </c>
      <c r="F131">
        <v>24</v>
      </c>
      <c r="G131" t="str">
        <f>IF(Table2[[#This Row],[Age]]&gt;=30,"Experienced",IF(Table2[[#This Row],[Age]]&gt;=25,"Mid Level", "Entry Level"))</f>
        <v>Entry Level</v>
      </c>
      <c r="H131" t="s">
        <v>28</v>
      </c>
      <c r="I131" t="s">
        <v>44</v>
      </c>
      <c r="J131" s="4">
        <v>45693</v>
      </c>
      <c r="K131" s="4" t="str">
        <f>TEXT(Table2[[#This Row],[Enrollment_date]],"Mmm")</f>
        <v>Feb</v>
      </c>
      <c r="L131" s="4" t="str">
        <f>TEXT(Table2[[#This Row],[Enrollment_date]],"Ddd")</f>
        <v>Wed</v>
      </c>
      <c r="M131" s="4" t="s">
        <v>34</v>
      </c>
      <c r="N131" t="s">
        <v>35</v>
      </c>
      <c r="O131" t="s">
        <v>38</v>
      </c>
      <c r="P131" s="8">
        <v>4</v>
      </c>
      <c r="Q131" s="6">
        <v>0.77083333333333337</v>
      </c>
      <c r="R131" s="6">
        <v>87</v>
      </c>
      <c r="S131" s="6" t="str">
        <f>IF(Table2[[#This Row],[Avg_score]]&gt;=79,"Distinction",IF(Table2[[#This Row],[Avg_score]]&gt;=60,"Pass","Fail"))</f>
        <v>Distinction</v>
      </c>
      <c r="T131" t="s">
        <v>40</v>
      </c>
      <c r="U131">
        <f>IF(Table2[[#This Row],[Completed]]="Yes",1,0)</f>
        <v>0</v>
      </c>
      <c r="V131" t="s">
        <v>40</v>
      </c>
      <c r="W131" t="s">
        <v>40</v>
      </c>
      <c r="X131" s="4">
        <v>45838</v>
      </c>
    </row>
    <row r="132" spans="1:24" x14ac:dyDescent="0.3">
      <c r="A132">
        <v>131</v>
      </c>
      <c r="B132" s="8">
        <v>44</v>
      </c>
      <c r="C132">
        <v>2</v>
      </c>
      <c r="D132" t="s">
        <v>21</v>
      </c>
      <c r="E132" t="s">
        <v>22</v>
      </c>
      <c r="F132">
        <v>24</v>
      </c>
      <c r="G132" t="str">
        <f>IF(Table2[[#This Row],[Age]]&gt;=30,"Experienced",IF(Table2[[#This Row],[Age]]&gt;=25,"Mid Level", "Entry Level"))</f>
        <v>Entry Level</v>
      </c>
      <c r="H132" t="s">
        <v>28</v>
      </c>
      <c r="I132" t="s">
        <v>44</v>
      </c>
      <c r="J132" s="4">
        <v>45693</v>
      </c>
      <c r="K132" s="4" t="str">
        <f>TEXT(Table2[[#This Row],[Enrollment_date]],"Mmm")</f>
        <v>Feb</v>
      </c>
      <c r="L132" s="4" t="str">
        <f>TEXT(Table2[[#This Row],[Enrollment_date]],"Ddd")</f>
        <v>Wed</v>
      </c>
      <c r="M132" s="4" t="s">
        <v>34</v>
      </c>
      <c r="N132" t="s">
        <v>36</v>
      </c>
      <c r="O132" t="s">
        <v>38</v>
      </c>
      <c r="P132" s="8">
        <v>4</v>
      </c>
      <c r="Q132" s="6">
        <v>0.8125</v>
      </c>
      <c r="R132" s="6">
        <v>57.5</v>
      </c>
      <c r="S132" s="6" t="str">
        <f>IF(Table2[[#This Row],[Avg_score]]&gt;=79,"Distinction",IF(Table2[[#This Row],[Avg_score]]&gt;=60,"Pass","Fail"))</f>
        <v>Fail</v>
      </c>
      <c r="T132" t="s">
        <v>40</v>
      </c>
      <c r="U132">
        <f>IF(Table2[[#This Row],[Completed]]="Yes",1,0)</f>
        <v>0</v>
      </c>
      <c r="V132" t="s">
        <v>40</v>
      </c>
      <c r="W132" t="s">
        <v>40</v>
      </c>
      <c r="X132" s="4">
        <v>45838</v>
      </c>
    </row>
    <row r="133" spans="1:24" x14ac:dyDescent="0.3">
      <c r="A133">
        <v>132</v>
      </c>
      <c r="B133" s="8">
        <v>44</v>
      </c>
      <c r="C133">
        <v>3</v>
      </c>
      <c r="D133" t="s">
        <v>19</v>
      </c>
      <c r="E133" t="s">
        <v>22</v>
      </c>
      <c r="F133">
        <v>24</v>
      </c>
      <c r="G133" t="str">
        <f>IF(Table2[[#This Row],[Age]]&gt;=30,"Experienced",IF(Table2[[#This Row],[Age]]&gt;=25,"Mid Level", "Entry Level"))</f>
        <v>Entry Level</v>
      </c>
      <c r="H133" t="s">
        <v>28</v>
      </c>
      <c r="I133" t="s">
        <v>44</v>
      </c>
      <c r="J133" s="4">
        <v>45693</v>
      </c>
      <c r="K133" s="4" t="str">
        <f>TEXT(Table2[[#This Row],[Enrollment_date]],"Mmm")</f>
        <v>Feb</v>
      </c>
      <c r="L133" s="4" t="str">
        <f>TEXT(Table2[[#This Row],[Enrollment_date]],"Ddd")</f>
        <v>Wed</v>
      </c>
      <c r="M133" s="4" t="s">
        <v>34</v>
      </c>
      <c r="N133" t="s">
        <v>37</v>
      </c>
      <c r="O133" t="s">
        <v>38</v>
      </c>
      <c r="P133" s="8">
        <v>4</v>
      </c>
      <c r="Q133" s="6">
        <v>0.85416666666666663</v>
      </c>
      <c r="R133" s="6">
        <v>63</v>
      </c>
      <c r="S133" s="6" t="str">
        <f>IF(Table2[[#This Row],[Avg_score]]&gt;=79,"Distinction",IF(Table2[[#This Row],[Avg_score]]&gt;=60,"Pass","Fail"))</f>
        <v>Pass</v>
      </c>
      <c r="T133" t="s">
        <v>40</v>
      </c>
      <c r="U133">
        <f>IF(Table2[[#This Row],[Completed]]="Yes",1,0)</f>
        <v>0</v>
      </c>
      <c r="V133" t="s">
        <v>40</v>
      </c>
      <c r="W133" t="s">
        <v>40</v>
      </c>
      <c r="X133" s="4">
        <v>45838</v>
      </c>
    </row>
    <row r="134" spans="1:24" x14ac:dyDescent="0.3">
      <c r="A134">
        <v>133</v>
      </c>
      <c r="B134" s="8">
        <v>45</v>
      </c>
      <c r="C134">
        <v>1</v>
      </c>
      <c r="D134" t="s">
        <v>19</v>
      </c>
      <c r="E134" t="s">
        <v>23</v>
      </c>
      <c r="F134">
        <v>23</v>
      </c>
      <c r="G134" t="str">
        <f>IF(Table2[[#This Row],[Age]]&gt;=30,"Experienced",IF(Table2[[#This Row],[Age]]&gt;=25,"Mid Level", "Entry Level"))</f>
        <v>Entry Level</v>
      </c>
      <c r="H134" t="s">
        <v>29</v>
      </c>
      <c r="I134" t="s">
        <v>44</v>
      </c>
      <c r="J134" s="4">
        <v>45721</v>
      </c>
      <c r="K134" s="4" t="str">
        <f>TEXT(Table2[[#This Row],[Enrollment_date]],"Mmm")</f>
        <v>Mar</v>
      </c>
      <c r="L134" s="4" t="str">
        <f>TEXT(Table2[[#This Row],[Enrollment_date]],"Ddd")</f>
        <v>Wed</v>
      </c>
      <c r="M134" s="4" t="s">
        <v>34</v>
      </c>
      <c r="N134" t="s">
        <v>35</v>
      </c>
      <c r="O134" t="s">
        <v>38</v>
      </c>
      <c r="P134" s="8">
        <v>4</v>
      </c>
      <c r="Q134" s="6">
        <v>0.83333333333333337</v>
      </c>
      <c r="R134" s="6">
        <v>80.5</v>
      </c>
      <c r="S134" s="6" t="str">
        <f>IF(Table2[[#This Row],[Avg_score]]&gt;=79,"Distinction",IF(Table2[[#This Row],[Avg_score]]&gt;=60,"Pass","Fail"))</f>
        <v>Distinction</v>
      </c>
      <c r="T134" t="s">
        <v>39</v>
      </c>
      <c r="U134">
        <f>IF(Table2[[#This Row],[Completed]]="Yes",1,0)</f>
        <v>1</v>
      </c>
      <c r="V134" t="s">
        <v>39</v>
      </c>
      <c r="W134" t="s">
        <v>40</v>
      </c>
      <c r="X134" s="4">
        <v>45838</v>
      </c>
    </row>
    <row r="135" spans="1:24" x14ac:dyDescent="0.3">
      <c r="A135">
        <v>134</v>
      </c>
      <c r="B135" s="8">
        <v>45</v>
      </c>
      <c r="C135">
        <v>2</v>
      </c>
      <c r="D135" t="s">
        <v>21</v>
      </c>
      <c r="E135" t="s">
        <v>23</v>
      </c>
      <c r="F135">
        <v>23</v>
      </c>
      <c r="G135" t="str">
        <f>IF(Table2[[#This Row],[Age]]&gt;=30,"Experienced",IF(Table2[[#This Row],[Age]]&gt;=25,"Mid Level", "Entry Level"))</f>
        <v>Entry Level</v>
      </c>
      <c r="H135" t="s">
        <v>29</v>
      </c>
      <c r="I135" t="s">
        <v>44</v>
      </c>
      <c r="J135" s="4">
        <v>45721</v>
      </c>
      <c r="K135" s="4" t="str">
        <f>TEXT(Table2[[#This Row],[Enrollment_date]],"Mmm")</f>
        <v>Mar</v>
      </c>
      <c r="L135" s="4" t="str">
        <f>TEXT(Table2[[#This Row],[Enrollment_date]],"Ddd")</f>
        <v>Wed</v>
      </c>
      <c r="M135" s="4" t="s">
        <v>34</v>
      </c>
      <c r="N135" t="s">
        <v>36</v>
      </c>
      <c r="O135" t="s">
        <v>38</v>
      </c>
      <c r="P135" s="8">
        <v>4</v>
      </c>
      <c r="Q135" s="6">
        <v>0.875</v>
      </c>
      <c r="R135" s="6">
        <v>67.5</v>
      </c>
      <c r="S135" s="6" t="str">
        <f>IF(Table2[[#This Row],[Avg_score]]&gt;=79,"Distinction",IF(Table2[[#This Row],[Avg_score]]&gt;=60,"Pass","Fail"))</f>
        <v>Pass</v>
      </c>
      <c r="T135" t="s">
        <v>39</v>
      </c>
      <c r="U135">
        <f>IF(Table2[[#This Row],[Completed]]="Yes",1,0)</f>
        <v>1</v>
      </c>
      <c r="V135" t="s">
        <v>39</v>
      </c>
      <c r="W135" t="s">
        <v>40</v>
      </c>
      <c r="X135" s="4">
        <v>45838</v>
      </c>
    </row>
    <row r="136" spans="1:24" x14ac:dyDescent="0.3">
      <c r="A136">
        <v>135</v>
      </c>
      <c r="B136" s="8">
        <v>45</v>
      </c>
      <c r="C136">
        <v>3</v>
      </c>
      <c r="D136" t="s">
        <v>19</v>
      </c>
      <c r="E136" t="s">
        <v>23</v>
      </c>
      <c r="F136">
        <v>23</v>
      </c>
      <c r="G136" t="str">
        <f>IF(Table2[[#This Row],[Age]]&gt;=30,"Experienced",IF(Table2[[#This Row],[Age]]&gt;=25,"Mid Level", "Entry Level"))</f>
        <v>Entry Level</v>
      </c>
      <c r="H136" t="s">
        <v>29</v>
      </c>
      <c r="I136" t="s">
        <v>44</v>
      </c>
      <c r="J136" s="4">
        <v>45721</v>
      </c>
      <c r="K136" s="4" t="str">
        <f>TEXT(Table2[[#This Row],[Enrollment_date]],"Mmm")</f>
        <v>Mar</v>
      </c>
      <c r="L136" s="4" t="str">
        <f>TEXT(Table2[[#This Row],[Enrollment_date]],"Ddd")</f>
        <v>Wed</v>
      </c>
      <c r="M136" s="4" t="s">
        <v>34</v>
      </c>
      <c r="N136" t="s">
        <v>37</v>
      </c>
      <c r="O136" t="s">
        <v>38</v>
      </c>
      <c r="P136" s="8">
        <v>4</v>
      </c>
      <c r="Q136" s="6">
        <v>0.77083333333333337</v>
      </c>
      <c r="R136" s="6">
        <v>71.5</v>
      </c>
      <c r="S136" s="6" t="str">
        <f>IF(Table2[[#This Row],[Avg_score]]&gt;=79,"Distinction",IF(Table2[[#This Row],[Avg_score]]&gt;=60,"Pass","Fail"))</f>
        <v>Pass</v>
      </c>
      <c r="T136" t="s">
        <v>39</v>
      </c>
      <c r="U136">
        <f>IF(Table2[[#This Row],[Completed]]="Yes",1,0)</f>
        <v>1</v>
      </c>
      <c r="V136" t="s">
        <v>39</v>
      </c>
      <c r="W136" t="s">
        <v>40</v>
      </c>
      <c r="X136" s="4">
        <v>45838</v>
      </c>
    </row>
    <row r="137" spans="1:24" x14ac:dyDescent="0.3">
      <c r="A137">
        <v>136</v>
      </c>
      <c r="B137" s="8">
        <v>46</v>
      </c>
      <c r="C137">
        <v>1</v>
      </c>
      <c r="D137" t="s">
        <v>19</v>
      </c>
      <c r="E137" t="s">
        <v>22</v>
      </c>
      <c r="F137">
        <v>32</v>
      </c>
      <c r="G137" t="str">
        <f>IF(Table2[[#This Row],[Age]]&gt;=30,"Experienced",IF(Table2[[#This Row],[Age]]&gt;=25,"Mid Level", "Entry Level"))</f>
        <v>Experienced</v>
      </c>
      <c r="H137" t="s">
        <v>26</v>
      </c>
      <c r="I137" t="s">
        <v>68</v>
      </c>
      <c r="J137" s="4">
        <v>45670</v>
      </c>
      <c r="K137" s="4" t="str">
        <f>TEXT(Table2[[#This Row],[Enrollment_date]],"Mmm")</f>
        <v>Jan</v>
      </c>
      <c r="L137" s="4" t="str">
        <f>TEXT(Table2[[#This Row],[Enrollment_date]],"Ddd")</f>
        <v>Mon</v>
      </c>
      <c r="M137" s="4" t="s">
        <v>34</v>
      </c>
      <c r="N137" t="s">
        <v>35</v>
      </c>
      <c r="O137" t="s">
        <v>38</v>
      </c>
      <c r="P137" s="8">
        <v>4</v>
      </c>
      <c r="Q137" s="6">
        <v>0.8125</v>
      </c>
      <c r="R137" s="6">
        <v>54</v>
      </c>
      <c r="S137" s="6" t="str">
        <f>IF(Table2[[#This Row],[Avg_score]]&gt;=79,"Distinction",IF(Table2[[#This Row],[Avg_score]]&gt;=60,"Pass","Fail"))</f>
        <v>Fail</v>
      </c>
      <c r="T137" t="s">
        <v>39</v>
      </c>
      <c r="U137">
        <f>IF(Table2[[#This Row],[Completed]]="Yes",1,0)</f>
        <v>1</v>
      </c>
      <c r="V137" t="s">
        <v>39</v>
      </c>
      <c r="W137" t="s">
        <v>40</v>
      </c>
      <c r="X137" s="4">
        <v>45838</v>
      </c>
    </row>
    <row r="138" spans="1:24" x14ac:dyDescent="0.3">
      <c r="A138">
        <v>137</v>
      </c>
      <c r="B138" s="8">
        <v>46</v>
      </c>
      <c r="C138">
        <v>2</v>
      </c>
      <c r="D138" t="s">
        <v>19</v>
      </c>
      <c r="E138" t="s">
        <v>22</v>
      </c>
      <c r="F138">
        <v>32</v>
      </c>
      <c r="G138" t="str">
        <f>IF(Table2[[#This Row],[Age]]&gt;=30,"Experienced",IF(Table2[[#This Row],[Age]]&gt;=25,"Mid Level", "Entry Level"))</f>
        <v>Experienced</v>
      </c>
      <c r="H138" t="s">
        <v>26</v>
      </c>
      <c r="I138" t="s">
        <v>68</v>
      </c>
      <c r="J138" s="4">
        <v>45670</v>
      </c>
      <c r="K138" s="4" t="str">
        <f>TEXT(Table2[[#This Row],[Enrollment_date]],"Mmm")</f>
        <v>Jan</v>
      </c>
      <c r="L138" s="4" t="str">
        <f>TEXT(Table2[[#This Row],[Enrollment_date]],"Ddd")</f>
        <v>Mon</v>
      </c>
      <c r="M138" s="4" t="s">
        <v>34</v>
      </c>
      <c r="N138" t="s">
        <v>36</v>
      </c>
      <c r="O138" t="s">
        <v>38</v>
      </c>
      <c r="P138" s="8">
        <v>4</v>
      </c>
      <c r="Q138" s="6">
        <v>0.8125</v>
      </c>
      <c r="R138" s="6">
        <v>83.5</v>
      </c>
      <c r="S138" s="6" t="str">
        <f>IF(Table2[[#This Row],[Avg_score]]&gt;=79,"Distinction",IF(Table2[[#This Row],[Avg_score]]&gt;=60,"Pass","Fail"))</f>
        <v>Distinction</v>
      </c>
      <c r="T138" t="s">
        <v>39</v>
      </c>
      <c r="U138">
        <f>IF(Table2[[#This Row],[Completed]]="Yes",1,0)</f>
        <v>1</v>
      </c>
      <c r="V138" t="s">
        <v>39</v>
      </c>
      <c r="W138" t="s">
        <v>40</v>
      </c>
      <c r="X138" s="4">
        <v>45838</v>
      </c>
    </row>
    <row r="139" spans="1:24" x14ac:dyDescent="0.3">
      <c r="A139">
        <v>138</v>
      </c>
      <c r="B139" s="8">
        <v>46</v>
      </c>
      <c r="C139">
        <v>3</v>
      </c>
      <c r="D139" t="s">
        <v>19</v>
      </c>
      <c r="E139" t="s">
        <v>22</v>
      </c>
      <c r="F139">
        <v>32</v>
      </c>
      <c r="G139" t="str">
        <f>IF(Table2[[#This Row],[Age]]&gt;=30,"Experienced",IF(Table2[[#This Row],[Age]]&gt;=25,"Mid Level", "Entry Level"))</f>
        <v>Experienced</v>
      </c>
      <c r="H139" t="s">
        <v>26</v>
      </c>
      <c r="I139" t="s">
        <v>68</v>
      </c>
      <c r="J139" s="4">
        <v>45670</v>
      </c>
      <c r="K139" s="4" t="str">
        <f>TEXT(Table2[[#This Row],[Enrollment_date]],"Mmm")</f>
        <v>Jan</v>
      </c>
      <c r="L139" s="4" t="str">
        <f>TEXT(Table2[[#This Row],[Enrollment_date]],"Ddd")</f>
        <v>Mon</v>
      </c>
      <c r="M139" s="4" t="s">
        <v>34</v>
      </c>
      <c r="N139" t="s">
        <v>37</v>
      </c>
      <c r="O139" t="s">
        <v>38</v>
      </c>
      <c r="P139" s="8">
        <v>4</v>
      </c>
      <c r="Q139" s="6">
        <v>0.875</v>
      </c>
      <c r="R139" s="6">
        <v>69</v>
      </c>
      <c r="S139" s="6" t="str">
        <f>IF(Table2[[#This Row],[Avg_score]]&gt;=79,"Distinction",IF(Table2[[#This Row],[Avg_score]]&gt;=60,"Pass","Fail"))</f>
        <v>Pass</v>
      </c>
      <c r="T139" t="s">
        <v>39</v>
      </c>
      <c r="U139">
        <f>IF(Table2[[#This Row],[Completed]]="Yes",1,0)</f>
        <v>1</v>
      </c>
      <c r="V139" t="s">
        <v>39</v>
      </c>
      <c r="W139" t="s">
        <v>40</v>
      </c>
      <c r="X139" s="4">
        <v>45838</v>
      </c>
    </row>
    <row r="140" spans="1:24" x14ac:dyDescent="0.3">
      <c r="A140">
        <v>139</v>
      </c>
      <c r="B140" s="8">
        <v>47</v>
      </c>
      <c r="C140">
        <v>1</v>
      </c>
      <c r="D140" t="s">
        <v>19</v>
      </c>
      <c r="E140" t="s">
        <v>22</v>
      </c>
      <c r="F140">
        <v>20</v>
      </c>
      <c r="G140" t="str">
        <f>IF(Table2[[#This Row],[Age]]&gt;=30,"Experienced",IF(Table2[[#This Row],[Age]]&gt;=25,"Mid Level", "Entry Level"))</f>
        <v>Entry Level</v>
      </c>
      <c r="H140" t="s">
        <v>28</v>
      </c>
      <c r="I140" t="s">
        <v>32</v>
      </c>
      <c r="J140" s="4">
        <v>45762</v>
      </c>
      <c r="K140" s="4" t="str">
        <f>TEXT(Table2[[#This Row],[Enrollment_date]],"Mmm")</f>
        <v>Apr</v>
      </c>
      <c r="L140" s="4" t="str">
        <f>TEXT(Table2[[#This Row],[Enrollment_date]],"Ddd")</f>
        <v>Tue</v>
      </c>
      <c r="M140" s="4" t="s">
        <v>34</v>
      </c>
      <c r="N140" t="s">
        <v>35</v>
      </c>
      <c r="O140" t="s">
        <v>38</v>
      </c>
      <c r="P140" s="8">
        <v>4</v>
      </c>
      <c r="Q140" s="6">
        <v>0.85416666666666663</v>
      </c>
      <c r="R140" s="6">
        <v>72</v>
      </c>
      <c r="S140" s="6" t="str">
        <f>IF(Table2[[#This Row],[Avg_score]]&gt;=79,"Distinction",IF(Table2[[#This Row],[Avg_score]]&gt;=60,"Pass","Fail"))</f>
        <v>Pass</v>
      </c>
      <c r="T140" t="s">
        <v>39</v>
      </c>
      <c r="U140">
        <f>IF(Table2[[#This Row],[Completed]]="Yes",1,0)</f>
        <v>1</v>
      </c>
      <c r="V140" t="s">
        <v>39</v>
      </c>
      <c r="W140" t="s">
        <v>40</v>
      </c>
      <c r="X140" s="4">
        <v>45838</v>
      </c>
    </row>
    <row r="141" spans="1:24" x14ac:dyDescent="0.3">
      <c r="A141">
        <v>140</v>
      </c>
      <c r="B141" s="8">
        <v>47</v>
      </c>
      <c r="C141">
        <v>2</v>
      </c>
      <c r="D141" t="s">
        <v>19</v>
      </c>
      <c r="E141" t="s">
        <v>22</v>
      </c>
      <c r="F141">
        <v>20</v>
      </c>
      <c r="G141" t="str">
        <f>IF(Table2[[#This Row],[Age]]&gt;=30,"Experienced",IF(Table2[[#This Row],[Age]]&gt;=25,"Mid Level", "Entry Level"))</f>
        <v>Entry Level</v>
      </c>
      <c r="H141" t="s">
        <v>28</v>
      </c>
      <c r="I141" t="s">
        <v>32</v>
      </c>
      <c r="J141" s="4">
        <v>45762</v>
      </c>
      <c r="K141" s="4" t="str">
        <f>TEXT(Table2[[#This Row],[Enrollment_date]],"Mmm")</f>
        <v>Apr</v>
      </c>
      <c r="L141" s="4" t="str">
        <f>TEXT(Table2[[#This Row],[Enrollment_date]],"Ddd")</f>
        <v>Tue</v>
      </c>
      <c r="M141" s="4" t="s">
        <v>34</v>
      </c>
      <c r="N141" t="s">
        <v>36</v>
      </c>
      <c r="O141" t="s">
        <v>38</v>
      </c>
      <c r="P141" s="8">
        <v>4</v>
      </c>
      <c r="Q141" s="6">
        <v>0.70833333333333337</v>
      </c>
      <c r="R141" s="6">
        <v>72.5</v>
      </c>
      <c r="S141" s="6" t="str">
        <f>IF(Table2[[#This Row],[Avg_score]]&gt;=79,"Distinction",IF(Table2[[#This Row],[Avg_score]]&gt;=60,"Pass","Fail"))</f>
        <v>Pass</v>
      </c>
      <c r="T141" t="s">
        <v>39</v>
      </c>
      <c r="U141">
        <f>IF(Table2[[#This Row],[Completed]]="Yes",1,0)</f>
        <v>1</v>
      </c>
      <c r="V141" t="s">
        <v>39</v>
      </c>
      <c r="W141" t="s">
        <v>40</v>
      </c>
      <c r="X141" s="4">
        <v>45838</v>
      </c>
    </row>
    <row r="142" spans="1:24" x14ac:dyDescent="0.3">
      <c r="A142">
        <v>141</v>
      </c>
      <c r="B142" s="8">
        <v>47</v>
      </c>
      <c r="C142">
        <v>3</v>
      </c>
      <c r="D142" t="s">
        <v>19</v>
      </c>
      <c r="E142" t="s">
        <v>22</v>
      </c>
      <c r="F142">
        <v>20</v>
      </c>
      <c r="G142" t="str">
        <f>IF(Table2[[#This Row],[Age]]&gt;=30,"Experienced",IF(Table2[[#This Row],[Age]]&gt;=25,"Mid Level", "Entry Level"))</f>
        <v>Entry Level</v>
      </c>
      <c r="H142" t="s">
        <v>28</v>
      </c>
      <c r="I142" t="s">
        <v>32</v>
      </c>
      <c r="J142" s="4">
        <v>45762</v>
      </c>
      <c r="K142" s="4" t="str">
        <f>TEXT(Table2[[#This Row],[Enrollment_date]],"Mmm")</f>
        <v>Apr</v>
      </c>
      <c r="L142" s="4" t="str">
        <f>TEXT(Table2[[#This Row],[Enrollment_date]],"Ddd")</f>
        <v>Tue</v>
      </c>
      <c r="M142" s="4" t="s">
        <v>34</v>
      </c>
      <c r="N142" t="s">
        <v>37</v>
      </c>
      <c r="O142" t="s">
        <v>38</v>
      </c>
      <c r="P142" s="8">
        <v>4</v>
      </c>
      <c r="Q142" s="6">
        <v>0.89583333333333337</v>
      </c>
      <c r="R142" s="6">
        <v>76</v>
      </c>
      <c r="S142" s="6" t="str">
        <f>IF(Table2[[#This Row],[Avg_score]]&gt;=79,"Distinction",IF(Table2[[#This Row],[Avg_score]]&gt;=60,"Pass","Fail"))</f>
        <v>Pass</v>
      </c>
      <c r="T142" t="s">
        <v>39</v>
      </c>
      <c r="U142">
        <f>IF(Table2[[#This Row],[Completed]]="Yes",1,0)</f>
        <v>1</v>
      </c>
      <c r="V142" t="s">
        <v>39</v>
      </c>
      <c r="W142" t="s">
        <v>40</v>
      </c>
      <c r="X142" s="4">
        <v>45838</v>
      </c>
    </row>
    <row r="143" spans="1:24" x14ac:dyDescent="0.3">
      <c r="A143">
        <v>142</v>
      </c>
      <c r="B143" s="8">
        <v>48</v>
      </c>
      <c r="C143">
        <v>1</v>
      </c>
      <c r="D143" t="s">
        <v>19</v>
      </c>
      <c r="E143" t="s">
        <v>23</v>
      </c>
      <c r="F143">
        <v>33</v>
      </c>
      <c r="G143" t="str">
        <f>IF(Table2[[#This Row],[Age]]&gt;=30,"Experienced",IF(Table2[[#This Row],[Age]]&gt;=25,"Mid Level", "Entry Level"))</f>
        <v>Experienced</v>
      </c>
      <c r="H143" t="s">
        <v>28</v>
      </c>
      <c r="I143" t="s">
        <v>44</v>
      </c>
      <c r="J143" s="4">
        <v>45673</v>
      </c>
      <c r="K143" s="4" t="str">
        <f>TEXT(Table2[[#This Row],[Enrollment_date]],"Mmm")</f>
        <v>Jan</v>
      </c>
      <c r="L143" s="4" t="str">
        <f>TEXT(Table2[[#This Row],[Enrollment_date]],"Ddd")</f>
        <v>Thu</v>
      </c>
      <c r="M143" s="4" t="s">
        <v>34</v>
      </c>
      <c r="N143" t="s">
        <v>35</v>
      </c>
      <c r="O143" t="s">
        <v>38</v>
      </c>
      <c r="P143" s="8">
        <v>4</v>
      </c>
      <c r="Q143" s="6">
        <v>0.91666666666666663</v>
      </c>
      <c r="R143" s="6">
        <v>84</v>
      </c>
      <c r="S143" s="6" t="str">
        <f>IF(Table2[[#This Row],[Avg_score]]&gt;=79,"Distinction",IF(Table2[[#This Row],[Avg_score]]&gt;=60,"Pass","Fail"))</f>
        <v>Distinction</v>
      </c>
      <c r="T143" t="s">
        <v>39</v>
      </c>
      <c r="U143">
        <f>IF(Table2[[#This Row],[Completed]]="Yes",1,0)</f>
        <v>1</v>
      </c>
      <c r="V143" t="s">
        <v>39</v>
      </c>
      <c r="W143" t="s">
        <v>40</v>
      </c>
      <c r="X143" s="4">
        <v>45838</v>
      </c>
    </row>
    <row r="144" spans="1:24" x14ac:dyDescent="0.3">
      <c r="A144">
        <v>143</v>
      </c>
      <c r="B144" s="8">
        <v>48</v>
      </c>
      <c r="C144">
        <v>2</v>
      </c>
      <c r="D144" t="s">
        <v>19</v>
      </c>
      <c r="E144" t="s">
        <v>23</v>
      </c>
      <c r="F144">
        <v>33</v>
      </c>
      <c r="G144" t="str">
        <f>IF(Table2[[#This Row],[Age]]&gt;=30,"Experienced",IF(Table2[[#This Row],[Age]]&gt;=25,"Mid Level", "Entry Level"))</f>
        <v>Experienced</v>
      </c>
      <c r="H144" t="s">
        <v>28</v>
      </c>
      <c r="I144" t="s">
        <v>44</v>
      </c>
      <c r="J144" s="4">
        <v>45673</v>
      </c>
      <c r="K144" s="4" t="str">
        <f>TEXT(Table2[[#This Row],[Enrollment_date]],"Mmm")</f>
        <v>Jan</v>
      </c>
      <c r="L144" s="4" t="str">
        <f>TEXT(Table2[[#This Row],[Enrollment_date]],"Ddd")</f>
        <v>Thu</v>
      </c>
      <c r="M144" s="4" t="s">
        <v>34</v>
      </c>
      <c r="N144" t="s">
        <v>36</v>
      </c>
      <c r="O144" t="s">
        <v>38</v>
      </c>
      <c r="P144" s="8">
        <v>4</v>
      </c>
      <c r="Q144" s="6">
        <v>0.875</v>
      </c>
      <c r="R144" s="6">
        <v>67</v>
      </c>
      <c r="S144" s="6" t="str">
        <f>IF(Table2[[#This Row],[Avg_score]]&gt;=79,"Distinction",IF(Table2[[#This Row],[Avg_score]]&gt;=60,"Pass","Fail"))</f>
        <v>Pass</v>
      </c>
      <c r="T144" t="s">
        <v>39</v>
      </c>
      <c r="U144">
        <f>IF(Table2[[#This Row],[Completed]]="Yes",1,0)</f>
        <v>1</v>
      </c>
      <c r="V144" t="s">
        <v>39</v>
      </c>
      <c r="W144" t="s">
        <v>40</v>
      </c>
      <c r="X144" s="4">
        <v>45838</v>
      </c>
    </row>
    <row r="145" spans="1:24" x14ac:dyDescent="0.3">
      <c r="A145">
        <v>144</v>
      </c>
      <c r="B145" s="8">
        <v>48</v>
      </c>
      <c r="C145">
        <v>3</v>
      </c>
      <c r="D145" t="s">
        <v>19</v>
      </c>
      <c r="E145" t="s">
        <v>23</v>
      </c>
      <c r="F145">
        <v>33</v>
      </c>
      <c r="G145" t="str">
        <f>IF(Table2[[#This Row],[Age]]&gt;=30,"Experienced",IF(Table2[[#This Row],[Age]]&gt;=25,"Mid Level", "Entry Level"))</f>
        <v>Experienced</v>
      </c>
      <c r="H145" t="s">
        <v>28</v>
      </c>
      <c r="I145" t="s">
        <v>44</v>
      </c>
      <c r="J145" s="4">
        <v>45673</v>
      </c>
      <c r="K145" s="4" t="str">
        <f>TEXT(Table2[[#This Row],[Enrollment_date]],"Mmm")</f>
        <v>Jan</v>
      </c>
      <c r="L145" s="4" t="str">
        <f>TEXT(Table2[[#This Row],[Enrollment_date]],"Ddd")</f>
        <v>Thu</v>
      </c>
      <c r="M145" s="4" t="s">
        <v>34</v>
      </c>
      <c r="N145" t="s">
        <v>37</v>
      </c>
      <c r="O145" t="s">
        <v>38</v>
      </c>
      <c r="P145" s="8">
        <v>4</v>
      </c>
      <c r="Q145" s="6">
        <v>0.85416666666666663</v>
      </c>
      <c r="R145" s="6">
        <v>77.5</v>
      </c>
      <c r="S145" s="6" t="str">
        <f>IF(Table2[[#This Row],[Avg_score]]&gt;=79,"Distinction",IF(Table2[[#This Row],[Avg_score]]&gt;=60,"Pass","Fail"))</f>
        <v>Pass</v>
      </c>
      <c r="T145" t="s">
        <v>39</v>
      </c>
      <c r="U145">
        <f>IF(Table2[[#This Row],[Completed]]="Yes",1,0)</f>
        <v>1</v>
      </c>
      <c r="V145" t="s">
        <v>39</v>
      </c>
      <c r="W145" t="s">
        <v>40</v>
      </c>
      <c r="X145" s="4">
        <v>45838</v>
      </c>
    </row>
    <row r="146" spans="1:24" x14ac:dyDescent="0.3">
      <c r="A146">
        <v>145</v>
      </c>
      <c r="B146" s="8">
        <v>49</v>
      </c>
      <c r="C146">
        <v>1</v>
      </c>
      <c r="D146" t="s">
        <v>19</v>
      </c>
      <c r="E146" t="s">
        <v>22</v>
      </c>
      <c r="F146">
        <v>30</v>
      </c>
      <c r="G146" t="str">
        <f>IF(Table2[[#This Row],[Age]]&gt;=30,"Experienced",IF(Table2[[#This Row],[Age]]&gt;=25,"Mid Level", "Entry Level"))</f>
        <v>Experienced</v>
      </c>
      <c r="H146" t="s">
        <v>25</v>
      </c>
      <c r="I146" t="s">
        <v>44</v>
      </c>
      <c r="J146" s="4">
        <v>45725</v>
      </c>
      <c r="K146" s="4" t="str">
        <f>TEXT(Table2[[#This Row],[Enrollment_date]],"Mmm")</f>
        <v>Mar</v>
      </c>
      <c r="L146" s="4" t="str">
        <f>TEXT(Table2[[#This Row],[Enrollment_date]],"Ddd")</f>
        <v>Sun</v>
      </c>
      <c r="M146" s="4" t="s">
        <v>34</v>
      </c>
      <c r="N146" t="s">
        <v>35</v>
      </c>
      <c r="O146" t="s">
        <v>38</v>
      </c>
      <c r="P146" s="8">
        <v>4</v>
      </c>
      <c r="Q146" s="6">
        <v>0.77083333333333337</v>
      </c>
      <c r="R146" s="6">
        <v>74.5</v>
      </c>
      <c r="S146" s="6" t="str">
        <f>IF(Table2[[#This Row],[Avg_score]]&gt;=79,"Distinction",IF(Table2[[#This Row],[Avg_score]]&gt;=60,"Pass","Fail"))</f>
        <v>Pass</v>
      </c>
      <c r="T146" t="s">
        <v>39</v>
      </c>
      <c r="U146">
        <f>IF(Table2[[#This Row],[Completed]]="Yes",1,0)</f>
        <v>1</v>
      </c>
      <c r="V146" t="s">
        <v>39</v>
      </c>
      <c r="W146" t="s">
        <v>40</v>
      </c>
      <c r="X146" s="4">
        <v>45838</v>
      </c>
    </row>
    <row r="147" spans="1:24" x14ac:dyDescent="0.3">
      <c r="A147">
        <v>146</v>
      </c>
      <c r="B147" s="8">
        <v>49</v>
      </c>
      <c r="C147">
        <v>2</v>
      </c>
      <c r="D147" t="s">
        <v>19</v>
      </c>
      <c r="E147" t="s">
        <v>22</v>
      </c>
      <c r="F147">
        <v>30</v>
      </c>
      <c r="G147" t="str">
        <f>IF(Table2[[#This Row],[Age]]&gt;=30,"Experienced",IF(Table2[[#This Row],[Age]]&gt;=25,"Mid Level", "Entry Level"))</f>
        <v>Experienced</v>
      </c>
      <c r="H147" t="s">
        <v>25</v>
      </c>
      <c r="I147" t="s">
        <v>44</v>
      </c>
      <c r="J147" s="4">
        <v>45725</v>
      </c>
      <c r="K147" s="4" t="str">
        <f>TEXT(Table2[[#This Row],[Enrollment_date]],"Mmm")</f>
        <v>Mar</v>
      </c>
      <c r="L147" s="4" t="str">
        <f>TEXT(Table2[[#This Row],[Enrollment_date]],"Ddd")</f>
        <v>Sun</v>
      </c>
      <c r="M147" s="4" t="s">
        <v>34</v>
      </c>
      <c r="N147" t="s">
        <v>36</v>
      </c>
      <c r="O147" t="s">
        <v>38</v>
      </c>
      <c r="P147" s="8">
        <v>4</v>
      </c>
      <c r="Q147" s="6">
        <v>0.8125</v>
      </c>
      <c r="R147" s="6">
        <v>76.5</v>
      </c>
      <c r="S147" s="6" t="str">
        <f>IF(Table2[[#This Row],[Avg_score]]&gt;=79,"Distinction",IF(Table2[[#This Row],[Avg_score]]&gt;=60,"Pass","Fail"))</f>
        <v>Pass</v>
      </c>
      <c r="T147" t="s">
        <v>39</v>
      </c>
      <c r="U147">
        <f>IF(Table2[[#This Row],[Completed]]="Yes",1,0)</f>
        <v>1</v>
      </c>
      <c r="V147" t="s">
        <v>39</v>
      </c>
      <c r="W147" t="s">
        <v>40</v>
      </c>
      <c r="X147" s="4">
        <v>45838</v>
      </c>
    </row>
    <row r="148" spans="1:24" x14ac:dyDescent="0.3">
      <c r="A148">
        <v>147</v>
      </c>
      <c r="B148" s="8">
        <v>49</v>
      </c>
      <c r="C148">
        <v>3</v>
      </c>
      <c r="D148" t="s">
        <v>19</v>
      </c>
      <c r="E148" t="s">
        <v>22</v>
      </c>
      <c r="F148">
        <v>30</v>
      </c>
      <c r="G148" t="str">
        <f>IF(Table2[[#This Row],[Age]]&gt;=30,"Experienced",IF(Table2[[#This Row],[Age]]&gt;=25,"Mid Level", "Entry Level"))</f>
        <v>Experienced</v>
      </c>
      <c r="H148" t="s">
        <v>25</v>
      </c>
      <c r="I148" t="s">
        <v>44</v>
      </c>
      <c r="J148" s="4">
        <v>45725</v>
      </c>
      <c r="K148" s="4" t="str">
        <f>TEXT(Table2[[#This Row],[Enrollment_date]],"Mmm")</f>
        <v>Mar</v>
      </c>
      <c r="L148" s="4" t="str">
        <f>TEXT(Table2[[#This Row],[Enrollment_date]],"Ddd")</f>
        <v>Sun</v>
      </c>
      <c r="M148" s="4" t="s">
        <v>34</v>
      </c>
      <c r="N148" t="s">
        <v>37</v>
      </c>
      <c r="O148" t="s">
        <v>38</v>
      </c>
      <c r="P148" s="8">
        <v>4</v>
      </c>
      <c r="Q148" s="6">
        <v>0.77083333333333337</v>
      </c>
      <c r="R148" s="6">
        <v>58.5</v>
      </c>
      <c r="S148" s="6" t="str">
        <f>IF(Table2[[#This Row],[Avg_score]]&gt;=79,"Distinction",IF(Table2[[#This Row],[Avg_score]]&gt;=60,"Pass","Fail"))</f>
        <v>Fail</v>
      </c>
      <c r="T148" t="s">
        <v>39</v>
      </c>
      <c r="U148">
        <f>IF(Table2[[#This Row],[Completed]]="Yes",1,0)</f>
        <v>1</v>
      </c>
      <c r="V148" t="s">
        <v>39</v>
      </c>
      <c r="W148" t="s">
        <v>40</v>
      </c>
      <c r="X148" s="4">
        <v>45838</v>
      </c>
    </row>
    <row r="149" spans="1:24" x14ac:dyDescent="0.3">
      <c r="A149">
        <v>148</v>
      </c>
      <c r="B149" s="8">
        <v>50</v>
      </c>
      <c r="C149">
        <v>1</v>
      </c>
      <c r="D149" t="s">
        <v>19</v>
      </c>
      <c r="E149" t="s">
        <v>23</v>
      </c>
      <c r="F149">
        <v>27</v>
      </c>
      <c r="G149" t="str">
        <f>IF(Table2[[#This Row],[Age]]&gt;=30,"Experienced",IF(Table2[[#This Row],[Age]]&gt;=25,"Mid Level", "Entry Level"))</f>
        <v>Mid Level</v>
      </c>
      <c r="H149" t="s">
        <v>27</v>
      </c>
      <c r="I149" t="s">
        <v>44</v>
      </c>
      <c r="J149" s="4">
        <v>45697</v>
      </c>
      <c r="K149" s="4" t="str">
        <f>TEXT(Table2[[#This Row],[Enrollment_date]],"Mmm")</f>
        <v>Feb</v>
      </c>
      <c r="L149" s="4" t="str">
        <f>TEXT(Table2[[#This Row],[Enrollment_date]],"Ddd")</f>
        <v>Sun</v>
      </c>
      <c r="M149" s="4" t="s">
        <v>34</v>
      </c>
      <c r="N149" t="s">
        <v>35</v>
      </c>
      <c r="O149" t="s">
        <v>38</v>
      </c>
      <c r="P149" s="8">
        <v>4</v>
      </c>
      <c r="Q149" s="6">
        <v>0.875</v>
      </c>
      <c r="R149" s="6">
        <v>64</v>
      </c>
      <c r="S149" s="6" t="str">
        <f>IF(Table2[[#This Row],[Avg_score]]&gt;=79,"Distinction",IF(Table2[[#This Row],[Avg_score]]&gt;=60,"Pass","Fail"))</f>
        <v>Pass</v>
      </c>
      <c r="T149" t="s">
        <v>39</v>
      </c>
      <c r="U149">
        <f>IF(Table2[[#This Row],[Completed]]="Yes",1,0)</f>
        <v>1</v>
      </c>
      <c r="V149" t="s">
        <v>39</v>
      </c>
      <c r="W149" t="s">
        <v>39</v>
      </c>
      <c r="X149" s="4">
        <v>45838</v>
      </c>
    </row>
    <row r="150" spans="1:24" x14ac:dyDescent="0.3">
      <c r="A150">
        <v>149</v>
      </c>
      <c r="B150" s="8">
        <v>50</v>
      </c>
      <c r="C150">
        <v>2</v>
      </c>
      <c r="D150" t="s">
        <v>21</v>
      </c>
      <c r="E150" t="s">
        <v>23</v>
      </c>
      <c r="F150">
        <v>27</v>
      </c>
      <c r="G150" t="str">
        <f>IF(Table2[[#This Row],[Age]]&gt;=30,"Experienced",IF(Table2[[#This Row],[Age]]&gt;=25,"Mid Level", "Entry Level"))</f>
        <v>Mid Level</v>
      </c>
      <c r="H150" t="s">
        <v>27</v>
      </c>
      <c r="I150" t="s">
        <v>44</v>
      </c>
      <c r="J150" s="4">
        <v>45697</v>
      </c>
      <c r="K150" s="4" t="str">
        <f>TEXT(Table2[[#This Row],[Enrollment_date]],"Mmm")</f>
        <v>Feb</v>
      </c>
      <c r="L150" s="4" t="str">
        <f>TEXT(Table2[[#This Row],[Enrollment_date]],"Ddd")</f>
        <v>Sun</v>
      </c>
      <c r="M150" s="4" t="s">
        <v>34</v>
      </c>
      <c r="N150" t="s">
        <v>36</v>
      </c>
      <c r="O150" t="s">
        <v>38</v>
      </c>
      <c r="P150" s="8">
        <v>4</v>
      </c>
      <c r="Q150" s="6">
        <v>0.875</v>
      </c>
      <c r="R150" s="6">
        <v>55.5</v>
      </c>
      <c r="S150" s="6" t="str">
        <f>IF(Table2[[#This Row],[Avg_score]]&gt;=79,"Distinction",IF(Table2[[#This Row],[Avg_score]]&gt;=60,"Pass","Fail"))</f>
        <v>Fail</v>
      </c>
      <c r="T150" t="s">
        <v>39</v>
      </c>
      <c r="U150">
        <f>IF(Table2[[#This Row],[Completed]]="Yes",1,0)</f>
        <v>1</v>
      </c>
      <c r="V150" t="s">
        <v>39</v>
      </c>
      <c r="W150" t="s">
        <v>39</v>
      </c>
      <c r="X150" s="4">
        <v>45838</v>
      </c>
    </row>
    <row r="151" spans="1:24" x14ac:dyDescent="0.3">
      <c r="A151">
        <v>150</v>
      </c>
      <c r="B151" s="8">
        <v>50</v>
      </c>
      <c r="C151">
        <v>3</v>
      </c>
      <c r="D151" t="s">
        <v>19</v>
      </c>
      <c r="E151" t="s">
        <v>23</v>
      </c>
      <c r="F151">
        <v>27</v>
      </c>
      <c r="G151" t="str">
        <f>IF(Table2[[#This Row],[Age]]&gt;=30,"Experienced",IF(Table2[[#This Row],[Age]]&gt;=25,"Mid Level", "Entry Level"))</f>
        <v>Mid Level</v>
      </c>
      <c r="H151" t="s">
        <v>27</v>
      </c>
      <c r="I151" t="s">
        <v>44</v>
      </c>
      <c r="J151" s="4">
        <v>45697</v>
      </c>
      <c r="K151" s="4" t="str">
        <f>TEXT(Table2[[#This Row],[Enrollment_date]],"Mmm")</f>
        <v>Feb</v>
      </c>
      <c r="L151" s="4" t="str">
        <f>TEXT(Table2[[#This Row],[Enrollment_date]],"Ddd")</f>
        <v>Sun</v>
      </c>
      <c r="M151" s="4" t="s">
        <v>34</v>
      </c>
      <c r="N151" t="s">
        <v>37</v>
      </c>
      <c r="O151" t="s">
        <v>38</v>
      </c>
      <c r="P151" s="8">
        <v>4</v>
      </c>
      <c r="Q151" s="6">
        <v>0.89583333333333337</v>
      </c>
      <c r="R151" s="6">
        <v>72.5</v>
      </c>
      <c r="S151" s="6" t="str">
        <f>IF(Table2[[#This Row],[Avg_score]]&gt;=79,"Distinction",IF(Table2[[#This Row],[Avg_score]]&gt;=60,"Pass","Fail"))</f>
        <v>Pass</v>
      </c>
      <c r="T151" t="s">
        <v>39</v>
      </c>
      <c r="U151">
        <f>IF(Table2[[#This Row],[Completed]]="Yes",1,0)</f>
        <v>1</v>
      </c>
      <c r="V151" t="s">
        <v>39</v>
      </c>
      <c r="W151" t="s">
        <v>39</v>
      </c>
      <c r="X151" s="4">
        <v>45838</v>
      </c>
    </row>
    <row r="152" spans="1:24" x14ac:dyDescent="0.3">
      <c r="A152">
        <v>151</v>
      </c>
      <c r="B152" s="8">
        <v>51</v>
      </c>
      <c r="C152">
        <v>1</v>
      </c>
      <c r="D152" t="s">
        <v>19</v>
      </c>
      <c r="E152" t="s">
        <v>22</v>
      </c>
      <c r="F152">
        <v>27</v>
      </c>
      <c r="G152" t="str">
        <f>IF(Table2[[#This Row],[Age]]&gt;=30,"Experienced",IF(Table2[[#This Row],[Age]]&gt;=25,"Mid Level", "Entry Level"))</f>
        <v>Mid Level</v>
      </c>
      <c r="H152" t="s">
        <v>28</v>
      </c>
      <c r="I152" t="s">
        <v>68</v>
      </c>
      <c r="J152" s="4">
        <v>45806</v>
      </c>
      <c r="K152" s="4" t="str">
        <f>TEXT(Table2[[#This Row],[Enrollment_date]],"Mmm")</f>
        <v>May</v>
      </c>
      <c r="L152" s="4" t="str">
        <f>TEXT(Table2[[#This Row],[Enrollment_date]],"Ddd")</f>
        <v>Thu</v>
      </c>
      <c r="M152" s="4" t="s">
        <v>34</v>
      </c>
      <c r="N152" t="s">
        <v>35</v>
      </c>
      <c r="O152" t="s">
        <v>38</v>
      </c>
      <c r="P152" s="8">
        <v>4</v>
      </c>
      <c r="Q152" s="6">
        <v>0.85416666666666663</v>
      </c>
      <c r="R152" s="6">
        <v>73</v>
      </c>
      <c r="S152" s="6" t="str">
        <f>IF(Table2[[#This Row],[Avg_score]]&gt;=79,"Distinction",IF(Table2[[#This Row],[Avg_score]]&gt;=60,"Pass","Fail"))</f>
        <v>Pass</v>
      </c>
      <c r="T152" t="s">
        <v>39</v>
      </c>
      <c r="U152">
        <f>IF(Table2[[#This Row],[Completed]]="Yes",1,0)</f>
        <v>1</v>
      </c>
      <c r="V152" t="s">
        <v>39</v>
      </c>
      <c r="W152" t="s">
        <v>40</v>
      </c>
      <c r="X152" s="4">
        <v>45838</v>
      </c>
    </row>
    <row r="153" spans="1:24" x14ac:dyDescent="0.3">
      <c r="A153">
        <v>152</v>
      </c>
      <c r="B153" s="8">
        <v>51</v>
      </c>
      <c r="C153">
        <v>2</v>
      </c>
      <c r="D153" t="s">
        <v>19</v>
      </c>
      <c r="E153" t="s">
        <v>22</v>
      </c>
      <c r="F153">
        <v>27</v>
      </c>
      <c r="G153" t="str">
        <f>IF(Table2[[#This Row],[Age]]&gt;=30,"Experienced",IF(Table2[[#This Row],[Age]]&gt;=25,"Mid Level", "Entry Level"))</f>
        <v>Mid Level</v>
      </c>
      <c r="H153" t="s">
        <v>28</v>
      </c>
      <c r="I153" t="s">
        <v>68</v>
      </c>
      <c r="J153" s="4">
        <v>45806</v>
      </c>
      <c r="K153" s="4" t="str">
        <f>TEXT(Table2[[#This Row],[Enrollment_date]],"Mmm")</f>
        <v>May</v>
      </c>
      <c r="L153" s="4" t="str">
        <f>TEXT(Table2[[#This Row],[Enrollment_date]],"Ddd")</f>
        <v>Thu</v>
      </c>
      <c r="M153" s="4" t="s">
        <v>34</v>
      </c>
      <c r="N153" t="s">
        <v>36</v>
      </c>
      <c r="O153" t="s">
        <v>38</v>
      </c>
      <c r="P153" s="8">
        <v>4</v>
      </c>
      <c r="Q153" s="6">
        <v>0.83333333333333337</v>
      </c>
      <c r="R153" s="6">
        <v>59</v>
      </c>
      <c r="S153" s="6" t="str">
        <f>IF(Table2[[#This Row],[Avg_score]]&gt;=79,"Distinction",IF(Table2[[#This Row],[Avg_score]]&gt;=60,"Pass","Fail"))</f>
        <v>Fail</v>
      </c>
      <c r="T153" t="s">
        <v>39</v>
      </c>
      <c r="U153">
        <f>IF(Table2[[#This Row],[Completed]]="Yes",1,0)</f>
        <v>1</v>
      </c>
      <c r="V153" t="s">
        <v>39</v>
      </c>
      <c r="W153" t="s">
        <v>40</v>
      </c>
      <c r="X153" s="4">
        <v>45838</v>
      </c>
    </row>
    <row r="154" spans="1:24" x14ac:dyDescent="0.3">
      <c r="A154">
        <v>153</v>
      </c>
      <c r="B154" s="8">
        <v>51</v>
      </c>
      <c r="C154">
        <v>3</v>
      </c>
      <c r="D154" t="s">
        <v>19</v>
      </c>
      <c r="E154" t="s">
        <v>22</v>
      </c>
      <c r="F154">
        <v>27</v>
      </c>
      <c r="G154" t="str">
        <f>IF(Table2[[#This Row],[Age]]&gt;=30,"Experienced",IF(Table2[[#This Row],[Age]]&gt;=25,"Mid Level", "Entry Level"))</f>
        <v>Mid Level</v>
      </c>
      <c r="H154" t="s">
        <v>28</v>
      </c>
      <c r="I154" t="s">
        <v>68</v>
      </c>
      <c r="J154" s="4">
        <v>45806</v>
      </c>
      <c r="K154" s="4" t="str">
        <f>TEXT(Table2[[#This Row],[Enrollment_date]],"Mmm")</f>
        <v>May</v>
      </c>
      <c r="L154" s="4" t="str">
        <f>TEXT(Table2[[#This Row],[Enrollment_date]],"Ddd")</f>
        <v>Thu</v>
      </c>
      <c r="M154" s="4" t="s">
        <v>34</v>
      </c>
      <c r="N154" t="s">
        <v>37</v>
      </c>
      <c r="O154" t="s">
        <v>38</v>
      </c>
      <c r="P154" s="8">
        <v>4</v>
      </c>
      <c r="Q154" s="6">
        <v>0.79166666666666663</v>
      </c>
      <c r="R154" s="6">
        <v>78.5</v>
      </c>
      <c r="S154" s="6" t="str">
        <f>IF(Table2[[#This Row],[Avg_score]]&gt;=79,"Distinction",IF(Table2[[#This Row],[Avg_score]]&gt;=60,"Pass","Fail"))</f>
        <v>Pass</v>
      </c>
      <c r="T154" t="s">
        <v>39</v>
      </c>
      <c r="U154">
        <f>IF(Table2[[#This Row],[Completed]]="Yes",1,0)</f>
        <v>1</v>
      </c>
      <c r="V154" t="s">
        <v>39</v>
      </c>
      <c r="W154" t="s">
        <v>40</v>
      </c>
      <c r="X154" s="4">
        <v>45838</v>
      </c>
    </row>
    <row r="155" spans="1:24" x14ac:dyDescent="0.3">
      <c r="A155">
        <v>154</v>
      </c>
      <c r="B155" s="8">
        <v>52</v>
      </c>
      <c r="C155">
        <v>1</v>
      </c>
      <c r="D155" t="s">
        <v>19</v>
      </c>
      <c r="E155" t="s">
        <v>22</v>
      </c>
      <c r="F155">
        <v>28</v>
      </c>
      <c r="G155" t="str">
        <f>IF(Table2[[#This Row],[Age]]&gt;=30,"Experienced",IF(Table2[[#This Row],[Age]]&gt;=25,"Mid Level", "Entry Level"))</f>
        <v>Mid Level</v>
      </c>
      <c r="H155" t="s">
        <v>25</v>
      </c>
      <c r="I155" t="s">
        <v>68</v>
      </c>
      <c r="J155" s="4">
        <v>45807</v>
      </c>
      <c r="K155" s="4" t="str">
        <f>TEXT(Table2[[#This Row],[Enrollment_date]],"Mmm")</f>
        <v>May</v>
      </c>
      <c r="L155" s="4" t="str">
        <f>TEXT(Table2[[#This Row],[Enrollment_date]],"Ddd")</f>
        <v>Fri</v>
      </c>
      <c r="M155" s="4" t="s">
        <v>34</v>
      </c>
      <c r="N155" t="s">
        <v>35</v>
      </c>
      <c r="O155" t="s">
        <v>38</v>
      </c>
      <c r="P155" s="8">
        <v>4</v>
      </c>
      <c r="Q155" s="6">
        <v>0.77083333333333337</v>
      </c>
      <c r="R155" s="6">
        <v>64.5</v>
      </c>
      <c r="S155" s="6" t="str">
        <f>IF(Table2[[#This Row],[Avg_score]]&gt;=79,"Distinction",IF(Table2[[#This Row],[Avg_score]]&gt;=60,"Pass","Fail"))</f>
        <v>Pass</v>
      </c>
      <c r="T155" t="s">
        <v>40</v>
      </c>
      <c r="U155">
        <f>IF(Table2[[#This Row],[Completed]]="Yes",1,0)</f>
        <v>0</v>
      </c>
      <c r="V155" t="s">
        <v>40</v>
      </c>
      <c r="W155" t="s">
        <v>40</v>
      </c>
      <c r="X155" s="4">
        <v>45838</v>
      </c>
    </row>
    <row r="156" spans="1:24" x14ac:dyDescent="0.3">
      <c r="A156">
        <v>155</v>
      </c>
      <c r="B156" s="8">
        <v>52</v>
      </c>
      <c r="C156">
        <v>2</v>
      </c>
      <c r="D156" t="s">
        <v>21</v>
      </c>
      <c r="E156" t="s">
        <v>22</v>
      </c>
      <c r="F156">
        <v>28</v>
      </c>
      <c r="G156" t="str">
        <f>IF(Table2[[#This Row],[Age]]&gt;=30,"Experienced",IF(Table2[[#This Row],[Age]]&gt;=25,"Mid Level", "Entry Level"))</f>
        <v>Mid Level</v>
      </c>
      <c r="H156" t="s">
        <v>25</v>
      </c>
      <c r="I156" t="s">
        <v>68</v>
      </c>
      <c r="J156" s="4">
        <v>45807</v>
      </c>
      <c r="K156" s="4" t="str">
        <f>TEXT(Table2[[#This Row],[Enrollment_date]],"Mmm")</f>
        <v>May</v>
      </c>
      <c r="L156" s="4" t="str">
        <f>TEXT(Table2[[#This Row],[Enrollment_date]],"Ddd")</f>
        <v>Fri</v>
      </c>
      <c r="M156" s="4" t="s">
        <v>34</v>
      </c>
      <c r="N156" t="s">
        <v>36</v>
      </c>
      <c r="O156" t="s">
        <v>38</v>
      </c>
      <c r="P156" s="8">
        <v>4</v>
      </c>
      <c r="Q156" s="6">
        <v>0.72916666666666663</v>
      </c>
      <c r="R156" s="6">
        <v>80.5</v>
      </c>
      <c r="S156" s="6" t="str">
        <f>IF(Table2[[#This Row],[Avg_score]]&gt;=79,"Distinction",IF(Table2[[#This Row],[Avg_score]]&gt;=60,"Pass","Fail"))</f>
        <v>Distinction</v>
      </c>
      <c r="T156" t="s">
        <v>40</v>
      </c>
      <c r="U156">
        <f>IF(Table2[[#This Row],[Completed]]="Yes",1,0)</f>
        <v>0</v>
      </c>
      <c r="V156" t="s">
        <v>40</v>
      </c>
      <c r="W156" t="s">
        <v>40</v>
      </c>
      <c r="X156" s="4">
        <v>45838</v>
      </c>
    </row>
    <row r="157" spans="1:24" x14ac:dyDescent="0.3">
      <c r="A157">
        <v>156</v>
      </c>
      <c r="B157" s="8">
        <v>52</v>
      </c>
      <c r="C157">
        <v>3</v>
      </c>
      <c r="D157" t="s">
        <v>21</v>
      </c>
      <c r="E157" t="s">
        <v>22</v>
      </c>
      <c r="F157">
        <v>28</v>
      </c>
      <c r="G157" t="str">
        <f>IF(Table2[[#This Row],[Age]]&gt;=30,"Experienced",IF(Table2[[#This Row],[Age]]&gt;=25,"Mid Level", "Entry Level"))</f>
        <v>Mid Level</v>
      </c>
      <c r="H157" t="s">
        <v>25</v>
      </c>
      <c r="I157" t="s">
        <v>68</v>
      </c>
      <c r="J157" s="4">
        <v>45807</v>
      </c>
      <c r="K157" s="4" t="str">
        <f>TEXT(Table2[[#This Row],[Enrollment_date]],"Mmm")</f>
        <v>May</v>
      </c>
      <c r="L157" s="4" t="str">
        <f>TEXT(Table2[[#This Row],[Enrollment_date]],"Ddd")</f>
        <v>Fri</v>
      </c>
      <c r="M157" s="4" t="s">
        <v>34</v>
      </c>
      <c r="N157" t="s">
        <v>37</v>
      </c>
      <c r="O157" t="s">
        <v>38</v>
      </c>
      <c r="P157" s="8">
        <v>4</v>
      </c>
      <c r="Q157" s="6">
        <v>0.83333333333333337</v>
      </c>
      <c r="R157" s="6">
        <v>84</v>
      </c>
      <c r="S157" s="6" t="str">
        <f>IF(Table2[[#This Row],[Avg_score]]&gt;=79,"Distinction",IF(Table2[[#This Row],[Avg_score]]&gt;=60,"Pass","Fail"))</f>
        <v>Distinction</v>
      </c>
      <c r="T157" t="s">
        <v>40</v>
      </c>
      <c r="U157">
        <f>IF(Table2[[#This Row],[Completed]]="Yes",1,0)</f>
        <v>0</v>
      </c>
      <c r="V157" t="s">
        <v>40</v>
      </c>
      <c r="W157" t="s">
        <v>40</v>
      </c>
      <c r="X157" s="4">
        <v>45838</v>
      </c>
    </row>
    <row r="158" spans="1:24" x14ac:dyDescent="0.3">
      <c r="A158">
        <v>157</v>
      </c>
      <c r="B158" s="8">
        <v>53</v>
      </c>
      <c r="C158">
        <v>1</v>
      </c>
      <c r="D158" t="s">
        <v>19</v>
      </c>
      <c r="E158" t="s">
        <v>23</v>
      </c>
      <c r="F158">
        <v>34</v>
      </c>
      <c r="G158" t="str">
        <f>IF(Table2[[#This Row],[Age]]&gt;=30,"Experienced",IF(Table2[[#This Row],[Age]]&gt;=25,"Mid Level", "Entry Level"))</f>
        <v>Experienced</v>
      </c>
      <c r="H158" t="s">
        <v>26</v>
      </c>
      <c r="I158" t="s">
        <v>32</v>
      </c>
      <c r="J158" s="4">
        <v>45672</v>
      </c>
      <c r="K158" s="4" t="str">
        <f>TEXT(Table2[[#This Row],[Enrollment_date]],"Mmm")</f>
        <v>Jan</v>
      </c>
      <c r="L158" s="4" t="str">
        <f>TEXT(Table2[[#This Row],[Enrollment_date]],"Ddd")</f>
        <v>Wed</v>
      </c>
      <c r="M158" s="4" t="s">
        <v>34</v>
      </c>
      <c r="N158" t="s">
        <v>35</v>
      </c>
      <c r="O158" t="s">
        <v>38</v>
      </c>
      <c r="P158" s="8">
        <v>4</v>
      </c>
      <c r="Q158" s="6">
        <v>0.91666666666666663</v>
      </c>
      <c r="R158" s="6">
        <v>72.5</v>
      </c>
      <c r="S158" s="6" t="str">
        <f>IF(Table2[[#This Row],[Avg_score]]&gt;=79,"Distinction",IF(Table2[[#This Row],[Avg_score]]&gt;=60,"Pass","Fail"))</f>
        <v>Pass</v>
      </c>
      <c r="T158" t="s">
        <v>39</v>
      </c>
      <c r="U158">
        <f>IF(Table2[[#This Row],[Completed]]="Yes",1,0)</f>
        <v>1</v>
      </c>
      <c r="V158" t="s">
        <v>39</v>
      </c>
      <c r="W158" t="s">
        <v>40</v>
      </c>
      <c r="X158" s="4">
        <v>45838</v>
      </c>
    </row>
    <row r="159" spans="1:24" x14ac:dyDescent="0.3">
      <c r="A159">
        <v>158</v>
      </c>
      <c r="B159" s="8">
        <v>53</v>
      </c>
      <c r="C159">
        <v>2</v>
      </c>
      <c r="D159" t="s">
        <v>21</v>
      </c>
      <c r="E159" t="s">
        <v>23</v>
      </c>
      <c r="F159">
        <v>34</v>
      </c>
      <c r="G159" t="str">
        <f>IF(Table2[[#This Row],[Age]]&gt;=30,"Experienced",IF(Table2[[#This Row],[Age]]&gt;=25,"Mid Level", "Entry Level"))</f>
        <v>Experienced</v>
      </c>
      <c r="H159" t="s">
        <v>26</v>
      </c>
      <c r="I159" t="s">
        <v>32</v>
      </c>
      <c r="J159" s="4">
        <v>45672</v>
      </c>
      <c r="K159" s="4" t="str">
        <f>TEXT(Table2[[#This Row],[Enrollment_date]],"Mmm")</f>
        <v>Jan</v>
      </c>
      <c r="L159" s="4" t="str">
        <f>TEXT(Table2[[#This Row],[Enrollment_date]],"Ddd")</f>
        <v>Wed</v>
      </c>
      <c r="M159" s="4" t="s">
        <v>34</v>
      </c>
      <c r="N159" t="s">
        <v>36</v>
      </c>
      <c r="O159" t="s">
        <v>38</v>
      </c>
      <c r="P159" s="8">
        <v>4</v>
      </c>
      <c r="Q159" s="6">
        <v>0.875</v>
      </c>
      <c r="R159" s="6">
        <v>63.5</v>
      </c>
      <c r="S159" s="6" t="str">
        <f>IF(Table2[[#This Row],[Avg_score]]&gt;=79,"Distinction",IF(Table2[[#This Row],[Avg_score]]&gt;=60,"Pass","Fail"))</f>
        <v>Pass</v>
      </c>
      <c r="T159" t="s">
        <v>39</v>
      </c>
      <c r="U159">
        <f>IF(Table2[[#This Row],[Completed]]="Yes",1,0)</f>
        <v>1</v>
      </c>
      <c r="V159" t="s">
        <v>39</v>
      </c>
      <c r="W159" t="s">
        <v>40</v>
      </c>
      <c r="X159" s="4">
        <v>45838</v>
      </c>
    </row>
    <row r="160" spans="1:24" x14ac:dyDescent="0.3">
      <c r="A160">
        <v>159</v>
      </c>
      <c r="B160" s="8">
        <v>53</v>
      </c>
      <c r="C160">
        <v>3</v>
      </c>
      <c r="D160" t="s">
        <v>21</v>
      </c>
      <c r="E160" t="s">
        <v>23</v>
      </c>
      <c r="F160">
        <v>34</v>
      </c>
      <c r="G160" t="str">
        <f>IF(Table2[[#This Row],[Age]]&gt;=30,"Experienced",IF(Table2[[#This Row],[Age]]&gt;=25,"Mid Level", "Entry Level"))</f>
        <v>Experienced</v>
      </c>
      <c r="H160" t="s">
        <v>26</v>
      </c>
      <c r="I160" t="s">
        <v>32</v>
      </c>
      <c r="J160" s="4">
        <v>45672</v>
      </c>
      <c r="K160" s="4" t="str">
        <f>TEXT(Table2[[#This Row],[Enrollment_date]],"Mmm")</f>
        <v>Jan</v>
      </c>
      <c r="L160" s="4" t="str">
        <f>TEXT(Table2[[#This Row],[Enrollment_date]],"Ddd")</f>
        <v>Wed</v>
      </c>
      <c r="M160" s="4" t="s">
        <v>34</v>
      </c>
      <c r="N160" t="s">
        <v>37</v>
      </c>
      <c r="O160" t="s">
        <v>38</v>
      </c>
      <c r="P160" s="8">
        <v>4</v>
      </c>
      <c r="Q160" s="6">
        <v>0.875</v>
      </c>
      <c r="R160" s="6">
        <v>77.5</v>
      </c>
      <c r="S160" s="6" t="str">
        <f>IF(Table2[[#This Row],[Avg_score]]&gt;=79,"Distinction",IF(Table2[[#This Row],[Avg_score]]&gt;=60,"Pass","Fail"))</f>
        <v>Pass</v>
      </c>
      <c r="T160" t="s">
        <v>39</v>
      </c>
      <c r="U160">
        <f>IF(Table2[[#This Row],[Completed]]="Yes",1,0)</f>
        <v>1</v>
      </c>
      <c r="V160" t="s">
        <v>39</v>
      </c>
      <c r="W160" t="s">
        <v>40</v>
      </c>
      <c r="X160" s="4">
        <v>45838</v>
      </c>
    </row>
    <row r="161" spans="1:24" x14ac:dyDescent="0.3">
      <c r="A161">
        <v>160</v>
      </c>
      <c r="B161" s="8">
        <v>54</v>
      </c>
      <c r="C161">
        <v>1</v>
      </c>
      <c r="D161" t="s">
        <v>19</v>
      </c>
      <c r="E161" t="s">
        <v>22</v>
      </c>
      <c r="F161">
        <v>23</v>
      </c>
      <c r="G161" t="str">
        <f>IF(Table2[[#This Row],[Age]]&gt;=30,"Experienced",IF(Table2[[#This Row],[Age]]&gt;=25,"Mid Level", "Entry Level"))</f>
        <v>Entry Level</v>
      </c>
      <c r="H161" t="s">
        <v>25</v>
      </c>
      <c r="I161" t="s">
        <v>68</v>
      </c>
      <c r="J161" s="4">
        <v>45718</v>
      </c>
      <c r="K161" s="4" t="str">
        <f>TEXT(Table2[[#This Row],[Enrollment_date]],"Mmm")</f>
        <v>Mar</v>
      </c>
      <c r="L161" s="4" t="str">
        <f>TEXT(Table2[[#This Row],[Enrollment_date]],"Ddd")</f>
        <v>Sun</v>
      </c>
      <c r="M161" s="4" t="s">
        <v>34</v>
      </c>
      <c r="N161" t="s">
        <v>35</v>
      </c>
      <c r="O161" t="s">
        <v>38</v>
      </c>
      <c r="P161" s="8">
        <v>4</v>
      </c>
      <c r="Q161" s="6">
        <v>0.91666666666666663</v>
      </c>
      <c r="R161" s="6">
        <v>66.5</v>
      </c>
      <c r="S161" s="6" t="str">
        <f>IF(Table2[[#This Row],[Avg_score]]&gt;=79,"Distinction",IF(Table2[[#This Row],[Avg_score]]&gt;=60,"Pass","Fail"))</f>
        <v>Pass</v>
      </c>
      <c r="T161" t="s">
        <v>40</v>
      </c>
      <c r="U161">
        <f>IF(Table2[[#This Row],[Completed]]="Yes",1,0)</f>
        <v>0</v>
      </c>
      <c r="V161" t="s">
        <v>40</v>
      </c>
      <c r="W161" t="s">
        <v>40</v>
      </c>
      <c r="X161" s="4">
        <v>45838</v>
      </c>
    </row>
    <row r="162" spans="1:24" x14ac:dyDescent="0.3">
      <c r="A162">
        <v>161</v>
      </c>
      <c r="B162" s="8">
        <v>54</v>
      </c>
      <c r="C162">
        <v>2</v>
      </c>
      <c r="D162" t="s">
        <v>19</v>
      </c>
      <c r="E162" t="s">
        <v>22</v>
      </c>
      <c r="F162">
        <v>23</v>
      </c>
      <c r="G162" t="str">
        <f>IF(Table2[[#This Row],[Age]]&gt;=30,"Experienced",IF(Table2[[#This Row],[Age]]&gt;=25,"Mid Level", "Entry Level"))</f>
        <v>Entry Level</v>
      </c>
      <c r="H162" t="s">
        <v>25</v>
      </c>
      <c r="I162" t="s">
        <v>68</v>
      </c>
      <c r="J162" s="4">
        <v>45718</v>
      </c>
      <c r="K162" s="4" t="str">
        <f>TEXT(Table2[[#This Row],[Enrollment_date]],"Mmm")</f>
        <v>Mar</v>
      </c>
      <c r="L162" s="4" t="str">
        <f>TEXT(Table2[[#This Row],[Enrollment_date]],"Ddd")</f>
        <v>Sun</v>
      </c>
      <c r="M162" s="4" t="s">
        <v>34</v>
      </c>
      <c r="N162" t="s">
        <v>36</v>
      </c>
      <c r="O162" t="s">
        <v>38</v>
      </c>
      <c r="P162" s="8">
        <v>4</v>
      </c>
      <c r="Q162" s="6">
        <v>0.875</v>
      </c>
      <c r="R162" s="6">
        <v>52.5</v>
      </c>
      <c r="S162" s="6" t="str">
        <f>IF(Table2[[#This Row],[Avg_score]]&gt;=79,"Distinction",IF(Table2[[#This Row],[Avg_score]]&gt;=60,"Pass","Fail"))</f>
        <v>Fail</v>
      </c>
      <c r="T162" t="s">
        <v>40</v>
      </c>
      <c r="U162">
        <f>IF(Table2[[#This Row],[Completed]]="Yes",1,0)</f>
        <v>0</v>
      </c>
      <c r="V162" t="s">
        <v>40</v>
      </c>
      <c r="W162" t="s">
        <v>40</v>
      </c>
      <c r="X162" s="4">
        <v>45838</v>
      </c>
    </row>
    <row r="163" spans="1:24" x14ac:dyDescent="0.3">
      <c r="A163">
        <v>162</v>
      </c>
      <c r="B163" s="8">
        <v>54</v>
      </c>
      <c r="C163">
        <v>3</v>
      </c>
      <c r="D163" t="s">
        <v>19</v>
      </c>
      <c r="E163" t="s">
        <v>22</v>
      </c>
      <c r="F163">
        <v>23</v>
      </c>
      <c r="G163" t="str">
        <f>IF(Table2[[#This Row],[Age]]&gt;=30,"Experienced",IF(Table2[[#This Row],[Age]]&gt;=25,"Mid Level", "Entry Level"))</f>
        <v>Entry Level</v>
      </c>
      <c r="H163" t="s">
        <v>25</v>
      </c>
      <c r="I163" t="s">
        <v>68</v>
      </c>
      <c r="J163" s="4">
        <v>45718</v>
      </c>
      <c r="K163" s="4" t="str">
        <f>TEXT(Table2[[#This Row],[Enrollment_date]],"Mmm")</f>
        <v>Mar</v>
      </c>
      <c r="L163" s="4" t="str">
        <f>TEXT(Table2[[#This Row],[Enrollment_date]],"Ddd")</f>
        <v>Sun</v>
      </c>
      <c r="M163" s="4" t="s">
        <v>34</v>
      </c>
      <c r="N163" t="s">
        <v>37</v>
      </c>
      <c r="O163" t="s">
        <v>38</v>
      </c>
      <c r="P163" s="8">
        <v>4</v>
      </c>
      <c r="Q163" s="6">
        <v>0.79166666666666663</v>
      </c>
      <c r="R163" s="6">
        <v>80</v>
      </c>
      <c r="S163" s="6" t="str">
        <f>IF(Table2[[#This Row],[Avg_score]]&gt;=79,"Distinction",IF(Table2[[#This Row],[Avg_score]]&gt;=60,"Pass","Fail"))</f>
        <v>Distinction</v>
      </c>
      <c r="T163" t="s">
        <v>40</v>
      </c>
      <c r="U163">
        <f>IF(Table2[[#This Row],[Completed]]="Yes",1,0)</f>
        <v>0</v>
      </c>
      <c r="V163" t="s">
        <v>40</v>
      </c>
      <c r="W163" t="s">
        <v>40</v>
      </c>
      <c r="X163" s="4">
        <v>45838</v>
      </c>
    </row>
    <row r="164" spans="1:24" x14ac:dyDescent="0.3">
      <c r="A164">
        <v>163</v>
      </c>
      <c r="B164" s="8">
        <v>55</v>
      </c>
      <c r="C164">
        <v>1</v>
      </c>
      <c r="D164" t="s">
        <v>19</v>
      </c>
      <c r="E164" t="s">
        <v>23</v>
      </c>
      <c r="F164">
        <v>21</v>
      </c>
      <c r="G164" t="str">
        <f>IF(Table2[[#This Row],[Age]]&gt;=30,"Experienced",IF(Table2[[#This Row],[Age]]&gt;=25,"Mid Level", "Entry Level"))</f>
        <v>Entry Level</v>
      </c>
      <c r="H164" t="s">
        <v>26</v>
      </c>
      <c r="I164" t="s">
        <v>32</v>
      </c>
      <c r="J164" s="4">
        <v>45806</v>
      </c>
      <c r="K164" s="4" t="str">
        <f>TEXT(Table2[[#This Row],[Enrollment_date]],"Mmm")</f>
        <v>May</v>
      </c>
      <c r="L164" s="4" t="str">
        <f>TEXT(Table2[[#This Row],[Enrollment_date]],"Ddd")</f>
        <v>Thu</v>
      </c>
      <c r="M164" s="4" t="s">
        <v>34</v>
      </c>
      <c r="N164" t="s">
        <v>35</v>
      </c>
      <c r="O164" t="s">
        <v>38</v>
      </c>
      <c r="P164" s="8">
        <v>4</v>
      </c>
      <c r="Q164" s="6">
        <v>0.83333333333333337</v>
      </c>
      <c r="R164" s="6">
        <v>76</v>
      </c>
      <c r="S164" s="6" t="str">
        <f>IF(Table2[[#This Row],[Avg_score]]&gt;=79,"Distinction",IF(Table2[[#This Row],[Avg_score]]&gt;=60,"Pass","Fail"))</f>
        <v>Pass</v>
      </c>
      <c r="T164" t="s">
        <v>39</v>
      </c>
      <c r="U164">
        <f>IF(Table2[[#This Row],[Completed]]="Yes",1,0)</f>
        <v>1</v>
      </c>
      <c r="V164" t="s">
        <v>39</v>
      </c>
      <c r="W164" t="s">
        <v>40</v>
      </c>
      <c r="X164" s="4">
        <v>45838</v>
      </c>
    </row>
    <row r="165" spans="1:24" x14ac:dyDescent="0.3">
      <c r="A165">
        <v>164</v>
      </c>
      <c r="B165" s="8">
        <v>55</v>
      </c>
      <c r="C165">
        <v>2</v>
      </c>
      <c r="D165" t="s">
        <v>20</v>
      </c>
      <c r="E165" t="s">
        <v>23</v>
      </c>
      <c r="F165">
        <v>21</v>
      </c>
      <c r="G165" t="str">
        <f>IF(Table2[[#This Row],[Age]]&gt;=30,"Experienced",IF(Table2[[#This Row],[Age]]&gt;=25,"Mid Level", "Entry Level"))</f>
        <v>Entry Level</v>
      </c>
      <c r="H165" t="s">
        <v>26</v>
      </c>
      <c r="I165" t="s">
        <v>32</v>
      </c>
      <c r="J165" s="4">
        <v>45806</v>
      </c>
      <c r="K165" s="4" t="str">
        <f>TEXT(Table2[[#This Row],[Enrollment_date]],"Mmm")</f>
        <v>May</v>
      </c>
      <c r="L165" s="4" t="str">
        <f>TEXT(Table2[[#This Row],[Enrollment_date]],"Ddd")</f>
        <v>Thu</v>
      </c>
      <c r="M165" s="4" t="s">
        <v>34</v>
      </c>
      <c r="N165" t="s">
        <v>36</v>
      </c>
      <c r="O165" t="s">
        <v>38</v>
      </c>
      <c r="P165" s="8">
        <v>4</v>
      </c>
      <c r="Q165" s="6">
        <v>0.77083333333333337</v>
      </c>
      <c r="R165" s="6">
        <v>79.5</v>
      </c>
      <c r="S165" s="6" t="str">
        <f>IF(Table2[[#This Row],[Avg_score]]&gt;=79,"Distinction",IF(Table2[[#This Row],[Avg_score]]&gt;=60,"Pass","Fail"))</f>
        <v>Distinction</v>
      </c>
      <c r="T165" t="s">
        <v>39</v>
      </c>
      <c r="U165">
        <f>IF(Table2[[#This Row],[Completed]]="Yes",1,0)</f>
        <v>1</v>
      </c>
      <c r="V165" t="s">
        <v>39</v>
      </c>
      <c r="W165" t="s">
        <v>40</v>
      </c>
      <c r="X165" s="4">
        <v>45838</v>
      </c>
    </row>
    <row r="166" spans="1:24" x14ac:dyDescent="0.3">
      <c r="A166">
        <v>165</v>
      </c>
      <c r="B166" s="8">
        <v>55</v>
      </c>
      <c r="C166">
        <v>3</v>
      </c>
      <c r="D166" t="s">
        <v>20</v>
      </c>
      <c r="E166" t="s">
        <v>23</v>
      </c>
      <c r="F166">
        <v>21</v>
      </c>
      <c r="G166" t="str">
        <f>IF(Table2[[#This Row],[Age]]&gt;=30,"Experienced",IF(Table2[[#This Row],[Age]]&gt;=25,"Mid Level", "Entry Level"))</f>
        <v>Entry Level</v>
      </c>
      <c r="H166" t="s">
        <v>26</v>
      </c>
      <c r="I166" t="s">
        <v>32</v>
      </c>
      <c r="J166" s="4">
        <v>45806</v>
      </c>
      <c r="K166" s="4" t="str">
        <f>TEXT(Table2[[#This Row],[Enrollment_date]],"Mmm")</f>
        <v>May</v>
      </c>
      <c r="L166" s="4" t="str">
        <f>TEXT(Table2[[#This Row],[Enrollment_date]],"Ddd")</f>
        <v>Thu</v>
      </c>
      <c r="M166" s="4" t="s">
        <v>34</v>
      </c>
      <c r="N166" t="s">
        <v>37</v>
      </c>
      <c r="O166" t="s">
        <v>38</v>
      </c>
      <c r="P166" s="8">
        <v>4</v>
      </c>
      <c r="Q166" s="6">
        <v>0.875</v>
      </c>
      <c r="R166" s="6">
        <v>55</v>
      </c>
      <c r="S166" s="6" t="str">
        <f>IF(Table2[[#This Row],[Avg_score]]&gt;=79,"Distinction",IF(Table2[[#This Row],[Avg_score]]&gt;=60,"Pass","Fail"))</f>
        <v>Fail</v>
      </c>
      <c r="T166" t="s">
        <v>39</v>
      </c>
      <c r="U166">
        <f>IF(Table2[[#This Row],[Completed]]="Yes",1,0)</f>
        <v>1</v>
      </c>
      <c r="V166" t="s">
        <v>39</v>
      </c>
      <c r="W166" t="s">
        <v>40</v>
      </c>
      <c r="X166" s="4">
        <v>45838</v>
      </c>
    </row>
    <row r="167" spans="1:24" x14ac:dyDescent="0.3">
      <c r="A167">
        <v>166</v>
      </c>
      <c r="B167" s="8">
        <v>56</v>
      </c>
      <c r="C167">
        <v>1</v>
      </c>
      <c r="D167" t="s">
        <v>19</v>
      </c>
      <c r="E167" t="s">
        <v>22</v>
      </c>
      <c r="F167">
        <v>20</v>
      </c>
      <c r="G167" t="str">
        <f>IF(Table2[[#This Row],[Age]]&gt;=30,"Experienced",IF(Table2[[#This Row],[Age]]&gt;=25,"Mid Level", "Entry Level"))</f>
        <v>Entry Level</v>
      </c>
      <c r="H167" t="s">
        <v>27</v>
      </c>
      <c r="I167" t="s">
        <v>30</v>
      </c>
      <c r="J167" s="4">
        <v>45724</v>
      </c>
      <c r="K167" s="4" t="str">
        <f>TEXT(Table2[[#This Row],[Enrollment_date]],"Mmm")</f>
        <v>Mar</v>
      </c>
      <c r="L167" s="4" t="str">
        <f>TEXT(Table2[[#This Row],[Enrollment_date]],"Ddd")</f>
        <v>Sat</v>
      </c>
      <c r="M167" s="4" t="s">
        <v>34</v>
      </c>
      <c r="N167" t="s">
        <v>35</v>
      </c>
      <c r="O167" t="s">
        <v>38</v>
      </c>
      <c r="P167" s="8">
        <v>4</v>
      </c>
      <c r="Q167" s="6">
        <v>0.875</v>
      </c>
      <c r="R167" s="6">
        <v>59</v>
      </c>
      <c r="S167" s="6" t="str">
        <f>IF(Table2[[#This Row],[Avg_score]]&gt;=79,"Distinction",IF(Table2[[#This Row],[Avg_score]]&gt;=60,"Pass","Fail"))</f>
        <v>Fail</v>
      </c>
      <c r="T167" t="s">
        <v>39</v>
      </c>
      <c r="U167">
        <f>IF(Table2[[#This Row],[Completed]]="Yes",1,0)</f>
        <v>1</v>
      </c>
      <c r="V167" t="s">
        <v>39</v>
      </c>
      <c r="W167" t="s">
        <v>40</v>
      </c>
      <c r="X167" s="4">
        <v>45838</v>
      </c>
    </row>
    <row r="168" spans="1:24" x14ac:dyDescent="0.3">
      <c r="A168">
        <v>167</v>
      </c>
      <c r="B168" s="8">
        <v>56</v>
      </c>
      <c r="C168">
        <v>2</v>
      </c>
      <c r="D168" t="s">
        <v>20</v>
      </c>
      <c r="E168" t="s">
        <v>22</v>
      </c>
      <c r="F168">
        <v>20</v>
      </c>
      <c r="G168" t="str">
        <f>IF(Table2[[#This Row],[Age]]&gt;=30,"Experienced",IF(Table2[[#This Row],[Age]]&gt;=25,"Mid Level", "Entry Level"))</f>
        <v>Entry Level</v>
      </c>
      <c r="H168" t="s">
        <v>27</v>
      </c>
      <c r="I168" t="s">
        <v>30</v>
      </c>
      <c r="J168" s="4">
        <v>45724</v>
      </c>
      <c r="K168" s="4" t="str">
        <f>TEXT(Table2[[#This Row],[Enrollment_date]],"Mmm")</f>
        <v>Mar</v>
      </c>
      <c r="L168" s="4" t="str">
        <f>TEXT(Table2[[#This Row],[Enrollment_date]],"Ddd")</f>
        <v>Sat</v>
      </c>
      <c r="M168" s="4" t="s">
        <v>34</v>
      </c>
      <c r="N168" t="s">
        <v>36</v>
      </c>
      <c r="O168" t="s">
        <v>38</v>
      </c>
      <c r="P168" s="8">
        <v>4</v>
      </c>
      <c r="Q168" s="6">
        <v>0.75</v>
      </c>
      <c r="R168" s="6">
        <v>66.5</v>
      </c>
      <c r="S168" s="6" t="str">
        <f>IF(Table2[[#This Row],[Avg_score]]&gt;=79,"Distinction",IF(Table2[[#This Row],[Avg_score]]&gt;=60,"Pass","Fail"))</f>
        <v>Pass</v>
      </c>
      <c r="T168" t="s">
        <v>39</v>
      </c>
      <c r="U168">
        <f>IF(Table2[[#This Row],[Completed]]="Yes",1,0)</f>
        <v>1</v>
      </c>
      <c r="V168" t="s">
        <v>39</v>
      </c>
      <c r="W168" t="s">
        <v>40</v>
      </c>
      <c r="X168" s="4">
        <v>45838</v>
      </c>
    </row>
    <row r="169" spans="1:24" x14ac:dyDescent="0.3">
      <c r="A169">
        <v>168</v>
      </c>
      <c r="B169" s="8">
        <v>56</v>
      </c>
      <c r="C169">
        <v>3</v>
      </c>
      <c r="D169" t="s">
        <v>19</v>
      </c>
      <c r="E169" t="s">
        <v>22</v>
      </c>
      <c r="F169">
        <v>20</v>
      </c>
      <c r="G169" t="str">
        <f>IF(Table2[[#This Row],[Age]]&gt;=30,"Experienced",IF(Table2[[#This Row],[Age]]&gt;=25,"Mid Level", "Entry Level"))</f>
        <v>Entry Level</v>
      </c>
      <c r="H169" t="s">
        <v>27</v>
      </c>
      <c r="I169" t="s">
        <v>30</v>
      </c>
      <c r="J169" s="4">
        <v>45724</v>
      </c>
      <c r="K169" s="4" t="str">
        <f>TEXT(Table2[[#This Row],[Enrollment_date]],"Mmm")</f>
        <v>Mar</v>
      </c>
      <c r="L169" s="4" t="str">
        <f>TEXT(Table2[[#This Row],[Enrollment_date]],"Ddd")</f>
        <v>Sat</v>
      </c>
      <c r="M169" s="4" t="s">
        <v>34</v>
      </c>
      <c r="N169" t="s">
        <v>37</v>
      </c>
      <c r="O169" t="s">
        <v>38</v>
      </c>
      <c r="P169" s="8">
        <v>4</v>
      </c>
      <c r="Q169" s="6">
        <v>0.89583333333333337</v>
      </c>
      <c r="R169" s="6">
        <v>88.5</v>
      </c>
      <c r="S169" s="6" t="str">
        <f>IF(Table2[[#This Row],[Avg_score]]&gt;=79,"Distinction",IF(Table2[[#This Row],[Avg_score]]&gt;=60,"Pass","Fail"))</f>
        <v>Distinction</v>
      </c>
      <c r="T169" t="s">
        <v>39</v>
      </c>
      <c r="U169">
        <f>IF(Table2[[#This Row],[Completed]]="Yes",1,0)</f>
        <v>1</v>
      </c>
      <c r="V169" t="s">
        <v>39</v>
      </c>
      <c r="W169" t="s">
        <v>40</v>
      </c>
      <c r="X169" s="4">
        <v>45838</v>
      </c>
    </row>
    <row r="170" spans="1:24" x14ac:dyDescent="0.3">
      <c r="A170">
        <v>169</v>
      </c>
      <c r="B170" s="8">
        <v>57</v>
      </c>
      <c r="C170">
        <v>1</v>
      </c>
      <c r="D170" t="s">
        <v>19</v>
      </c>
      <c r="E170" t="s">
        <v>22</v>
      </c>
      <c r="F170">
        <v>28</v>
      </c>
      <c r="G170" t="str">
        <f>IF(Table2[[#This Row],[Age]]&gt;=30,"Experienced",IF(Table2[[#This Row],[Age]]&gt;=25,"Mid Level", "Entry Level"))</f>
        <v>Mid Level</v>
      </c>
      <c r="H170" t="s">
        <v>28</v>
      </c>
      <c r="I170" t="s">
        <v>30</v>
      </c>
      <c r="J170" s="4">
        <v>45759</v>
      </c>
      <c r="K170" s="4" t="str">
        <f>TEXT(Table2[[#This Row],[Enrollment_date]],"Mmm")</f>
        <v>Apr</v>
      </c>
      <c r="L170" s="4" t="str">
        <f>TEXT(Table2[[#This Row],[Enrollment_date]],"Ddd")</f>
        <v>Sat</v>
      </c>
      <c r="M170" s="4" t="s">
        <v>34</v>
      </c>
      <c r="N170" t="s">
        <v>35</v>
      </c>
      <c r="O170" t="s">
        <v>38</v>
      </c>
      <c r="P170" s="8">
        <v>4</v>
      </c>
      <c r="Q170" s="6">
        <v>0.91666666666666663</v>
      </c>
      <c r="R170" s="6">
        <v>46.5</v>
      </c>
      <c r="S170" s="6" t="str">
        <f>IF(Table2[[#This Row],[Avg_score]]&gt;=79,"Distinction",IF(Table2[[#This Row],[Avg_score]]&gt;=60,"Pass","Fail"))</f>
        <v>Fail</v>
      </c>
      <c r="T170" t="s">
        <v>39</v>
      </c>
      <c r="U170">
        <f>IF(Table2[[#This Row],[Completed]]="Yes",1,0)</f>
        <v>1</v>
      </c>
      <c r="V170" t="s">
        <v>39</v>
      </c>
      <c r="W170" t="s">
        <v>39</v>
      </c>
      <c r="X170" s="4">
        <v>45838</v>
      </c>
    </row>
    <row r="171" spans="1:24" x14ac:dyDescent="0.3">
      <c r="A171">
        <v>170</v>
      </c>
      <c r="B171" s="8">
        <v>57</v>
      </c>
      <c r="C171">
        <v>2</v>
      </c>
      <c r="D171" t="s">
        <v>21</v>
      </c>
      <c r="E171" t="s">
        <v>22</v>
      </c>
      <c r="F171">
        <v>28</v>
      </c>
      <c r="G171" t="str">
        <f>IF(Table2[[#This Row],[Age]]&gt;=30,"Experienced",IF(Table2[[#This Row],[Age]]&gt;=25,"Mid Level", "Entry Level"))</f>
        <v>Mid Level</v>
      </c>
      <c r="H171" t="s">
        <v>28</v>
      </c>
      <c r="I171" t="s">
        <v>30</v>
      </c>
      <c r="J171" s="4">
        <v>45759</v>
      </c>
      <c r="K171" s="4" t="str">
        <f>TEXT(Table2[[#This Row],[Enrollment_date]],"Mmm")</f>
        <v>Apr</v>
      </c>
      <c r="L171" s="4" t="str">
        <f>TEXT(Table2[[#This Row],[Enrollment_date]],"Ddd")</f>
        <v>Sat</v>
      </c>
      <c r="M171" s="4" t="s">
        <v>34</v>
      </c>
      <c r="N171" t="s">
        <v>36</v>
      </c>
      <c r="O171" t="s">
        <v>38</v>
      </c>
      <c r="P171" s="8">
        <v>4</v>
      </c>
      <c r="Q171" s="6">
        <v>0.79166666666666663</v>
      </c>
      <c r="R171" s="6">
        <v>80.5</v>
      </c>
      <c r="S171" s="6" t="str">
        <f>IF(Table2[[#This Row],[Avg_score]]&gt;=79,"Distinction",IF(Table2[[#This Row],[Avg_score]]&gt;=60,"Pass","Fail"))</f>
        <v>Distinction</v>
      </c>
      <c r="T171" t="s">
        <v>39</v>
      </c>
      <c r="U171">
        <f>IF(Table2[[#This Row],[Completed]]="Yes",1,0)</f>
        <v>1</v>
      </c>
      <c r="V171" t="s">
        <v>39</v>
      </c>
      <c r="W171" t="s">
        <v>39</v>
      </c>
      <c r="X171" s="4">
        <v>45838</v>
      </c>
    </row>
    <row r="172" spans="1:24" x14ac:dyDescent="0.3">
      <c r="A172">
        <v>171</v>
      </c>
      <c r="B172" s="8">
        <v>57</v>
      </c>
      <c r="C172">
        <v>3</v>
      </c>
      <c r="D172" t="s">
        <v>21</v>
      </c>
      <c r="E172" t="s">
        <v>22</v>
      </c>
      <c r="F172">
        <v>28</v>
      </c>
      <c r="G172" t="str">
        <f>IF(Table2[[#This Row],[Age]]&gt;=30,"Experienced",IF(Table2[[#This Row],[Age]]&gt;=25,"Mid Level", "Entry Level"))</f>
        <v>Mid Level</v>
      </c>
      <c r="H172" t="s">
        <v>28</v>
      </c>
      <c r="I172" t="s">
        <v>30</v>
      </c>
      <c r="J172" s="4">
        <v>45759</v>
      </c>
      <c r="K172" s="4" t="str">
        <f>TEXT(Table2[[#This Row],[Enrollment_date]],"Mmm")</f>
        <v>Apr</v>
      </c>
      <c r="L172" s="4" t="str">
        <f>TEXT(Table2[[#This Row],[Enrollment_date]],"Ddd")</f>
        <v>Sat</v>
      </c>
      <c r="M172" s="4" t="s">
        <v>34</v>
      </c>
      <c r="N172" t="s">
        <v>37</v>
      </c>
      <c r="O172" t="s">
        <v>38</v>
      </c>
      <c r="P172" s="8">
        <v>4</v>
      </c>
      <c r="Q172" s="6">
        <v>0.875</v>
      </c>
      <c r="R172" s="6">
        <v>77</v>
      </c>
      <c r="S172" s="6" t="str">
        <f>IF(Table2[[#This Row],[Avg_score]]&gt;=79,"Distinction",IF(Table2[[#This Row],[Avg_score]]&gt;=60,"Pass","Fail"))</f>
        <v>Pass</v>
      </c>
      <c r="T172" t="s">
        <v>39</v>
      </c>
      <c r="U172">
        <f>IF(Table2[[#This Row],[Completed]]="Yes",1,0)</f>
        <v>1</v>
      </c>
      <c r="V172" t="s">
        <v>39</v>
      </c>
      <c r="W172" t="s">
        <v>39</v>
      </c>
      <c r="X172" s="4">
        <v>45838</v>
      </c>
    </row>
    <row r="173" spans="1:24" x14ac:dyDescent="0.3">
      <c r="A173">
        <v>172</v>
      </c>
      <c r="B173" s="8">
        <v>58</v>
      </c>
      <c r="C173">
        <v>1</v>
      </c>
      <c r="D173" t="s">
        <v>20</v>
      </c>
      <c r="E173" t="s">
        <v>22</v>
      </c>
      <c r="F173">
        <v>27</v>
      </c>
      <c r="G173" t="str">
        <f>IF(Table2[[#This Row],[Age]]&gt;=30,"Experienced",IF(Table2[[#This Row],[Age]]&gt;=25,"Mid Level", "Entry Level"))</f>
        <v>Mid Level</v>
      </c>
      <c r="H173" t="s">
        <v>27</v>
      </c>
      <c r="I173" t="s">
        <v>30</v>
      </c>
      <c r="J173" s="4">
        <v>45676</v>
      </c>
      <c r="K173" s="4" t="str">
        <f>TEXT(Table2[[#This Row],[Enrollment_date]],"Mmm")</f>
        <v>Jan</v>
      </c>
      <c r="L173" s="4" t="str">
        <f>TEXT(Table2[[#This Row],[Enrollment_date]],"Ddd")</f>
        <v>Sun</v>
      </c>
      <c r="M173" s="4" t="s">
        <v>34</v>
      </c>
      <c r="N173" t="s">
        <v>35</v>
      </c>
      <c r="O173" t="s">
        <v>38</v>
      </c>
      <c r="P173" s="8">
        <v>4</v>
      </c>
      <c r="Q173" s="6">
        <v>0.8125</v>
      </c>
      <c r="R173" s="6">
        <v>65.5</v>
      </c>
      <c r="S173" s="6" t="str">
        <f>IF(Table2[[#This Row],[Avg_score]]&gt;=79,"Distinction",IF(Table2[[#This Row],[Avg_score]]&gt;=60,"Pass","Fail"))</f>
        <v>Pass</v>
      </c>
      <c r="T173" t="s">
        <v>39</v>
      </c>
      <c r="U173">
        <f>IF(Table2[[#This Row],[Completed]]="Yes",1,0)</f>
        <v>1</v>
      </c>
      <c r="V173" t="s">
        <v>39</v>
      </c>
      <c r="W173" t="s">
        <v>40</v>
      </c>
      <c r="X173" s="4">
        <v>45838</v>
      </c>
    </row>
    <row r="174" spans="1:24" x14ac:dyDescent="0.3">
      <c r="A174">
        <v>173</v>
      </c>
      <c r="B174" s="8">
        <v>58</v>
      </c>
      <c r="C174">
        <v>2</v>
      </c>
      <c r="D174" t="s">
        <v>19</v>
      </c>
      <c r="E174" t="s">
        <v>22</v>
      </c>
      <c r="F174">
        <v>27</v>
      </c>
      <c r="G174" t="str">
        <f>IF(Table2[[#This Row],[Age]]&gt;=30,"Experienced",IF(Table2[[#This Row],[Age]]&gt;=25,"Mid Level", "Entry Level"))</f>
        <v>Mid Level</v>
      </c>
      <c r="H174" t="s">
        <v>27</v>
      </c>
      <c r="I174" t="s">
        <v>30</v>
      </c>
      <c r="J174" s="4">
        <v>45676</v>
      </c>
      <c r="K174" s="4" t="str">
        <f>TEXT(Table2[[#This Row],[Enrollment_date]],"Mmm")</f>
        <v>Jan</v>
      </c>
      <c r="L174" s="4" t="str">
        <f>TEXT(Table2[[#This Row],[Enrollment_date]],"Ddd")</f>
        <v>Sun</v>
      </c>
      <c r="M174" s="4" t="s">
        <v>34</v>
      </c>
      <c r="N174" t="s">
        <v>36</v>
      </c>
      <c r="O174" t="s">
        <v>38</v>
      </c>
      <c r="P174" s="8">
        <v>4</v>
      </c>
      <c r="Q174" s="6">
        <v>0.70833333333333337</v>
      </c>
      <c r="R174" s="6">
        <v>71.5</v>
      </c>
      <c r="S174" s="6" t="str">
        <f>IF(Table2[[#This Row],[Avg_score]]&gt;=79,"Distinction",IF(Table2[[#This Row],[Avg_score]]&gt;=60,"Pass","Fail"))</f>
        <v>Pass</v>
      </c>
      <c r="T174" t="s">
        <v>39</v>
      </c>
      <c r="U174">
        <f>IF(Table2[[#This Row],[Completed]]="Yes",1,0)</f>
        <v>1</v>
      </c>
      <c r="V174" t="s">
        <v>39</v>
      </c>
      <c r="W174" t="s">
        <v>40</v>
      </c>
      <c r="X174" s="4">
        <v>45838</v>
      </c>
    </row>
    <row r="175" spans="1:24" x14ac:dyDescent="0.3">
      <c r="A175">
        <v>174</v>
      </c>
      <c r="B175" s="8">
        <v>58</v>
      </c>
      <c r="C175">
        <v>3</v>
      </c>
      <c r="D175" t="s">
        <v>19</v>
      </c>
      <c r="E175" t="s">
        <v>22</v>
      </c>
      <c r="F175">
        <v>27</v>
      </c>
      <c r="G175" t="str">
        <f>IF(Table2[[#This Row],[Age]]&gt;=30,"Experienced",IF(Table2[[#This Row],[Age]]&gt;=25,"Mid Level", "Entry Level"))</f>
        <v>Mid Level</v>
      </c>
      <c r="H175" t="s">
        <v>27</v>
      </c>
      <c r="I175" t="s">
        <v>30</v>
      </c>
      <c r="J175" s="4">
        <v>45676</v>
      </c>
      <c r="K175" s="4" t="str">
        <f>TEXT(Table2[[#This Row],[Enrollment_date]],"Mmm")</f>
        <v>Jan</v>
      </c>
      <c r="L175" s="4" t="str">
        <f>TEXT(Table2[[#This Row],[Enrollment_date]],"Ddd")</f>
        <v>Sun</v>
      </c>
      <c r="M175" s="4" t="s">
        <v>34</v>
      </c>
      <c r="N175" t="s">
        <v>37</v>
      </c>
      <c r="O175" t="s">
        <v>38</v>
      </c>
      <c r="P175" s="8">
        <v>4</v>
      </c>
      <c r="Q175" s="6">
        <v>0.875</v>
      </c>
      <c r="R175" s="6">
        <v>46.5</v>
      </c>
      <c r="S175" s="6" t="str">
        <f>IF(Table2[[#This Row],[Avg_score]]&gt;=79,"Distinction",IF(Table2[[#This Row],[Avg_score]]&gt;=60,"Pass","Fail"))</f>
        <v>Fail</v>
      </c>
      <c r="T175" t="s">
        <v>39</v>
      </c>
      <c r="U175">
        <f>IF(Table2[[#This Row],[Completed]]="Yes",1,0)</f>
        <v>1</v>
      </c>
      <c r="V175" t="s">
        <v>39</v>
      </c>
      <c r="W175" t="s">
        <v>40</v>
      </c>
      <c r="X175" s="4">
        <v>45838</v>
      </c>
    </row>
    <row r="176" spans="1:24" x14ac:dyDescent="0.3">
      <c r="A176">
        <v>175</v>
      </c>
      <c r="B176" s="8">
        <v>59</v>
      </c>
      <c r="C176">
        <v>1</v>
      </c>
      <c r="D176" t="s">
        <v>20</v>
      </c>
      <c r="E176" t="s">
        <v>22</v>
      </c>
      <c r="F176">
        <v>32</v>
      </c>
      <c r="G176" t="str">
        <f>IF(Table2[[#This Row],[Age]]&gt;=30,"Experienced",IF(Table2[[#This Row],[Age]]&gt;=25,"Mid Level", "Entry Level"))</f>
        <v>Experienced</v>
      </c>
      <c r="H176" t="s">
        <v>26</v>
      </c>
      <c r="I176" t="s">
        <v>68</v>
      </c>
      <c r="J176" s="4">
        <v>45676</v>
      </c>
      <c r="K176" s="4" t="str">
        <f>TEXT(Table2[[#This Row],[Enrollment_date]],"Mmm")</f>
        <v>Jan</v>
      </c>
      <c r="L176" s="4" t="str">
        <f>TEXT(Table2[[#This Row],[Enrollment_date]],"Ddd")</f>
        <v>Sun</v>
      </c>
      <c r="M176" s="4" t="s">
        <v>34</v>
      </c>
      <c r="N176" t="s">
        <v>35</v>
      </c>
      <c r="O176" t="s">
        <v>38</v>
      </c>
      <c r="P176" s="8">
        <v>4</v>
      </c>
      <c r="Q176" s="6">
        <v>0.875</v>
      </c>
      <c r="R176" s="6">
        <v>85</v>
      </c>
      <c r="S176" s="6" t="str">
        <f>IF(Table2[[#This Row],[Avg_score]]&gt;=79,"Distinction",IF(Table2[[#This Row],[Avg_score]]&gt;=60,"Pass","Fail"))</f>
        <v>Distinction</v>
      </c>
      <c r="T176" t="s">
        <v>39</v>
      </c>
      <c r="U176">
        <f>IF(Table2[[#This Row],[Completed]]="Yes",1,0)</f>
        <v>1</v>
      </c>
      <c r="V176" t="s">
        <v>40</v>
      </c>
      <c r="W176" t="s">
        <v>40</v>
      </c>
      <c r="X176" s="4">
        <v>45838</v>
      </c>
    </row>
    <row r="177" spans="1:24" x14ac:dyDescent="0.3">
      <c r="A177">
        <v>176</v>
      </c>
      <c r="B177" s="8">
        <v>59</v>
      </c>
      <c r="C177">
        <v>2</v>
      </c>
      <c r="D177" t="s">
        <v>19</v>
      </c>
      <c r="E177" t="s">
        <v>22</v>
      </c>
      <c r="F177">
        <v>32</v>
      </c>
      <c r="G177" t="str">
        <f>IF(Table2[[#This Row],[Age]]&gt;=30,"Experienced",IF(Table2[[#This Row],[Age]]&gt;=25,"Mid Level", "Entry Level"))</f>
        <v>Experienced</v>
      </c>
      <c r="H177" t="s">
        <v>26</v>
      </c>
      <c r="I177" t="s">
        <v>68</v>
      </c>
      <c r="J177" s="4">
        <v>45676</v>
      </c>
      <c r="K177" s="4" t="str">
        <f>TEXT(Table2[[#This Row],[Enrollment_date]],"Mmm")</f>
        <v>Jan</v>
      </c>
      <c r="L177" s="4" t="str">
        <f>TEXT(Table2[[#This Row],[Enrollment_date]],"Ddd")</f>
        <v>Sun</v>
      </c>
      <c r="M177" s="4" t="s">
        <v>34</v>
      </c>
      <c r="N177" t="s">
        <v>36</v>
      </c>
      <c r="O177" t="s">
        <v>38</v>
      </c>
      <c r="P177" s="8">
        <v>4</v>
      </c>
      <c r="Q177" s="6">
        <v>0.83333333333333337</v>
      </c>
      <c r="R177" s="6">
        <v>72</v>
      </c>
      <c r="S177" s="6" t="str">
        <f>IF(Table2[[#This Row],[Avg_score]]&gt;=79,"Distinction",IF(Table2[[#This Row],[Avg_score]]&gt;=60,"Pass","Fail"))</f>
        <v>Pass</v>
      </c>
      <c r="T177" t="s">
        <v>39</v>
      </c>
      <c r="U177">
        <f>IF(Table2[[#This Row],[Completed]]="Yes",1,0)</f>
        <v>1</v>
      </c>
      <c r="V177" t="s">
        <v>40</v>
      </c>
      <c r="W177" t="s">
        <v>40</v>
      </c>
      <c r="X177" s="4">
        <v>45838</v>
      </c>
    </row>
    <row r="178" spans="1:24" x14ac:dyDescent="0.3">
      <c r="A178">
        <v>177</v>
      </c>
      <c r="B178" s="8">
        <v>59</v>
      </c>
      <c r="C178">
        <v>3</v>
      </c>
      <c r="D178" t="s">
        <v>21</v>
      </c>
      <c r="E178" t="s">
        <v>22</v>
      </c>
      <c r="F178">
        <v>32</v>
      </c>
      <c r="G178" t="str">
        <f>IF(Table2[[#This Row],[Age]]&gt;=30,"Experienced",IF(Table2[[#This Row],[Age]]&gt;=25,"Mid Level", "Entry Level"))</f>
        <v>Experienced</v>
      </c>
      <c r="H178" t="s">
        <v>26</v>
      </c>
      <c r="I178" t="s">
        <v>68</v>
      </c>
      <c r="J178" s="4">
        <v>45676</v>
      </c>
      <c r="K178" s="4" t="str">
        <f>TEXT(Table2[[#This Row],[Enrollment_date]],"Mmm")</f>
        <v>Jan</v>
      </c>
      <c r="L178" s="4" t="str">
        <f>TEXT(Table2[[#This Row],[Enrollment_date]],"Ddd")</f>
        <v>Sun</v>
      </c>
      <c r="M178" s="4" t="s">
        <v>34</v>
      </c>
      <c r="N178" t="s">
        <v>37</v>
      </c>
      <c r="O178" t="s">
        <v>38</v>
      </c>
      <c r="P178" s="8">
        <v>4</v>
      </c>
      <c r="Q178" s="6">
        <v>0.85416666666666663</v>
      </c>
      <c r="R178" s="6">
        <v>64</v>
      </c>
      <c r="S178" s="6" t="str">
        <f>IF(Table2[[#This Row],[Avg_score]]&gt;=79,"Distinction",IF(Table2[[#This Row],[Avg_score]]&gt;=60,"Pass","Fail"))</f>
        <v>Pass</v>
      </c>
      <c r="T178" t="s">
        <v>39</v>
      </c>
      <c r="U178">
        <f>IF(Table2[[#This Row],[Completed]]="Yes",1,0)</f>
        <v>1</v>
      </c>
      <c r="V178" t="s">
        <v>40</v>
      </c>
      <c r="W178" t="s">
        <v>40</v>
      </c>
      <c r="X178" s="4">
        <v>45838</v>
      </c>
    </row>
    <row r="179" spans="1:24" x14ac:dyDescent="0.3">
      <c r="A179">
        <v>178</v>
      </c>
      <c r="B179" s="8">
        <v>60</v>
      </c>
      <c r="C179">
        <v>1</v>
      </c>
      <c r="D179" t="s">
        <v>20</v>
      </c>
      <c r="E179" t="s">
        <v>22</v>
      </c>
      <c r="F179">
        <v>34</v>
      </c>
      <c r="G179" t="str">
        <f>IF(Table2[[#This Row],[Age]]&gt;=30,"Experienced",IF(Table2[[#This Row],[Age]]&gt;=25,"Mid Level", "Entry Level"))</f>
        <v>Experienced</v>
      </c>
      <c r="H179" t="s">
        <v>29</v>
      </c>
      <c r="I179" t="s">
        <v>32</v>
      </c>
      <c r="J179" s="4">
        <v>45747</v>
      </c>
      <c r="K179" s="4" t="str">
        <f>TEXT(Table2[[#This Row],[Enrollment_date]],"Mmm")</f>
        <v>Mar</v>
      </c>
      <c r="L179" s="4" t="str">
        <f>TEXT(Table2[[#This Row],[Enrollment_date]],"Ddd")</f>
        <v>Mon</v>
      </c>
      <c r="M179" s="4" t="s">
        <v>34</v>
      </c>
      <c r="N179" t="s">
        <v>35</v>
      </c>
      <c r="O179" t="s">
        <v>38</v>
      </c>
      <c r="P179" s="8">
        <v>4</v>
      </c>
      <c r="Q179" s="6">
        <v>0.83333333333333337</v>
      </c>
      <c r="R179" s="6">
        <v>68.5</v>
      </c>
      <c r="S179" s="6" t="str">
        <f>IF(Table2[[#This Row],[Avg_score]]&gt;=79,"Distinction",IF(Table2[[#This Row],[Avg_score]]&gt;=60,"Pass","Fail"))</f>
        <v>Pass</v>
      </c>
      <c r="T179" t="s">
        <v>39</v>
      </c>
      <c r="U179">
        <f>IF(Table2[[#This Row],[Completed]]="Yes",1,0)</f>
        <v>1</v>
      </c>
      <c r="V179" t="s">
        <v>40</v>
      </c>
      <c r="W179" t="s">
        <v>40</v>
      </c>
      <c r="X179" s="4">
        <v>45838</v>
      </c>
    </row>
    <row r="180" spans="1:24" x14ac:dyDescent="0.3">
      <c r="A180">
        <v>179</v>
      </c>
      <c r="B180" s="8">
        <v>60</v>
      </c>
      <c r="C180">
        <v>2</v>
      </c>
      <c r="D180" t="s">
        <v>19</v>
      </c>
      <c r="E180" t="s">
        <v>22</v>
      </c>
      <c r="F180">
        <v>34</v>
      </c>
      <c r="G180" t="str">
        <f>IF(Table2[[#This Row],[Age]]&gt;=30,"Experienced",IF(Table2[[#This Row],[Age]]&gt;=25,"Mid Level", "Entry Level"))</f>
        <v>Experienced</v>
      </c>
      <c r="H180" t="s">
        <v>29</v>
      </c>
      <c r="I180" t="s">
        <v>32</v>
      </c>
      <c r="J180" s="4">
        <v>45747</v>
      </c>
      <c r="K180" s="4" t="str">
        <f>TEXT(Table2[[#This Row],[Enrollment_date]],"Mmm")</f>
        <v>Mar</v>
      </c>
      <c r="L180" s="4" t="str">
        <f>TEXT(Table2[[#This Row],[Enrollment_date]],"Ddd")</f>
        <v>Mon</v>
      </c>
      <c r="M180" s="4" t="s">
        <v>34</v>
      </c>
      <c r="N180" t="s">
        <v>36</v>
      </c>
      <c r="O180" t="s">
        <v>38</v>
      </c>
      <c r="P180" s="8">
        <v>4</v>
      </c>
      <c r="Q180" s="6">
        <v>0.91666666666666663</v>
      </c>
      <c r="R180" s="6">
        <v>72.5</v>
      </c>
      <c r="S180" s="6" t="str">
        <f>IF(Table2[[#This Row],[Avg_score]]&gt;=79,"Distinction",IF(Table2[[#This Row],[Avg_score]]&gt;=60,"Pass","Fail"))</f>
        <v>Pass</v>
      </c>
      <c r="T180" t="s">
        <v>39</v>
      </c>
      <c r="U180">
        <f>IF(Table2[[#This Row],[Completed]]="Yes",1,0)</f>
        <v>1</v>
      </c>
      <c r="V180" t="s">
        <v>40</v>
      </c>
      <c r="W180" t="s">
        <v>40</v>
      </c>
      <c r="X180" s="4">
        <v>45838</v>
      </c>
    </row>
    <row r="181" spans="1:24" x14ac:dyDescent="0.3">
      <c r="A181">
        <v>180</v>
      </c>
      <c r="B181" s="8">
        <v>60</v>
      </c>
      <c r="C181">
        <v>3</v>
      </c>
      <c r="D181" t="s">
        <v>21</v>
      </c>
      <c r="E181" t="s">
        <v>22</v>
      </c>
      <c r="F181">
        <v>34</v>
      </c>
      <c r="G181" t="str">
        <f>IF(Table2[[#This Row],[Age]]&gt;=30,"Experienced",IF(Table2[[#This Row],[Age]]&gt;=25,"Mid Level", "Entry Level"))</f>
        <v>Experienced</v>
      </c>
      <c r="H181" t="s">
        <v>29</v>
      </c>
      <c r="I181" t="s">
        <v>32</v>
      </c>
      <c r="J181" s="4">
        <v>45747</v>
      </c>
      <c r="K181" s="4" t="str">
        <f>TEXT(Table2[[#This Row],[Enrollment_date]],"Mmm")</f>
        <v>Mar</v>
      </c>
      <c r="L181" s="4" t="str">
        <f>TEXT(Table2[[#This Row],[Enrollment_date]],"Ddd")</f>
        <v>Mon</v>
      </c>
      <c r="M181" s="4" t="s">
        <v>34</v>
      </c>
      <c r="N181" t="s">
        <v>37</v>
      </c>
      <c r="O181" t="s">
        <v>38</v>
      </c>
      <c r="P181" s="8">
        <v>4</v>
      </c>
      <c r="Q181" s="6">
        <v>0.85416666666666663</v>
      </c>
      <c r="R181" s="6">
        <v>58.5</v>
      </c>
      <c r="S181" s="6" t="str">
        <f>IF(Table2[[#This Row],[Avg_score]]&gt;=79,"Distinction",IF(Table2[[#This Row],[Avg_score]]&gt;=60,"Pass","Fail"))</f>
        <v>Fail</v>
      </c>
      <c r="T181" t="s">
        <v>39</v>
      </c>
      <c r="U181">
        <f>IF(Table2[[#This Row],[Completed]]="Yes",1,0)</f>
        <v>1</v>
      </c>
      <c r="V181" t="s">
        <v>40</v>
      </c>
      <c r="W181" t="s">
        <v>40</v>
      </c>
      <c r="X181" s="4">
        <v>45838</v>
      </c>
    </row>
    <row r="182" spans="1:24" x14ac:dyDescent="0.3">
      <c r="A182">
        <v>181</v>
      </c>
      <c r="B182" s="8">
        <v>61</v>
      </c>
      <c r="C182">
        <v>1</v>
      </c>
      <c r="D182" t="s">
        <v>19</v>
      </c>
      <c r="E182" t="s">
        <v>22</v>
      </c>
      <c r="F182">
        <v>25</v>
      </c>
      <c r="G182" t="str">
        <f>IF(Table2[[#This Row],[Age]]&gt;=30,"Experienced",IF(Table2[[#This Row],[Age]]&gt;=25,"Mid Level", "Entry Level"))</f>
        <v>Mid Level</v>
      </c>
      <c r="H182" t="s">
        <v>29</v>
      </c>
      <c r="I182" t="s">
        <v>30</v>
      </c>
      <c r="J182" s="4">
        <v>45698</v>
      </c>
      <c r="K182" s="4" t="str">
        <f>TEXT(Table2[[#This Row],[Enrollment_date]],"Mmm")</f>
        <v>Feb</v>
      </c>
      <c r="L182" s="4" t="str">
        <f>TEXT(Table2[[#This Row],[Enrollment_date]],"Ddd")</f>
        <v>Mon</v>
      </c>
      <c r="M182" s="4" t="s">
        <v>34</v>
      </c>
      <c r="N182" t="s">
        <v>35</v>
      </c>
      <c r="O182" t="s">
        <v>38</v>
      </c>
      <c r="P182" s="8">
        <v>4</v>
      </c>
      <c r="Q182" s="6">
        <v>0.875</v>
      </c>
      <c r="R182" s="6">
        <v>66.5</v>
      </c>
      <c r="S182" s="6" t="str">
        <f>IF(Table2[[#This Row],[Avg_score]]&gt;=79,"Distinction",IF(Table2[[#This Row],[Avg_score]]&gt;=60,"Pass","Fail"))</f>
        <v>Pass</v>
      </c>
      <c r="T182" t="s">
        <v>39</v>
      </c>
      <c r="U182">
        <f>IF(Table2[[#This Row],[Completed]]="Yes",1,0)</f>
        <v>1</v>
      </c>
      <c r="V182" t="s">
        <v>39</v>
      </c>
      <c r="W182" t="s">
        <v>40</v>
      </c>
      <c r="X182" s="4">
        <v>45838</v>
      </c>
    </row>
    <row r="183" spans="1:24" x14ac:dyDescent="0.3">
      <c r="A183">
        <v>182</v>
      </c>
      <c r="B183" s="8">
        <v>61</v>
      </c>
      <c r="C183">
        <v>2</v>
      </c>
      <c r="D183" t="s">
        <v>19</v>
      </c>
      <c r="E183" t="s">
        <v>22</v>
      </c>
      <c r="F183">
        <v>25</v>
      </c>
      <c r="G183" t="str">
        <f>IF(Table2[[#This Row],[Age]]&gt;=30,"Experienced",IF(Table2[[#This Row],[Age]]&gt;=25,"Mid Level", "Entry Level"))</f>
        <v>Mid Level</v>
      </c>
      <c r="H183" t="s">
        <v>29</v>
      </c>
      <c r="I183" t="s">
        <v>30</v>
      </c>
      <c r="J183" s="4">
        <v>45698</v>
      </c>
      <c r="K183" s="4" t="str">
        <f>TEXT(Table2[[#This Row],[Enrollment_date]],"Mmm")</f>
        <v>Feb</v>
      </c>
      <c r="L183" s="4" t="str">
        <f>TEXT(Table2[[#This Row],[Enrollment_date]],"Ddd")</f>
        <v>Mon</v>
      </c>
      <c r="M183" s="4" t="s">
        <v>34</v>
      </c>
      <c r="N183" t="s">
        <v>36</v>
      </c>
      <c r="O183" t="s">
        <v>38</v>
      </c>
      <c r="P183" s="8">
        <v>4</v>
      </c>
      <c r="Q183" s="6">
        <v>0.8125</v>
      </c>
      <c r="R183" s="6">
        <v>64.5</v>
      </c>
      <c r="S183" s="6" t="str">
        <f>IF(Table2[[#This Row],[Avg_score]]&gt;=79,"Distinction",IF(Table2[[#This Row],[Avg_score]]&gt;=60,"Pass","Fail"))</f>
        <v>Pass</v>
      </c>
      <c r="T183" t="s">
        <v>39</v>
      </c>
      <c r="U183">
        <f>IF(Table2[[#This Row],[Completed]]="Yes",1,0)</f>
        <v>1</v>
      </c>
      <c r="V183" t="s">
        <v>39</v>
      </c>
      <c r="W183" t="s">
        <v>40</v>
      </c>
      <c r="X183" s="4">
        <v>45838</v>
      </c>
    </row>
    <row r="184" spans="1:24" x14ac:dyDescent="0.3">
      <c r="A184">
        <v>183</v>
      </c>
      <c r="B184" s="8">
        <v>61</v>
      </c>
      <c r="C184">
        <v>3</v>
      </c>
      <c r="D184" t="s">
        <v>19</v>
      </c>
      <c r="E184" t="s">
        <v>22</v>
      </c>
      <c r="F184">
        <v>25</v>
      </c>
      <c r="G184" t="str">
        <f>IF(Table2[[#This Row],[Age]]&gt;=30,"Experienced",IF(Table2[[#This Row],[Age]]&gt;=25,"Mid Level", "Entry Level"))</f>
        <v>Mid Level</v>
      </c>
      <c r="H184" t="s">
        <v>29</v>
      </c>
      <c r="I184" t="s">
        <v>30</v>
      </c>
      <c r="J184" s="4">
        <v>45698</v>
      </c>
      <c r="K184" s="4" t="str">
        <f>TEXT(Table2[[#This Row],[Enrollment_date]],"Mmm")</f>
        <v>Feb</v>
      </c>
      <c r="L184" s="4" t="str">
        <f>TEXT(Table2[[#This Row],[Enrollment_date]],"Ddd")</f>
        <v>Mon</v>
      </c>
      <c r="M184" s="4" t="s">
        <v>34</v>
      </c>
      <c r="N184" t="s">
        <v>37</v>
      </c>
      <c r="O184" t="s">
        <v>38</v>
      </c>
      <c r="P184" s="8">
        <v>4</v>
      </c>
      <c r="Q184" s="6">
        <v>0.79166666666666663</v>
      </c>
      <c r="R184" s="6">
        <v>71</v>
      </c>
      <c r="S184" s="6" t="str">
        <f>IF(Table2[[#This Row],[Avg_score]]&gt;=79,"Distinction",IF(Table2[[#This Row],[Avg_score]]&gt;=60,"Pass","Fail"))</f>
        <v>Pass</v>
      </c>
      <c r="T184" t="s">
        <v>39</v>
      </c>
      <c r="U184">
        <f>IF(Table2[[#This Row],[Completed]]="Yes",1,0)</f>
        <v>1</v>
      </c>
      <c r="V184" t="s">
        <v>39</v>
      </c>
      <c r="W184" t="s">
        <v>40</v>
      </c>
      <c r="X184" s="4">
        <v>45838</v>
      </c>
    </row>
    <row r="185" spans="1:24" x14ac:dyDescent="0.3">
      <c r="A185">
        <v>184</v>
      </c>
      <c r="B185" s="8">
        <v>62</v>
      </c>
      <c r="C185">
        <v>1</v>
      </c>
      <c r="D185" t="s">
        <v>19</v>
      </c>
      <c r="E185" t="s">
        <v>23</v>
      </c>
      <c r="F185">
        <v>35</v>
      </c>
      <c r="G185" t="str">
        <f>IF(Table2[[#This Row],[Age]]&gt;=30,"Experienced",IF(Table2[[#This Row],[Age]]&gt;=25,"Mid Level", "Entry Level"))</f>
        <v>Experienced</v>
      </c>
      <c r="H185" t="s">
        <v>24</v>
      </c>
      <c r="I185" t="s">
        <v>30</v>
      </c>
      <c r="J185" s="4">
        <v>45793</v>
      </c>
      <c r="K185" s="4" t="str">
        <f>TEXT(Table2[[#This Row],[Enrollment_date]],"Mmm")</f>
        <v>May</v>
      </c>
      <c r="L185" s="4" t="str">
        <f>TEXT(Table2[[#This Row],[Enrollment_date]],"Ddd")</f>
        <v>Fri</v>
      </c>
      <c r="M185" s="4" t="s">
        <v>34</v>
      </c>
      <c r="N185" t="s">
        <v>35</v>
      </c>
      <c r="O185" t="s">
        <v>38</v>
      </c>
      <c r="P185" s="8">
        <v>4</v>
      </c>
      <c r="Q185" s="6">
        <v>0.79166666666666663</v>
      </c>
      <c r="R185" s="6">
        <v>74</v>
      </c>
      <c r="S185" s="6" t="str">
        <f>IF(Table2[[#This Row],[Avg_score]]&gt;=79,"Distinction",IF(Table2[[#This Row],[Avg_score]]&gt;=60,"Pass","Fail"))</f>
        <v>Pass</v>
      </c>
      <c r="T185" t="s">
        <v>39</v>
      </c>
      <c r="U185">
        <f>IF(Table2[[#This Row],[Completed]]="Yes",1,0)</f>
        <v>1</v>
      </c>
      <c r="V185" t="s">
        <v>39</v>
      </c>
      <c r="W185" t="s">
        <v>40</v>
      </c>
      <c r="X185" s="4">
        <v>45838</v>
      </c>
    </row>
    <row r="186" spans="1:24" x14ac:dyDescent="0.3">
      <c r="A186">
        <v>185</v>
      </c>
      <c r="B186" s="8">
        <v>62</v>
      </c>
      <c r="C186">
        <v>2</v>
      </c>
      <c r="D186" t="s">
        <v>19</v>
      </c>
      <c r="E186" t="s">
        <v>23</v>
      </c>
      <c r="F186">
        <v>35</v>
      </c>
      <c r="G186" t="str">
        <f>IF(Table2[[#This Row],[Age]]&gt;=30,"Experienced",IF(Table2[[#This Row],[Age]]&gt;=25,"Mid Level", "Entry Level"))</f>
        <v>Experienced</v>
      </c>
      <c r="H186" t="s">
        <v>24</v>
      </c>
      <c r="I186" t="s">
        <v>30</v>
      </c>
      <c r="J186" s="4">
        <v>45793</v>
      </c>
      <c r="K186" s="4" t="str">
        <f>TEXT(Table2[[#This Row],[Enrollment_date]],"Mmm")</f>
        <v>May</v>
      </c>
      <c r="L186" s="4" t="str">
        <f>TEXT(Table2[[#This Row],[Enrollment_date]],"Ddd")</f>
        <v>Fri</v>
      </c>
      <c r="M186" s="4" t="s">
        <v>34</v>
      </c>
      <c r="N186" t="s">
        <v>36</v>
      </c>
      <c r="O186" t="s">
        <v>38</v>
      </c>
      <c r="P186" s="8">
        <v>4</v>
      </c>
      <c r="Q186" s="6">
        <v>0.875</v>
      </c>
      <c r="R186" s="6">
        <v>63.5</v>
      </c>
      <c r="S186" s="6" t="str">
        <f>IF(Table2[[#This Row],[Avg_score]]&gt;=79,"Distinction",IF(Table2[[#This Row],[Avg_score]]&gt;=60,"Pass","Fail"))</f>
        <v>Pass</v>
      </c>
      <c r="T186" t="s">
        <v>39</v>
      </c>
      <c r="U186">
        <f>IF(Table2[[#This Row],[Completed]]="Yes",1,0)</f>
        <v>1</v>
      </c>
      <c r="V186" t="s">
        <v>39</v>
      </c>
      <c r="W186" t="s">
        <v>40</v>
      </c>
      <c r="X186" s="4">
        <v>45838</v>
      </c>
    </row>
    <row r="187" spans="1:24" x14ac:dyDescent="0.3">
      <c r="A187">
        <v>186</v>
      </c>
      <c r="B187" s="8">
        <v>62</v>
      </c>
      <c r="C187">
        <v>3</v>
      </c>
      <c r="D187" t="s">
        <v>19</v>
      </c>
      <c r="E187" t="s">
        <v>23</v>
      </c>
      <c r="F187">
        <v>35</v>
      </c>
      <c r="G187" t="str">
        <f>IF(Table2[[#This Row],[Age]]&gt;=30,"Experienced",IF(Table2[[#This Row],[Age]]&gt;=25,"Mid Level", "Entry Level"))</f>
        <v>Experienced</v>
      </c>
      <c r="H187" t="s">
        <v>24</v>
      </c>
      <c r="I187" t="s">
        <v>30</v>
      </c>
      <c r="J187" s="4">
        <v>45793</v>
      </c>
      <c r="K187" s="4" t="str">
        <f>TEXT(Table2[[#This Row],[Enrollment_date]],"Mmm")</f>
        <v>May</v>
      </c>
      <c r="L187" s="4" t="str">
        <f>TEXT(Table2[[#This Row],[Enrollment_date]],"Ddd")</f>
        <v>Fri</v>
      </c>
      <c r="M187" s="4" t="s">
        <v>34</v>
      </c>
      <c r="N187" t="s">
        <v>37</v>
      </c>
      <c r="O187" t="s">
        <v>38</v>
      </c>
      <c r="P187" s="8">
        <v>4</v>
      </c>
      <c r="Q187" s="6">
        <v>0.66666666666666663</v>
      </c>
      <c r="R187" s="6">
        <v>80</v>
      </c>
      <c r="S187" s="6" t="str">
        <f>IF(Table2[[#This Row],[Avg_score]]&gt;=79,"Distinction",IF(Table2[[#This Row],[Avg_score]]&gt;=60,"Pass","Fail"))</f>
        <v>Distinction</v>
      </c>
      <c r="T187" t="s">
        <v>39</v>
      </c>
      <c r="U187">
        <f>IF(Table2[[#This Row],[Completed]]="Yes",1,0)</f>
        <v>1</v>
      </c>
      <c r="V187" t="s">
        <v>39</v>
      </c>
      <c r="W187" t="s">
        <v>40</v>
      </c>
      <c r="X187" s="4">
        <v>45838</v>
      </c>
    </row>
    <row r="188" spans="1:24" x14ac:dyDescent="0.3">
      <c r="A188">
        <v>187</v>
      </c>
      <c r="B188" s="8">
        <v>63</v>
      </c>
      <c r="C188">
        <v>1</v>
      </c>
      <c r="D188" t="s">
        <v>19</v>
      </c>
      <c r="E188" t="s">
        <v>22</v>
      </c>
      <c r="F188">
        <v>35</v>
      </c>
      <c r="G188" t="str">
        <f>IF(Table2[[#This Row],[Age]]&gt;=30,"Experienced",IF(Table2[[#This Row],[Age]]&gt;=25,"Mid Level", "Entry Level"))</f>
        <v>Experienced</v>
      </c>
      <c r="H188" t="s">
        <v>29</v>
      </c>
      <c r="I188" t="s">
        <v>68</v>
      </c>
      <c r="J188" s="4">
        <v>45692</v>
      </c>
      <c r="K188" s="4" t="str">
        <f>TEXT(Table2[[#This Row],[Enrollment_date]],"Mmm")</f>
        <v>Feb</v>
      </c>
      <c r="L188" s="4" t="str">
        <f>TEXT(Table2[[#This Row],[Enrollment_date]],"Ddd")</f>
        <v>Tue</v>
      </c>
      <c r="M188" s="4" t="s">
        <v>34</v>
      </c>
      <c r="N188" t="s">
        <v>35</v>
      </c>
      <c r="O188" t="s">
        <v>38</v>
      </c>
      <c r="P188" s="8">
        <v>4</v>
      </c>
      <c r="Q188" s="6">
        <v>0.77083333333333337</v>
      </c>
      <c r="R188" s="6">
        <v>82.5</v>
      </c>
      <c r="S188" s="6" t="str">
        <f>IF(Table2[[#This Row],[Avg_score]]&gt;=79,"Distinction",IF(Table2[[#This Row],[Avg_score]]&gt;=60,"Pass","Fail"))</f>
        <v>Distinction</v>
      </c>
      <c r="T188" t="s">
        <v>40</v>
      </c>
      <c r="U188">
        <f>IF(Table2[[#This Row],[Completed]]="Yes",1,0)</f>
        <v>0</v>
      </c>
      <c r="V188" t="s">
        <v>40</v>
      </c>
      <c r="W188" t="s">
        <v>40</v>
      </c>
      <c r="X188" s="4">
        <v>45838</v>
      </c>
    </row>
    <row r="189" spans="1:24" x14ac:dyDescent="0.3">
      <c r="A189">
        <v>188</v>
      </c>
      <c r="B189" s="8">
        <v>63</v>
      </c>
      <c r="C189">
        <v>2</v>
      </c>
      <c r="D189" t="s">
        <v>21</v>
      </c>
      <c r="E189" t="s">
        <v>22</v>
      </c>
      <c r="F189">
        <v>35</v>
      </c>
      <c r="G189" t="str">
        <f>IF(Table2[[#This Row],[Age]]&gt;=30,"Experienced",IF(Table2[[#This Row],[Age]]&gt;=25,"Mid Level", "Entry Level"))</f>
        <v>Experienced</v>
      </c>
      <c r="H189" t="s">
        <v>29</v>
      </c>
      <c r="I189" t="s">
        <v>68</v>
      </c>
      <c r="J189" s="4">
        <v>45692</v>
      </c>
      <c r="K189" s="4" t="str">
        <f>TEXT(Table2[[#This Row],[Enrollment_date]],"Mmm")</f>
        <v>Feb</v>
      </c>
      <c r="L189" s="4" t="str">
        <f>TEXT(Table2[[#This Row],[Enrollment_date]],"Ddd")</f>
        <v>Tue</v>
      </c>
      <c r="M189" s="4" t="s">
        <v>34</v>
      </c>
      <c r="N189" t="s">
        <v>36</v>
      </c>
      <c r="O189" t="s">
        <v>38</v>
      </c>
      <c r="P189" s="8">
        <v>4</v>
      </c>
      <c r="Q189" s="6">
        <v>0.77083333333333337</v>
      </c>
      <c r="R189" s="6">
        <v>83.5</v>
      </c>
      <c r="S189" s="6" t="str">
        <f>IF(Table2[[#This Row],[Avg_score]]&gt;=79,"Distinction",IF(Table2[[#This Row],[Avg_score]]&gt;=60,"Pass","Fail"))</f>
        <v>Distinction</v>
      </c>
      <c r="T189" t="s">
        <v>40</v>
      </c>
      <c r="U189">
        <f>IF(Table2[[#This Row],[Completed]]="Yes",1,0)</f>
        <v>0</v>
      </c>
      <c r="V189" t="s">
        <v>40</v>
      </c>
      <c r="W189" t="s">
        <v>40</v>
      </c>
      <c r="X189" s="4">
        <v>45838</v>
      </c>
    </row>
    <row r="190" spans="1:24" x14ac:dyDescent="0.3">
      <c r="A190">
        <v>189</v>
      </c>
      <c r="B190" s="8">
        <v>63</v>
      </c>
      <c r="C190">
        <v>3</v>
      </c>
      <c r="D190" t="s">
        <v>19</v>
      </c>
      <c r="E190" t="s">
        <v>22</v>
      </c>
      <c r="F190">
        <v>35</v>
      </c>
      <c r="G190" t="str">
        <f>IF(Table2[[#This Row],[Age]]&gt;=30,"Experienced",IF(Table2[[#This Row],[Age]]&gt;=25,"Mid Level", "Entry Level"))</f>
        <v>Experienced</v>
      </c>
      <c r="H190" t="s">
        <v>29</v>
      </c>
      <c r="I190" t="s">
        <v>68</v>
      </c>
      <c r="J190" s="4">
        <v>45692</v>
      </c>
      <c r="K190" s="4" t="str">
        <f>TEXT(Table2[[#This Row],[Enrollment_date]],"Mmm")</f>
        <v>Feb</v>
      </c>
      <c r="L190" s="4" t="str">
        <f>TEXT(Table2[[#This Row],[Enrollment_date]],"Ddd")</f>
        <v>Tue</v>
      </c>
      <c r="M190" s="4" t="s">
        <v>34</v>
      </c>
      <c r="N190" t="s">
        <v>37</v>
      </c>
      <c r="O190" t="s">
        <v>38</v>
      </c>
      <c r="P190" s="8">
        <v>4</v>
      </c>
      <c r="Q190" s="6">
        <v>0.79166666666666663</v>
      </c>
      <c r="R190" s="6">
        <v>80.5</v>
      </c>
      <c r="S190" s="6" t="str">
        <f>IF(Table2[[#This Row],[Avg_score]]&gt;=79,"Distinction",IF(Table2[[#This Row],[Avg_score]]&gt;=60,"Pass","Fail"))</f>
        <v>Distinction</v>
      </c>
      <c r="T190" t="s">
        <v>40</v>
      </c>
      <c r="U190">
        <f>IF(Table2[[#This Row],[Completed]]="Yes",1,0)</f>
        <v>0</v>
      </c>
      <c r="V190" t="s">
        <v>40</v>
      </c>
      <c r="W190" t="s">
        <v>40</v>
      </c>
      <c r="X190" s="4">
        <v>45838</v>
      </c>
    </row>
    <row r="191" spans="1:24" x14ac:dyDescent="0.3">
      <c r="A191">
        <v>190</v>
      </c>
      <c r="B191" s="8">
        <v>64</v>
      </c>
      <c r="C191">
        <v>1</v>
      </c>
      <c r="D191" t="s">
        <v>19</v>
      </c>
      <c r="E191" t="s">
        <v>23</v>
      </c>
      <c r="F191">
        <v>21</v>
      </c>
      <c r="G191" t="str">
        <f>IF(Table2[[#This Row],[Age]]&gt;=30,"Experienced",IF(Table2[[#This Row],[Age]]&gt;=25,"Mid Level", "Entry Level"))</f>
        <v>Entry Level</v>
      </c>
      <c r="H191" t="s">
        <v>25</v>
      </c>
      <c r="I191" t="s">
        <v>32</v>
      </c>
      <c r="J191" s="4">
        <v>45727</v>
      </c>
      <c r="K191" s="4" t="str">
        <f>TEXT(Table2[[#This Row],[Enrollment_date]],"Mmm")</f>
        <v>Mar</v>
      </c>
      <c r="L191" s="4" t="str">
        <f>TEXT(Table2[[#This Row],[Enrollment_date]],"Ddd")</f>
        <v>Tue</v>
      </c>
      <c r="M191" s="4" t="s">
        <v>34</v>
      </c>
      <c r="N191" t="s">
        <v>35</v>
      </c>
      <c r="O191" t="s">
        <v>38</v>
      </c>
      <c r="P191" s="8">
        <v>4</v>
      </c>
      <c r="Q191" s="6">
        <v>0.8125</v>
      </c>
      <c r="R191" s="6">
        <v>91</v>
      </c>
      <c r="S191" s="6" t="str">
        <f>IF(Table2[[#This Row],[Avg_score]]&gt;=79,"Distinction",IF(Table2[[#This Row],[Avg_score]]&gt;=60,"Pass","Fail"))</f>
        <v>Distinction</v>
      </c>
      <c r="T191" t="s">
        <v>39</v>
      </c>
      <c r="U191">
        <f>IF(Table2[[#This Row],[Completed]]="Yes",1,0)</f>
        <v>1</v>
      </c>
      <c r="V191" t="s">
        <v>39</v>
      </c>
      <c r="W191" t="s">
        <v>40</v>
      </c>
      <c r="X191" s="4">
        <v>45838</v>
      </c>
    </row>
    <row r="192" spans="1:24" x14ac:dyDescent="0.3">
      <c r="A192">
        <v>191</v>
      </c>
      <c r="B192" s="8">
        <v>64</v>
      </c>
      <c r="C192">
        <v>2</v>
      </c>
      <c r="D192" t="s">
        <v>19</v>
      </c>
      <c r="E192" t="s">
        <v>23</v>
      </c>
      <c r="F192">
        <v>21</v>
      </c>
      <c r="G192" t="str">
        <f>IF(Table2[[#This Row],[Age]]&gt;=30,"Experienced",IF(Table2[[#This Row],[Age]]&gt;=25,"Mid Level", "Entry Level"))</f>
        <v>Entry Level</v>
      </c>
      <c r="H192" t="s">
        <v>25</v>
      </c>
      <c r="I192" t="s">
        <v>32</v>
      </c>
      <c r="J192" s="4">
        <v>45727</v>
      </c>
      <c r="K192" s="4" t="str">
        <f>TEXT(Table2[[#This Row],[Enrollment_date]],"Mmm")</f>
        <v>Mar</v>
      </c>
      <c r="L192" s="4" t="str">
        <f>TEXT(Table2[[#This Row],[Enrollment_date]],"Ddd")</f>
        <v>Tue</v>
      </c>
      <c r="M192" s="4" t="s">
        <v>34</v>
      </c>
      <c r="N192" t="s">
        <v>36</v>
      </c>
      <c r="O192" t="s">
        <v>38</v>
      </c>
      <c r="P192" s="8">
        <v>4</v>
      </c>
      <c r="Q192" s="6">
        <v>0.72916666666666663</v>
      </c>
      <c r="R192" s="6">
        <v>57</v>
      </c>
      <c r="S192" s="6" t="str">
        <f>IF(Table2[[#This Row],[Avg_score]]&gt;=79,"Distinction",IF(Table2[[#This Row],[Avg_score]]&gt;=60,"Pass","Fail"))</f>
        <v>Fail</v>
      </c>
      <c r="T192" t="s">
        <v>39</v>
      </c>
      <c r="U192">
        <f>IF(Table2[[#This Row],[Completed]]="Yes",1,0)</f>
        <v>1</v>
      </c>
      <c r="V192" t="s">
        <v>39</v>
      </c>
      <c r="W192" t="s">
        <v>40</v>
      </c>
      <c r="X192" s="4">
        <v>45838</v>
      </c>
    </row>
    <row r="193" spans="1:24" x14ac:dyDescent="0.3">
      <c r="A193">
        <v>192</v>
      </c>
      <c r="B193" s="8">
        <v>64</v>
      </c>
      <c r="C193">
        <v>3</v>
      </c>
      <c r="D193" t="s">
        <v>19</v>
      </c>
      <c r="E193" t="s">
        <v>23</v>
      </c>
      <c r="F193">
        <v>21</v>
      </c>
      <c r="G193" t="str">
        <f>IF(Table2[[#This Row],[Age]]&gt;=30,"Experienced",IF(Table2[[#This Row],[Age]]&gt;=25,"Mid Level", "Entry Level"))</f>
        <v>Entry Level</v>
      </c>
      <c r="H193" t="s">
        <v>25</v>
      </c>
      <c r="I193" t="s">
        <v>32</v>
      </c>
      <c r="J193" s="4">
        <v>45727</v>
      </c>
      <c r="K193" s="4" t="str">
        <f>TEXT(Table2[[#This Row],[Enrollment_date]],"Mmm")</f>
        <v>Mar</v>
      </c>
      <c r="L193" s="4" t="str">
        <f>TEXT(Table2[[#This Row],[Enrollment_date]],"Ddd")</f>
        <v>Tue</v>
      </c>
      <c r="M193" s="4" t="s">
        <v>34</v>
      </c>
      <c r="N193" t="s">
        <v>37</v>
      </c>
      <c r="O193" t="s">
        <v>38</v>
      </c>
      <c r="P193" s="8">
        <v>4</v>
      </c>
      <c r="Q193" s="6">
        <v>0.83333333333333337</v>
      </c>
      <c r="R193" s="6">
        <v>98</v>
      </c>
      <c r="S193" s="6" t="str">
        <f>IF(Table2[[#This Row],[Avg_score]]&gt;=79,"Distinction",IF(Table2[[#This Row],[Avg_score]]&gt;=60,"Pass","Fail"))</f>
        <v>Distinction</v>
      </c>
      <c r="T193" t="s">
        <v>39</v>
      </c>
      <c r="U193">
        <f>IF(Table2[[#This Row],[Completed]]="Yes",1,0)</f>
        <v>1</v>
      </c>
      <c r="V193" t="s">
        <v>39</v>
      </c>
      <c r="W193" t="s">
        <v>40</v>
      </c>
      <c r="X193" s="4">
        <v>45838</v>
      </c>
    </row>
    <row r="194" spans="1:24" x14ac:dyDescent="0.3">
      <c r="A194">
        <v>193</v>
      </c>
      <c r="B194" s="8">
        <v>65</v>
      </c>
      <c r="C194">
        <v>1</v>
      </c>
      <c r="D194" t="s">
        <v>19</v>
      </c>
      <c r="E194" t="s">
        <v>23</v>
      </c>
      <c r="F194">
        <v>24</v>
      </c>
      <c r="G194" t="str">
        <f>IF(Table2[[#This Row],[Age]]&gt;=30,"Experienced",IF(Table2[[#This Row],[Age]]&gt;=25,"Mid Level", "Entry Level"))</f>
        <v>Entry Level</v>
      </c>
      <c r="H194" t="s">
        <v>24</v>
      </c>
      <c r="I194" t="s">
        <v>30</v>
      </c>
      <c r="J194" s="4">
        <v>45710</v>
      </c>
      <c r="K194" s="4" t="str">
        <f>TEXT(Table2[[#This Row],[Enrollment_date]],"Mmm")</f>
        <v>Feb</v>
      </c>
      <c r="L194" s="4" t="str">
        <f>TEXT(Table2[[#This Row],[Enrollment_date]],"Ddd")</f>
        <v>Sat</v>
      </c>
      <c r="M194" s="4" t="s">
        <v>34</v>
      </c>
      <c r="N194" t="s">
        <v>35</v>
      </c>
      <c r="O194" t="s">
        <v>38</v>
      </c>
      <c r="P194" s="8">
        <v>4</v>
      </c>
      <c r="Q194" s="6">
        <v>0.83333333333333337</v>
      </c>
      <c r="R194" s="6">
        <v>70</v>
      </c>
      <c r="S194" s="6" t="str">
        <f>IF(Table2[[#This Row],[Avg_score]]&gt;=79,"Distinction",IF(Table2[[#This Row],[Avg_score]]&gt;=60,"Pass","Fail"))</f>
        <v>Pass</v>
      </c>
      <c r="T194" t="s">
        <v>40</v>
      </c>
      <c r="U194">
        <f>IF(Table2[[#This Row],[Completed]]="Yes",1,0)</f>
        <v>0</v>
      </c>
      <c r="V194" t="s">
        <v>40</v>
      </c>
      <c r="W194" t="s">
        <v>40</v>
      </c>
      <c r="X194" s="4">
        <v>45838</v>
      </c>
    </row>
    <row r="195" spans="1:24" x14ac:dyDescent="0.3">
      <c r="A195">
        <v>194</v>
      </c>
      <c r="B195" s="8">
        <v>65</v>
      </c>
      <c r="C195">
        <v>2</v>
      </c>
      <c r="D195" t="s">
        <v>19</v>
      </c>
      <c r="E195" t="s">
        <v>23</v>
      </c>
      <c r="F195">
        <v>24</v>
      </c>
      <c r="G195" t="str">
        <f>IF(Table2[[#This Row],[Age]]&gt;=30,"Experienced",IF(Table2[[#This Row],[Age]]&gt;=25,"Mid Level", "Entry Level"))</f>
        <v>Entry Level</v>
      </c>
      <c r="H195" t="s">
        <v>24</v>
      </c>
      <c r="I195" t="s">
        <v>30</v>
      </c>
      <c r="J195" s="4">
        <v>45710</v>
      </c>
      <c r="K195" s="4" t="str">
        <f>TEXT(Table2[[#This Row],[Enrollment_date]],"Mmm")</f>
        <v>Feb</v>
      </c>
      <c r="L195" s="4" t="str">
        <f>TEXT(Table2[[#This Row],[Enrollment_date]],"Ddd")</f>
        <v>Sat</v>
      </c>
      <c r="M195" s="4" t="s">
        <v>34</v>
      </c>
      <c r="N195" t="s">
        <v>36</v>
      </c>
      <c r="O195" t="s">
        <v>38</v>
      </c>
      <c r="P195" s="8">
        <v>4</v>
      </c>
      <c r="Q195" s="6">
        <v>0.70833333333333337</v>
      </c>
      <c r="R195" s="6">
        <v>75.5</v>
      </c>
      <c r="S195" s="6" t="str">
        <f>IF(Table2[[#This Row],[Avg_score]]&gt;=79,"Distinction",IF(Table2[[#This Row],[Avg_score]]&gt;=60,"Pass","Fail"))</f>
        <v>Pass</v>
      </c>
      <c r="T195" t="s">
        <v>40</v>
      </c>
      <c r="U195">
        <f>IF(Table2[[#This Row],[Completed]]="Yes",1,0)</f>
        <v>0</v>
      </c>
      <c r="V195" t="s">
        <v>40</v>
      </c>
      <c r="W195" t="s">
        <v>40</v>
      </c>
      <c r="X195" s="4">
        <v>45838</v>
      </c>
    </row>
    <row r="196" spans="1:24" x14ac:dyDescent="0.3">
      <c r="A196">
        <v>195</v>
      </c>
      <c r="B196" s="8">
        <v>65</v>
      </c>
      <c r="C196">
        <v>3</v>
      </c>
      <c r="D196" t="s">
        <v>19</v>
      </c>
      <c r="E196" t="s">
        <v>23</v>
      </c>
      <c r="F196">
        <v>24</v>
      </c>
      <c r="G196" t="str">
        <f>IF(Table2[[#This Row],[Age]]&gt;=30,"Experienced",IF(Table2[[#This Row],[Age]]&gt;=25,"Mid Level", "Entry Level"))</f>
        <v>Entry Level</v>
      </c>
      <c r="H196" t="s">
        <v>24</v>
      </c>
      <c r="I196" t="s">
        <v>30</v>
      </c>
      <c r="J196" s="4">
        <v>45710</v>
      </c>
      <c r="K196" s="4" t="str">
        <f>TEXT(Table2[[#This Row],[Enrollment_date]],"Mmm")</f>
        <v>Feb</v>
      </c>
      <c r="L196" s="4" t="str">
        <f>TEXT(Table2[[#This Row],[Enrollment_date]],"Ddd")</f>
        <v>Sat</v>
      </c>
      <c r="M196" s="4" t="s">
        <v>34</v>
      </c>
      <c r="N196" t="s">
        <v>37</v>
      </c>
      <c r="O196" t="s">
        <v>38</v>
      </c>
      <c r="P196" s="8">
        <v>4</v>
      </c>
      <c r="Q196" s="6">
        <v>0.8125</v>
      </c>
      <c r="R196" s="6">
        <v>72.5</v>
      </c>
      <c r="S196" s="6" t="str">
        <f>IF(Table2[[#This Row],[Avg_score]]&gt;=79,"Distinction",IF(Table2[[#This Row],[Avg_score]]&gt;=60,"Pass","Fail"))</f>
        <v>Pass</v>
      </c>
      <c r="T196" t="s">
        <v>40</v>
      </c>
      <c r="U196">
        <f>IF(Table2[[#This Row],[Completed]]="Yes",1,0)</f>
        <v>0</v>
      </c>
      <c r="V196" t="s">
        <v>40</v>
      </c>
      <c r="W196" t="s">
        <v>40</v>
      </c>
      <c r="X196" s="4">
        <v>45838</v>
      </c>
    </row>
    <row r="197" spans="1:24" x14ac:dyDescent="0.3">
      <c r="A197">
        <v>196</v>
      </c>
      <c r="B197" s="8">
        <v>66</v>
      </c>
      <c r="C197">
        <v>1</v>
      </c>
      <c r="D197" t="s">
        <v>21</v>
      </c>
      <c r="E197" t="s">
        <v>23</v>
      </c>
      <c r="F197">
        <v>34</v>
      </c>
      <c r="G197" t="str">
        <f>IF(Table2[[#This Row],[Age]]&gt;=30,"Experienced",IF(Table2[[#This Row],[Age]]&gt;=25,"Mid Level", "Entry Level"))</f>
        <v>Experienced</v>
      </c>
      <c r="H197" t="s">
        <v>27</v>
      </c>
      <c r="I197" t="s">
        <v>30</v>
      </c>
      <c r="J197" s="4">
        <v>45671</v>
      </c>
      <c r="K197" s="4" t="str">
        <f>TEXT(Table2[[#This Row],[Enrollment_date]],"Mmm")</f>
        <v>Jan</v>
      </c>
      <c r="L197" s="4" t="str">
        <f>TEXT(Table2[[#This Row],[Enrollment_date]],"Ddd")</f>
        <v>Tue</v>
      </c>
      <c r="M197" s="4" t="s">
        <v>34</v>
      </c>
      <c r="N197" t="s">
        <v>35</v>
      </c>
      <c r="O197" t="s">
        <v>38</v>
      </c>
      <c r="P197" s="8">
        <v>4</v>
      </c>
      <c r="Q197" s="6">
        <v>0.72916666666666663</v>
      </c>
      <c r="R197" s="6">
        <v>50.5</v>
      </c>
      <c r="S197" s="6" t="str">
        <f>IF(Table2[[#This Row],[Avg_score]]&gt;=79,"Distinction",IF(Table2[[#This Row],[Avg_score]]&gt;=60,"Pass","Fail"))</f>
        <v>Fail</v>
      </c>
      <c r="T197" t="s">
        <v>39</v>
      </c>
      <c r="U197">
        <f>IF(Table2[[#This Row],[Completed]]="Yes",1,0)</f>
        <v>1</v>
      </c>
      <c r="V197" t="s">
        <v>39</v>
      </c>
      <c r="W197" t="s">
        <v>40</v>
      </c>
      <c r="X197" s="4">
        <v>45838</v>
      </c>
    </row>
    <row r="198" spans="1:24" x14ac:dyDescent="0.3">
      <c r="A198">
        <v>197</v>
      </c>
      <c r="B198" s="8">
        <v>66</v>
      </c>
      <c r="C198">
        <v>2</v>
      </c>
      <c r="D198" t="s">
        <v>19</v>
      </c>
      <c r="E198" t="s">
        <v>23</v>
      </c>
      <c r="F198">
        <v>34</v>
      </c>
      <c r="G198" t="str">
        <f>IF(Table2[[#This Row],[Age]]&gt;=30,"Experienced",IF(Table2[[#This Row],[Age]]&gt;=25,"Mid Level", "Entry Level"))</f>
        <v>Experienced</v>
      </c>
      <c r="H198" t="s">
        <v>27</v>
      </c>
      <c r="I198" t="s">
        <v>30</v>
      </c>
      <c r="J198" s="4">
        <v>45671</v>
      </c>
      <c r="K198" s="4" t="str">
        <f>TEXT(Table2[[#This Row],[Enrollment_date]],"Mmm")</f>
        <v>Jan</v>
      </c>
      <c r="L198" s="4" t="str">
        <f>TEXT(Table2[[#This Row],[Enrollment_date]],"Ddd")</f>
        <v>Tue</v>
      </c>
      <c r="M198" s="4" t="s">
        <v>34</v>
      </c>
      <c r="N198" t="s">
        <v>36</v>
      </c>
      <c r="O198" t="s">
        <v>38</v>
      </c>
      <c r="P198" s="8">
        <v>4</v>
      </c>
      <c r="Q198" s="6">
        <v>0.83333333333333337</v>
      </c>
      <c r="R198" s="6">
        <v>59.5</v>
      </c>
      <c r="S198" s="6" t="str">
        <f>IF(Table2[[#This Row],[Avg_score]]&gt;=79,"Distinction",IF(Table2[[#This Row],[Avg_score]]&gt;=60,"Pass","Fail"))</f>
        <v>Fail</v>
      </c>
      <c r="T198" t="s">
        <v>39</v>
      </c>
      <c r="U198">
        <f>IF(Table2[[#This Row],[Completed]]="Yes",1,0)</f>
        <v>1</v>
      </c>
      <c r="V198" t="s">
        <v>39</v>
      </c>
      <c r="W198" t="s">
        <v>40</v>
      </c>
      <c r="X198" s="4">
        <v>45838</v>
      </c>
    </row>
    <row r="199" spans="1:24" x14ac:dyDescent="0.3">
      <c r="A199">
        <v>198</v>
      </c>
      <c r="B199" s="8">
        <v>66</v>
      </c>
      <c r="C199">
        <v>3</v>
      </c>
      <c r="D199" t="s">
        <v>19</v>
      </c>
      <c r="E199" t="s">
        <v>23</v>
      </c>
      <c r="F199">
        <v>34</v>
      </c>
      <c r="G199" t="str">
        <f>IF(Table2[[#This Row],[Age]]&gt;=30,"Experienced",IF(Table2[[#This Row],[Age]]&gt;=25,"Mid Level", "Entry Level"))</f>
        <v>Experienced</v>
      </c>
      <c r="H199" t="s">
        <v>27</v>
      </c>
      <c r="I199" t="s">
        <v>30</v>
      </c>
      <c r="J199" s="4">
        <v>45671</v>
      </c>
      <c r="K199" s="4" t="str">
        <f>TEXT(Table2[[#This Row],[Enrollment_date]],"Mmm")</f>
        <v>Jan</v>
      </c>
      <c r="L199" s="4" t="str">
        <f>TEXT(Table2[[#This Row],[Enrollment_date]],"Ddd")</f>
        <v>Tue</v>
      </c>
      <c r="M199" s="4" t="s">
        <v>34</v>
      </c>
      <c r="N199" t="s">
        <v>37</v>
      </c>
      <c r="O199" t="s">
        <v>38</v>
      </c>
      <c r="P199" s="8">
        <v>4</v>
      </c>
      <c r="Q199" s="6">
        <v>0.83333333333333337</v>
      </c>
      <c r="R199" s="6">
        <v>73.5</v>
      </c>
      <c r="S199" s="6" t="str">
        <f>IF(Table2[[#This Row],[Avg_score]]&gt;=79,"Distinction",IF(Table2[[#This Row],[Avg_score]]&gt;=60,"Pass","Fail"))</f>
        <v>Pass</v>
      </c>
      <c r="T199" t="s">
        <v>39</v>
      </c>
      <c r="U199">
        <f>IF(Table2[[#This Row],[Completed]]="Yes",1,0)</f>
        <v>1</v>
      </c>
      <c r="V199" t="s">
        <v>39</v>
      </c>
      <c r="W199" t="s">
        <v>40</v>
      </c>
      <c r="X199" s="4">
        <v>45838</v>
      </c>
    </row>
    <row r="200" spans="1:24" x14ac:dyDescent="0.3">
      <c r="A200">
        <v>199</v>
      </c>
      <c r="B200" s="8">
        <v>67</v>
      </c>
      <c r="C200">
        <v>1</v>
      </c>
      <c r="D200" t="s">
        <v>19</v>
      </c>
      <c r="E200" t="s">
        <v>22</v>
      </c>
      <c r="F200">
        <v>31</v>
      </c>
      <c r="G200" t="str">
        <f>IF(Table2[[#This Row],[Age]]&gt;=30,"Experienced",IF(Table2[[#This Row],[Age]]&gt;=25,"Mid Level", "Entry Level"))</f>
        <v>Experienced</v>
      </c>
      <c r="H200" t="s">
        <v>29</v>
      </c>
      <c r="I200" t="s">
        <v>68</v>
      </c>
      <c r="J200" s="4">
        <v>45658</v>
      </c>
      <c r="K200" s="4" t="str">
        <f>TEXT(Table2[[#This Row],[Enrollment_date]],"Mmm")</f>
        <v>Jan</v>
      </c>
      <c r="L200" s="4" t="str">
        <f>TEXT(Table2[[#This Row],[Enrollment_date]],"Ddd")</f>
        <v>Wed</v>
      </c>
      <c r="M200" s="4" t="s">
        <v>34</v>
      </c>
      <c r="N200" t="s">
        <v>35</v>
      </c>
      <c r="O200" t="s">
        <v>38</v>
      </c>
      <c r="P200" s="8">
        <v>4</v>
      </c>
      <c r="Q200" s="6">
        <v>0.8125</v>
      </c>
      <c r="R200" s="6">
        <v>72</v>
      </c>
      <c r="S200" s="6" t="str">
        <f>IF(Table2[[#This Row],[Avg_score]]&gt;=79,"Distinction",IF(Table2[[#This Row],[Avg_score]]&gt;=60,"Pass","Fail"))</f>
        <v>Pass</v>
      </c>
      <c r="T200" t="s">
        <v>39</v>
      </c>
      <c r="U200">
        <f>IF(Table2[[#This Row],[Completed]]="Yes",1,0)</f>
        <v>1</v>
      </c>
      <c r="V200" t="s">
        <v>40</v>
      </c>
      <c r="W200" t="s">
        <v>40</v>
      </c>
      <c r="X200" s="4">
        <v>45838</v>
      </c>
    </row>
    <row r="201" spans="1:24" x14ac:dyDescent="0.3">
      <c r="A201">
        <v>200</v>
      </c>
      <c r="B201" s="8">
        <v>67</v>
      </c>
      <c r="C201">
        <v>2</v>
      </c>
      <c r="D201" t="s">
        <v>20</v>
      </c>
      <c r="E201" t="s">
        <v>22</v>
      </c>
      <c r="F201">
        <v>31</v>
      </c>
      <c r="G201" t="str">
        <f>IF(Table2[[#This Row],[Age]]&gt;=30,"Experienced",IF(Table2[[#This Row],[Age]]&gt;=25,"Mid Level", "Entry Level"))</f>
        <v>Experienced</v>
      </c>
      <c r="H201" t="s">
        <v>29</v>
      </c>
      <c r="I201" t="s">
        <v>68</v>
      </c>
      <c r="J201" s="4">
        <v>45658</v>
      </c>
      <c r="K201" s="4" t="str">
        <f>TEXT(Table2[[#This Row],[Enrollment_date]],"Mmm")</f>
        <v>Jan</v>
      </c>
      <c r="L201" s="4" t="str">
        <f>TEXT(Table2[[#This Row],[Enrollment_date]],"Ddd")</f>
        <v>Wed</v>
      </c>
      <c r="M201" s="4" t="s">
        <v>34</v>
      </c>
      <c r="N201" t="s">
        <v>36</v>
      </c>
      <c r="O201" t="s">
        <v>38</v>
      </c>
      <c r="P201" s="8">
        <v>4</v>
      </c>
      <c r="Q201" s="6">
        <v>0.83333333333333337</v>
      </c>
      <c r="R201" s="6">
        <v>88</v>
      </c>
      <c r="S201" s="6" t="str">
        <f>IF(Table2[[#This Row],[Avg_score]]&gt;=79,"Distinction",IF(Table2[[#This Row],[Avg_score]]&gt;=60,"Pass","Fail"))</f>
        <v>Distinction</v>
      </c>
      <c r="T201" t="s">
        <v>39</v>
      </c>
      <c r="U201">
        <f>IF(Table2[[#This Row],[Completed]]="Yes",1,0)</f>
        <v>1</v>
      </c>
      <c r="V201" t="s">
        <v>40</v>
      </c>
      <c r="W201" t="s">
        <v>40</v>
      </c>
      <c r="X201" s="4">
        <v>45838</v>
      </c>
    </row>
    <row r="202" spans="1:24" x14ac:dyDescent="0.3">
      <c r="A202">
        <v>201</v>
      </c>
      <c r="B202" s="8">
        <v>67</v>
      </c>
      <c r="C202">
        <v>3</v>
      </c>
      <c r="D202" t="s">
        <v>21</v>
      </c>
      <c r="E202" t="s">
        <v>22</v>
      </c>
      <c r="F202">
        <v>31</v>
      </c>
      <c r="G202" t="str">
        <f>IF(Table2[[#This Row],[Age]]&gt;=30,"Experienced",IF(Table2[[#This Row],[Age]]&gt;=25,"Mid Level", "Entry Level"))</f>
        <v>Experienced</v>
      </c>
      <c r="H202" t="s">
        <v>29</v>
      </c>
      <c r="I202" t="s">
        <v>68</v>
      </c>
      <c r="J202" s="4">
        <v>45658</v>
      </c>
      <c r="K202" s="4" t="str">
        <f>TEXT(Table2[[#This Row],[Enrollment_date]],"Mmm")</f>
        <v>Jan</v>
      </c>
      <c r="L202" s="4" t="str">
        <f>TEXT(Table2[[#This Row],[Enrollment_date]],"Ddd")</f>
        <v>Wed</v>
      </c>
      <c r="M202" s="4" t="s">
        <v>34</v>
      </c>
      <c r="N202" t="s">
        <v>37</v>
      </c>
      <c r="O202" t="s">
        <v>38</v>
      </c>
      <c r="P202" s="8">
        <v>4</v>
      </c>
      <c r="Q202" s="6">
        <v>0.72916666666666663</v>
      </c>
      <c r="R202" s="6">
        <v>90.5</v>
      </c>
      <c r="S202" s="6" t="str">
        <f>IF(Table2[[#This Row],[Avg_score]]&gt;=79,"Distinction",IF(Table2[[#This Row],[Avg_score]]&gt;=60,"Pass","Fail"))</f>
        <v>Distinction</v>
      </c>
      <c r="T202" t="s">
        <v>39</v>
      </c>
      <c r="U202">
        <f>IF(Table2[[#This Row],[Completed]]="Yes",1,0)</f>
        <v>1</v>
      </c>
      <c r="V202" t="s">
        <v>40</v>
      </c>
      <c r="W202" t="s">
        <v>40</v>
      </c>
      <c r="X202" s="4">
        <v>45838</v>
      </c>
    </row>
    <row r="203" spans="1:24" x14ac:dyDescent="0.3">
      <c r="A203">
        <v>202</v>
      </c>
      <c r="B203" s="8">
        <v>68</v>
      </c>
      <c r="C203">
        <v>1</v>
      </c>
      <c r="D203" t="s">
        <v>19</v>
      </c>
      <c r="E203" t="s">
        <v>23</v>
      </c>
      <c r="F203">
        <v>22</v>
      </c>
      <c r="G203" t="str">
        <f>IF(Table2[[#This Row],[Age]]&gt;=30,"Experienced",IF(Table2[[#This Row],[Age]]&gt;=25,"Mid Level", "Entry Level"))</f>
        <v>Entry Level</v>
      </c>
      <c r="H203" t="s">
        <v>24</v>
      </c>
      <c r="I203" t="s">
        <v>30</v>
      </c>
      <c r="J203" s="4">
        <v>45699</v>
      </c>
      <c r="K203" s="4" t="str">
        <f>TEXT(Table2[[#This Row],[Enrollment_date]],"Mmm")</f>
        <v>Feb</v>
      </c>
      <c r="L203" s="4" t="str">
        <f>TEXT(Table2[[#This Row],[Enrollment_date]],"Ddd")</f>
        <v>Tue</v>
      </c>
      <c r="M203" s="4" t="s">
        <v>34</v>
      </c>
      <c r="N203" t="s">
        <v>35</v>
      </c>
      <c r="O203" t="s">
        <v>38</v>
      </c>
      <c r="P203" s="8">
        <v>4</v>
      </c>
      <c r="Q203" s="6">
        <v>0.8125</v>
      </c>
      <c r="R203" s="6">
        <v>72.5</v>
      </c>
      <c r="S203" s="6" t="str">
        <f>IF(Table2[[#This Row],[Avg_score]]&gt;=79,"Distinction",IF(Table2[[#This Row],[Avg_score]]&gt;=60,"Pass","Fail"))</f>
        <v>Pass</v>
      </c>
      <c r="T203" t="s">
        <v>40</v>
      </c>
      <c r="U203">
        <f>IF(Table2[[#This Row],[Completed]]="Yes",1,0)</f>
        <v>0</v>
      </c>
      <c r="V203" t="s">
        <v>40</v>
      </c>
      <c r="W203" t="s">
        <v>40</v>
      </c>
      <c r="X203" s="4">
        <v>45838</v>
      </c>
    </row>
    <row r="204" spans="1:24" x14ac:dyDescent="0.3">
      <c r="A204">
        <v>203</v>
      </c>
      <c r="B204" s="8">
        <v>68</v>
      </c>
      <c r="C204">
        <v>2</v>
      </c>
      <c r="D204" t="s">
        <v>21</v>
      </c>
      <c r="E204" t="s">
        <v>23</v>
      </c>
      <c r="F204">
        <v>22</v>
      </c>
      <c r="G204" t="str">
        <f>IF(Table2[[#This Row],[Age]]&gt;=30,"Experienced",IF(Table2[[#This Row],[Age]]&gt;=25,"Mid Level", "Entry Level"))</f>
        <v>Entry Level</v>
      </c>
      <c r="H204" t="s">
        <v>24</v>
      </c>
      <c r="I204" t="s">
        <v>30</v>
      </c>
      <c r="J204" s="4">
        <v>45699</v>
      </c>
      <c r="K204" s="4" t="str">
        <f>TEXT(Table2[[#This Row],[Enrollment_date]],"Mmm")</f>
        <v>Feb</v>
      </c>
      <c r="L204" s="4" t="str">
        <f>TEXT(Table2[[#This Row],[Enrollment_date]],"Ddd")</f>
        <v>Tue</v>
      </c>
      <c r="M204" s="4" t="s">
        <v>34</v>
      </c>
      <c r="N204" t="s">
        <v>36</v>
      </c>
      <c r="O204" t="s">
        <v>38</v>
      </c>
      <c r="P204" s="8">
        <v>4</v>
      </c>
      <c r="Q204" s="6">
        <v>0.8125</v>
      </c>
      <c r="R204" s="6">
        <v>70</v>
      </c>
      <c r="S204" s="6" t="str">
        <f>IF(Table2[[#This Row],[Avg_score]]&gt;=79,"Distinction",IF(Table2[[#This Row],[Avg_score]]&gt;=60,"Pass","Fail"))</f>
        <v>Pass</v>
      </c>
      <c r="T204" t="s">
        <v>40</v>
      </c>
      <c r="U204">
        <f>IF(Table2[[#This Row],[Completed]]="Yes",1,0)</f>
        <v>0</v>
      </c>
      <c r="V204" t="s">
        <v>40</v>
      </c>
      <c r="W204" t="s">
        <v>40</v>
      </c>
      <c r="X204" s="4">
        <v>45838</v>
      </c>
    </row>
    <row r="205" spans="1:24" x14ac:dyDescent="0.3">
      <c r="A205">
        <v>204</v>
      </c>
      <c r="B205" s="8">
        <v>68</v>
      </c>
      <c r="C205">
        <v>3</v>
      </c>
      <c r="D205" t="s">
        <v>19</v>
      </c>
      <c r="E205" t="s">
        <v>23</v>
      </c>
      <c r="F205">
        <v>22</v>
      </c>
      <c r="G205" t="str">
        <f>IF(Table2[[#This Row],[Age]]&gt;=30,"Experienced",IF(Table2[[#This Row],[Age]]&gt;=25,"Mid Level", "Entry Level"))</f>
        <v>Entry Level</v>
      </c>
      <c r="H205" t="s">
        <v>24</v>
      </c>
      <c r="I205" t="s">
        <v>30</v>
      </c>
      <c r="J205" s="4">
        <v>45699</v>
      </c>
      <c r="K205" s="4" t="str">
        <f>TEXT(Table2[[#This Row],[Enrollment_date]],"Mmm")</f>
        <v>Feb</v>
      </c>
      <c r="L205" s="4" t="str">
        <f>TEXT(Table2[[#This Row],[Enrollment_date]],"Ddd")</f>
        <v>Tue</v>
      </c>
      <c r="M205" s="4" t="s">
        <v>34</v>
      </c>
      <c r="N205" t="s">
        <v>37</v>
      </c>
      <c r="O205" t="s">
        <v>38</v>
      </c>
      <c r="P205" s="8">
        <v>4</v>
      </c>
      <c r="Q205" s="6">
        <v>0.89583333333333337</v>
      </c>
      <c r="R205" s="6">
        <v>72</v>
      </c>
      <c r="S205" s="6" t="str">
        <f>IF(Table2[[#This Row],[Avg_score]]&gt;=79,"Distinction",IF(Table2[[#This Row],[Avg_score]]&gt;=60,"Pass","Fail"))</f>
        <v>Pass</v>
      </c>
      <c r="T205" t="s">
        <v>40</v>
      </c>
      <c r="U205">
        <f>IF(Table2[[#This Row],[Completed]]="Yes",1,0)</f>
        <v>0</v>
      </c>
      <c r="V205" t="s">
        <v>40</v>
      </c>
      <c r="W205" t="s">
        <v>40</v>
      </c>
      <c r="X205" s="4">
        <v>45838</v>
      </c>
    </row>
    <row r="206" spans="1:24" x14ac:dyDescent="0.3">
      <c r="A206">
        <v>205</v>
      </c>
      <c r="B206" s="8">
        <v>69</v>
      </c>
      <c r="C206">
        <v>1</v>
      </c>
      <c r="D206" t="s">
        <v>21</v>
      </c>
      <c r="E206" t="s">
        <v>23</v>
      </c>
      <c r="F206">
        <v>35</v>
      </c>
      <c r="G206" t="str">
        <f>IF(Table2[[#This Row],[Age]]&gt;=30,"Experienced",IF(Table2[[#This Row],[Age]]&gt;=25,"Mid Level", "Entry Level"))</f>
        <v>Experienced</v>
      </c>
      <c r="H206" t="s">
        <v>24</v>
      </c>
      <c r="I206" t="s">
        <v>44</v>
      </c>
      <c r="J206" s="4">
        <v>45801</v>
      </c>
      <c r="K206" s="4" t="str">
        <f>TEXT(Table2[[#This Row],[Enrollment_date]],"Mmm")</f>
        <v>May</v>
      </c>
      <c r="L206" s="4" t="str">
        <f>TEXT(Table2[[#This Row],[Enrollment_date]],"Ddd")</f>
        <v>Sat</v>
      </c>
      <c r="M206" s="4" t="s">
        <v>34</v>
      </c>
      <c r="N206" t="s">
        <v>35</v>
      </c>
      <c r="O206" t="s">
        <v>38</v>
      </c>
      <c r="P206" s="8">
        <v>4</v>
      </c>
      <c r="Q206" s="6">
        <v>0.83333333333333337</v>
      </c>
      <c r="R206" s="6">
        <v>81</v>
      </c>
      <c r="S206" s="6" t="str">
        <f>IF(Table2[[#This Row],[Avg_score]]&gt;=79,"Distinction",IF(Table2[[#This Row],[Avg_score]]&gt;=60,"Pass","Fail"))</f>
        <v>Distinction</v>
      </c>
      <c r="T206" t="s">
        <v>39</v>
      </c>
      <c r="U206">
        <f>IF(Table2[[#This Row],[Completed]]="Yes",1,0)</f>
        <v>1</v>
      </c>
      <c r="V206" t="s">
        <v>39</v>
      </c>
      <c r="W206" t="s">
        <v>40</v>
      </c>
      <c r="X206" s="4">
        <v>45838</v>
      </c>
    </row>
    <row r="207" spans="1:24" x14ac:dyDescent="0.3">
      <c r="A207">
        <v>206</v>
      </c>
      <c r="B207" s="8">
        <v>69</v>
      </c>
      <c r="C207">
        <v>2</v>
      </c>
      <c r="D207" t="s">
        <v>20</v>
      </c>
      <c r="E207" t="s">
        <v>23</v>
      </c>
      <c r="F207">
        <v>35</v>
      </c>
      <c r="G207" t="str">
        <f>IF(Table2[[#This Row],[Age]]&gt;=30,"Experienced",IF(Table2[[#This Row],[Age]]&gt;=25,"Mid Level", "Entry Level"))</f>
        <v>Experienced</v>
      </c>
      <c r="H207" t="s">
        <v>24</v>
      </c>
      <c r="I207" t="s">
        <v>44</v>
      </c>
      <c r="J207" s="4">
        <v>45801</v>
      </c>
      <c r="K207" s="4" t="str">
        <f>TEXT(Table2[[#This Row],[Enrollment_date]],"Mmm")</f>
        <v>May</v>
      </c>
      <c r="L207" s="4" t="str">
        <f>TEXT(Table2[[#This Row],[Enrollment_date]],"Ddd")</f>
        <v>Sat</v>
      </c>
      <c r="M207" s="4" t="s">
        <v>34</v>
      </c>
      <c r="N207" t="s">
        <v>36</v>
      </c>
      <c r="O207" t="s">
        <v>38</v>
      </c>
      <c r="P207" s="8">
        <v>4</v>
      </c>
      <c r="Q207" s="6">
        <v>0.79166666666666663</v>
      </c>
      <c r="R207" s="6">
        <v>63</v>
      </c>
      <c r="S207" s="6" t="str">
        <f>IF(Table2[[#This Row],[Avg_score]]&gt;=79,"Distinction",IF(Table2[[#This Row],[Avg_score]]&gt;=60,"Pass","Fail"))</f>
        <v>Pass</v>
      </c>
      <c r="T207" t="s">
        <v>39</v>
      </c>
      <c r="U207">
        <f>IF(Table2[[#This Row],[Completed]]="Yes",1,0)</f>
        <v>1</v>
      </c>
      <c r="V207" t="s">
        <v>39</v>
      </c>
      <c r="W207" t="s">
        <v>40</v>
      </c>
      <c r="X207" s="4">
        <v>45838</v>
      </c>
    </row>
    <row r="208" spans="1:24" x14ac:dyDescent="0.3">
      <c r="A208">
        <v>207</v>
      </c>
      <c r="B208" s="8">
        <v>69</v>
      </c>
      <c r="C208">
        <v>3</v>
      </c>
      <c r="D208" t="s">
        <v>19</v>
      </c>
      <c r="E208" t="s">
        <v>23</v>
      </c>
      <c r="F208">
        <v>35</v>
      </c>
      <c r="G208" t="str">
        <f>IF(Table2[[#This Row],[Age]]&gt;=30,"Experienced",IF(Table2[[#This Row],[Age]]&gt;=25,"Mid Level", "Entry Level"))</f>
        <v>Experienced</v>
      </c>
      <c r="H208" t="s">
        <v>24</v>
      </c>
      <c r="I208" t="s">
        <v>44</v>
      </c>
      <c r="J208" s="4">
        <v>45801</v>
      </c>
      <c r="K208" s="4" t="str">
        <f>TEXT(Table2[[#This Row],[Enrollment_date]],"Mmm")</f>
        <v>May</v>
      </c>
      <c r="L208" s="4" t="str">
        <f>TEXT(Table2[[#This Row],[Enrollment_date]],"Ddd")</f>
        <v>Sat</v>
      </c>
      <c r="M208" s="4" t="s">
        <v>34</v>
      </c>
      <c r="N208" t="s">
        <v>37</v>
      </c>
      <c r="O208" t="s">
        <v>38</v>
      </c>
      <c r="P208" s="8">
        <v>4</v>
      </c>
      <c r="Q208" s="6">
        <v>0.875</v>
      </c>
      <c r="R208" s="6">
        <v>70</v>
      </c>
      <c r="S208" s="6" t="str">
        <f>IF(Table2[[#This Row],[Avg_score]]&gt;=79,"Distinction",IF(Table2[[#This Row],[Avg_score]]&gt;=60,"Pass","Fail"))</f>
        <v>Pass</v>
      </c>
      <c r="T208" t="s">
        <v>39</v>
      </c>
      <c r="U208">
        <f>IF(Table2[[#This Row],[Completed]]="Yes",1,0)</f>
        <v>1</v>
      </c>
      <c r="V208" t="s">
        <v>39</v>
      </c>
      <c r="W208" t="s">
        <v>40</v>
      </c>
      <c r="X208" s="4">
        <v>45838</v>
      </c>
    </row>
    <row r="209" spans="1:24" x14ac:dyDescent="0.3">
      <c r="A209">
        <v>208</v>
      </c>
      <c r="B209" s="8">
        <v>70</v>
      </c>
      <c r="C209">
        <v>1</v>
      </c>
      <c r="D209" t="s">
        <v>19</v>
      </c>
      <c r="E209" t="s">
        <v>22</v>
      </c>
      <c r="F209">
        <v>21</v>
      </c>
      <c r="G209" t="str">
        <f>IF(Table2[[#This Row],[Age]]&gt;=30,"Experienced",IF(Table2[[#This Row],[Age]]&gt;=25,"Mid Level", "Entry Level"))</f>
        <v>Entry Level</v>
      </c>
      <c r="H209" t="s">
        <v>25</v>
      </c>
      <c r="I209" t="s">
        <v>32</v>
      </c>
      <c r="J209" s="4">
        <v>45797</v>
      </c>
      <c r="K209" s="4" t="str">
        <f>TEXT(Table2[[#This Row],[Enrollment_date]],"Mmm")</f>
        <v>May</v>
      </c>
      <c r="L209" s="4" t="str">
        <f>TEXT(Table2[[#This Row],[Enrollment_date]],"Ddd")</f>
        <v>Tue</v>
      </c>
      <c r="M209" s="4" t="s">
        <v>34</v>
      </c>
      <c r="N209" t="s">
        <v>35</v>
      </c>
      <c r="O209" t="s">
        <v>38</v>
      </c>
      <c r="P209" s="8">
        <v>4</v>
      </c>
      <c r="Q209" s="6">
        <v>0.89583333333333337</v>
      </c>
      <c r="R209" s="6">
        <v>57.5</v>
      </c>
      <c r="S209" s="6" t="str">
        <f>IF(Table2[[#This Row],[Avg_score]]&gt;=79,"Distinction",IF(Table2[[#This Row],[Avg_score]]&gt;=60,"Pass","Fail"))</f>
        <v>Fail</v>
      </c>
      <c r="T209" t="s">
        <v>39</v>
      </c>
      <c r="U209">
        <f>IF(Table2[[#This Row],[Completed]]="Yes",1,0)</f>
        <v>1</v>
      </c>
      <c r="V209" t="s">
        <v>39</v>
      </c>
      <c r="W209" t="s">
        <v>40</v>
      </c>
      <c r="X209" s="4">
        <v>45838</v>
      </c>
    </row>
    <row r="210" spans="1:24" x14ac:dyDescent="0.3">
      <c r="A210">
        <v>209</v>
      </c>
      <c r="B210" s="8">
        <v>70</v>
      </c>
      <c r="C210">
        <v>2</v>
      </c>
      <c r="D210" t="s">
        <v>19</v>
      </c>
      <c r="E210" t="s">
        <v>22</v>
      </c>
      <c r="F210">
        <v>21</v>
      </c>
      <c r="G210" t="str">
        <f>IF(Table2[[#This Row],[Age]]&gt;=30,"Experienced",IF(Table2[[#This Row],[Age]]&gt;=25,"Mid Level", "Entry Level"))</f>
        <v>Entry Level</v>
      </c>
      <c r="H210" t="s">
        <v>25</v>
      </c>
      <c r="I210" t="s">
        <v>32</v>
      </c>
      <c r="J210" s="4">
        <v>45797</v>
      </c>
      <c r="K210" s="4" t="str">
        <f>TEXT(Table2[[#This Row],[Enrollment_date]],"Mmm")</f>
        <v>May</v>
      </c>
      <c r="L210" s="4" t="str">
        <f>TEXT(Table2[[#This Row],[Enrollment_date]],"Ddd")</f>
        <v>Tue</v>
      </c>
      <c r="M210" s="4" t="s">
        <v>34</v>
      </c>
      <c r="N210" t="s">
        <v>36</v>
      </c>
      <c r="O210" t="s">
        <v>38</v>
      </c>
      <c r="P210" s="8">
        <v>4</v>
      </c>
      <c r="Q210" s="6">
        <v>0.89583333333333337</v>
      </c>
      <c r="R210" s="6">
        <v>78</v>
      </c>
      <c r="S210" s="6" t="str">
        <f>IF(Table2[[#This Row],[Avg_score]]&gt;=79,"Distinction",IF(Table2[[#This Row],[Avg_score]]&gt;=60,"Pass","Fail"))</f>
        <v>Pass</v>
      </c>
      <c r="T210" t="s">
        <v>39</v>
      </c>
      <c r="U210">
        <f>IF(Table2[[#This Row],[Completed]]="Yes",1,0)</f>
        <v>1</v>
      </c>
      <c r="V210" t="s">
        <v>39</v>
      </c>
      <c r="W210" t="s">
        <v>40</v>
      </c>
      <c r="X210" s="4">
        <v>45838</v>
      </c>
    </row>
    <row r="211" spans="1:24" x14ac:dyDescent="0.3">
      <c r="A211">
        <v>210</v>
      </c>
      <c r="B211" s="8">
        <v>70</v>
      </c>
      <c r="C211">
        <v>3</v>
      </c>
      <c r="D211" t="s">
        <v>19</v>
      </c>
      <c r="E211" t="s">
        <v>22</v>
      </c>
      <c r="F211">
        <v>21</v>
      </c>
      <c r="G211" t="str">
        <f>IF(Table2[[#This Row],[Age]]&gt;=30,"Experienced",IF(Table2[[#This Row],[Age]]&gt;=25,"Mid Level", "Entry Level"))</f>
        <v>Entry Level</v>
      </c>
      <c r="H211" t="s">
        <v>25</v>
      </c>
      <c r="I211" t="s">
        <v>32</v>
      </c>
      <c r="J211" s="4">
        <v>45797</v>
      </c>
      <c r="K211" s="4" t="str">
        <f>TEXT(Table2[[#This Row],[Enrollment_date]],"Mmm")</f>
        <v>May</v>
      </c>
      <c r="L211" s="4" t="str">
        <f>TEXT(Table2[[#This Row],[Enrollment_date]],"Ddd")</f>
        <v>Tue</v>
      </c>
      <c r="M211" s="4" t="s">
        <v>34</v>
      </c>
      <c r="N211" t="s">
        <v>37</v>
      </c>
      <c r="O211" t="s">
        <v>38</v>
      </c>
      <c r="P211" s="8">
        <v>4</v>
      </c>
      <c r="Q211" s="6">
        <v>0.875</v>
      </c>
      <c r="R211" s="6">
        <v>72.5</v>
      </c>
      <c r="S211" s="6" t="str">
        <f>IF(Table2[[#This Row],[Avg_score]]&gt;=79,"Distinction",IF(Table2[[#This Row],[Avg_score]]&gt;=60,"Pass","Fail"))</f>
        <v>Pass</v>
      </c>
      <c r="T211" t="s">
        <v>39</v>
      </c>
      <c r="U211">
        <f>IF(Table2[[#This Row],[Completed]]="Yes",1,0)</f>
        <v>1</v>
      </c>
      <c r="V211" t="s">
        <v>39</v>
      </c>
      <c r="W211" t="s">
        <v>40</v>
      </c>
      <c r="X211" s="4">
        <v>45838</v>
      </c>
    </row>
    <row r="212" spans="1:24" x14ac:dyDescent="0.3">
      <c r="A212">
        <v>211</v>
      </c>
      <c r="B212" s="8">
        <v>71</v>
      </c>
      <c r="C212">
        <v>1</v>
      </c>
      <c r="D212" t="s">
        <v>19</v>
      </c>
      <c r="E212" t="s">
        <v>22</v>
      </c>
      <c r="F212">
        <v>29</v>
      </c>
      <c r="G212" t="str">
        <f>IF(Table2[[#This Row],[Age]]&gt;=30,"Experienced",IF(Table2[[#This Row],[Age]]&gt;=25,"Mid Level", "Entry Level"))</f>
        <v>Mid Level</v>
      </c>
      <c r="H212" t="s">
        <v>26</v>
      </c>
      <c r="I212" t="s">
        <v>32</v>
      </c>
      <c r="J212" s="4">
        <v>45768</v>
      </c>
      <c r="K212" s="4" t="str">
        <f>TEXT(Table2[[#This Row],[Enrollment_date]],"Mmm")</f>
        <v>Apr</v>
      </c>
      <c r="L212" s="4" t="str">
        <f>TEXT(Table2[[#This Row],[Enrollment_date]],"Ddd")</f>
        <v>Mon</v>
      </c>
      <c r="M212" s="4" t="s">
        <v>34</v>
      </c>
      <c r="N212" t="s">
        <v>35</v>
      </c>
      <c r="O212" t="s">
        <v>38</v>
      </c>
      <c r="P212" s="8">
        <v>4</v>
      </c>
      <c r="Q212" s="6">
        <v>0.79166666666666663</v>
      </c>
      <c r="R212" s="6">
        <v>71.5</v>
      </c>
      <c r="S212" s="6" t="str">
        <f>IF(Table2[[#This Row],[Avg_score]]&gt;=79,"Distinction",IF(Table2[[#This Row],[Avg_score]]&gt;=60,"Pass","Fail"))</f>
        <v>Pass</v>
      </c>
      <c r="T212" t="s">
        <v>39</v>
      </c>
      <c r="U212">
        <f>IF(Table2[[#This Row],[Completed]]="Yes",1,0)</f>
        <v>1</v>
      </c>
      <c r="V212" t="s">
        <v>39</v>
      </c>
      <c r="W212" t="s">
        <v>40</v>
      </c>
      <c r="X212" s="4">
        <v>45838</v>
      </c>
    </row>
    <row r="213" spans="1:24" x14ac:dyDescent="0.3">
      <c r="A213">
        <v>212</v>
      </c>
      <c r="B213" s="8">
        <v>71</v>
      </c>
      <c r="C213">
        <v>2</v>
      </c>
      <c r="D213" t="s">
        <v>21</v>
      </c>
      <c r="E213" t="s">
        <v>22</v>
      </c>
      <c r="F213">
        <v>29</v>
      </c>
      <c r="G213" t="str">
        <f>IF(Table2[[#This Row],[Age]]&gt;=30,"Experienced",IF(Table2[[#This Row],[Age]]&gt;=25,"Mid Level", "Entry Level"))</f>
        <v>Mid Level</v>
      </c>
      <c r="H213" t="s">
        <v>26</v>
      </c>
      <c r="I213" t="s">
        <v>32</v>
      </c>
      <c r="J213" s="4">
        <v>45768</v>
      </c>
      <c r="K213" s="4" t="str">
        <f>TEXT(Table2[[#This Row],[Enrollment_date]],"Mmm")</f>
        <v>Apr</v>
      </c>
      <c r="L213" s="4" t="str">
        <f>TEXT(Table2[[#This Row],[Enrollment_date]],"Ddd")</f>
        <v>Mon</v>
      </c>
      <c r="M213" s="4" t="s">
        <v>34</v>
      </c>
      <c r="N213" t="s">
        <v>36</v>
      </c>
      <c r="O213" t="s">
        <v>38</v>
      </c>
      <c r="P213" s="8">
        <v>4</v>
      </c>
      <c r="Q213" s="6">
        <v>0.83333333333333337</v>
      </c>
      <c r="R213" s="6">
        <v>55</v>
      </c>
      <c r="S213" s="6" t="str">
        <f>IF(Table2[[#This Row],[Avg_score]]&gt;=79,"Distinction",IF(Table2[[#This Row],[Avg_score]]&gt;=60,"Pass","Fail"))</f>
        <v>Fail</v>
      </c>
      <c r="T213" t="s">
        <v>39</v>
      </c>
      <c r="U213">
        <f>IF(Table2[[#This Row],[Completed]]="Yes",1,0)</f>
        <v>1</v>
      </c>
      <c r="V213" t="s">
        <v>39</v>
      </c>
      <c r="W213" t="s">
        <v>40</v>
      </c>
      <c r="X213" s="4">
        <v>45838</v>
      </c>
    </row>
    <row r="214" spans="1:24" x14ac:dyDescent="0.3">
      <c r="A214">
        <v>213</v>
      </c>
      <c r="B214" s="8">
        <v>71</v>
      </c>
      <c r="C214">
        <v>3</v>
      </c>
      <c r="D214" t="s">
        <v>19</v>
      </c>
      <c r="E214" t="s">
        <v>22</v>
      </c>
      <c r="F214">
        <v>29</v>
      </c>
      <c r="G214" t="str">
        <f>IF(Table2[[#This Row],[Age]]&gt;=30,"Experienced",IF(Table2[[#This Row],[Age]]&gt;=25,"Mid Level", "Entry Level"))</f>
        <v>Mid Level</v>
      </c>
      <c r="H214" t="s">
        <v>26</v>
      </c>
      <c r="I214" t="s">
        <v>32</v>
      </c>
      <c r="J214" s="4">
        <v>45768</v>
      </c>
      <c r="K214" s="4" t="str">
        <f>TEXT(Table2[[#This Row],[Enrollment_date]],"Mmm")</f>
        <v>Apr</v>
      </c>
      <c r="L214" s="4" t="str">
        <f>TEXT(Table2[[#This Row],[Enrollment_date]],"Ddd")</f>
        <v>Mon</v>
      </c>
      <c r="M214" s="4" t="s">
        <v>34</v>
      </c>
      <c r="N214" t="s">
        <v>37</v>
      </c>
      <c r="O214" t="s">
        <v>38</v>
      </c>
      <c r="P214" s="8">
        <v>4</v>
      </c>
      <c r="Q214" s="6">
        <v>0.75</v>
      </c>
      <c r="R214" s="6">
        <v>59.5</v>
      </c>
      <c r="S214" s="6" t="str">
        <f>IF(Table2[[#This Row],[Avg_score]]&gt;=79,"Distinction",IF(Table2[[#This Row],[Avg_score]]&gt;=60,"Pass","Fail"))</f>
        <v>Fail</v>
      </c>
      <c r="T214" t="s">
        <v>39</v>
      </c>
      <c r="U214">
        <f>IF(Table2[[#This Row],[Completed]]="Yes",1,0)</f>
        <v>1</v>
      </c>
      <c r="V214" t="s">
        <v>39</v>
      </c>
      <c r="W214" t="s">
        <v>40</v>
      </c>
      <c r="X214" s="4">
        <v>45838</v>
      </c>
    </row>
    <row r="215" spans="1:24" x14ac:dyDescent="0.3">
      <c r="A215">
        <v>214</v>
      </c>
      <c r="B215" s="8">
        <v>72</v>
      </c>
      <c r="C215">
        <v>1</v>
      </c>
      <c r="D215" t="s">
        <v>21</v>
      </c>
      <c r="E215" t="s">
        <v>22</v>
      </c>
      <c r="F215">
        <v>19</v>
      </c>
      <c r="G215" t="str">
        <f>IF(Table2[[#This Row],[Age]]&gt;=30,"Experienced",IF(Table2[[#This Row],[Age]]&gt;=25,"Mid Level", "Entry Level"))</f>
        <v>Entry Level</v>
      </c>
      <c r="H215" t="s">
        <v>29</v>
      </c>
      <c r="I215" t="s">
        <v>30</v>
      </c>
      <c r="J215" s="4">
        <v>45668</v>
      </c>
      <c r="K215" s="4" t="str">
        <f>TEXT(Table2[[#This Row],[Enrollment_date]],"Mmm")</f>
        <v>Jan</v>
      </c>
      <c r="L215" s="4" t="str">
        <f>TEXT(Table2[[#This Row],[Enrollment_date]],"Ddd")</f>
        <v>Sat</v>
      </c>
      <c r="M215" s="4" t="s">
        <v>34</v>
      </c>
      <c r="N215" t="s">
        <v>35</v>
      </c>
      <c r="O215" t="s">
        <v>38</v>
      </c>
      <c r="P215" s="8">
        <v>4</v>
      </c>
      <c r="Q215" s="6">
        <v>0.875</v>
      </c>
      <c r="R215" s="6">
        <v>50.5</v>
      </c>
      <c r="S215" s="6" t="str">
        <f>IF(Table2[[#This Row],[Avg_score]]&gt;=79,"Distinction",IF(Table2[[#This Row],[Avg_score]]&gt;=60,"Pass","Fail"))</f>
        <v>Fail</v>
      </c>
      <c r="T215" t="s">
        <v>39</v>
      </c>
      <c r="U215">
        <f>IF(Table2[[#This Row],[Completed]]="Yes",1,0)</f>
        <v>1</v>
      </c>
      <c r="V215" t="s">
        <v>39</v>
      </c>
      <c r="W215" t="s">
        <v>40</v>
      </c>
      <c r="X215" s="4">
        <v>45838</v>
      </c>
    </row>
    <row r="216" spans="1:24" x14ac:dyDescent="0.3">
      <c r="A216">
        <v>215</v>
      </c>
      <c r="B216" s="8">
        <v>72</v>
      </c>
      <c r="C216">
        <v>2</v>
      </c>
      <c r="D216" t="s">
        <v>19</v>
      </c>
      <c r="E216" t="s">
        <v>22</v>
      </c>
      <c r="F216">
        <v>19</v>
      </c>
      <c r="G216" t="str">
        <f>IF(Table2[[#This Row],[Age]]&gt;=30,"Experienced",IF(Table2[[#This Row],[Age]]&gt;=25,"Mid Level", "Entry Level"))</f>
        <v>Entry Level</v>
      </c>
      <c r="H216" t="s">
        <v>29</v>
      </c>
      <c r="I216" t="s">
        <v>30</v>
      </c>
      <c r="J216" s="4">
        <v>45668</v>
      </c>
      <c r="K216" s="4" t="str">
        <f>TEXT(Table2[[#This Row],[Enrollment_date]],"Mmm")</f>
        <v>Jan</v>
      </c>
      <c r="L216" s="4" t="str">
        <f>TEXT(Table2[[#This Row],[Enrollment_date]],"Ddd")</f>
        <v>Sat</v>
      </c>
      <c r="M216" s="4" t="s">
        <v>34</v>
      </c>
      <c r="N216" t="s">
        <v>36</v>
      </c>
      <c r="O216" t="s">
        <v>38</v>
      </c>
      <c r="P216" s="8">
        <v>4</v>
      </c>
      <c r="Q216" s="6">
        <v>0.8125</v>
      </c>
      <c r="R216" s="6">
        <v>64</v>
      </c>
      <c r="S216" s="6" t="str">
        <f>IF(Table2[[#This Row],[Avg_score]]&gt;=79,"Distinction",IF(Table2[[#This Row],[Avg_score]]&gt;=60,"Pass","Fail"))</f>
        <v>Pass</v>
      </c>
      <c r="T216" t="s">
        <v>39</v>
      </c>
      <c r="U216">
        <f>IF(Table2[[#This Row],[Completed]]="Yes",1,0)</f>
        <v>1</v>
      </c>
      <c r="V216" t="s">
        <v>39</v>
      </c>
      <c r="W216" t="s">
        <v>40</v>
      </c>
      <c r="X216" s="4">
        <v>45838</v>
      </c>
    </row>
    <row r="217" spans="1:24" x14ac:dyDescent="0.3">
      <c r="A217">
        <v>216</v>
      </c>
      <c r="B217" s="8">
        <v>72</v>
      </c>
      <c r="C217">
        <v>3</v>
      </c>
      <c r="D217" t="s">
        <v>19</v>
      </c>
      <c r="E217" t="s">
        <v>22</v>
      </c>
      <c r="F217">
        <v>19</v>
      </c>
      <c r="G217" t="str">
        <f>IF(Table2[[#This Row],[Age]]&gt;=30,"Experienced",IF(Table2[[#This Row],[Age]]&gt;=25,"Mid Level", "Entry Level"))</f>
        <v>Entry Level</v>
      </c>
      <c r="H217" t="s">
        <v>29</v>
      </c>
      <c r="I217" t="s">
        <v>30</v>
      </c>
      <c r="J217" s="4">
        <v>45668</v>
      </c>
      <c r="K217" s="4" t="str">
        <f>TEXT(Table2[[#This Row],[Enrollment_date]],"Mmm")</f>
        <v>Jan</v>
      </c>
      <c r="L217" s="4" t="str">
        <f>TEXT(Table2[[#This Row],[Enrollment_date]],"Ddd")</f>
        <v>Sat</v>
      </c>
      <c r="M217" s="4" t="s">
        <v>34</v>
      </c>
      <c r="N217" t="s">
        <v>37</v>
      </c>
      <c r="O217" t="s">
        <v>38</v>
      </c>
      <c r="P217" s="8">
        <v>4</v>
      </c>
      <c r="Q217" s="6">
        <v>0.875</v>
      </c>
      <c r="R217" s="6">
        <v>51</v>
      </c>
      <c r="S217" s="6" t="str">
        <f>IF(Table2[[#This Row],[Avg_score]]&gt;=79,"Distinction",IF(Table2[[#This Row],[Avg_score]]&gt;=60,"Pass","Fail"))</f>
        <v>Fail</v>
      </c>
      <c r="T217" t="s">
        <v>39</v>
      </c>
      <c r="U217">
        <f>IF(Table2[[#This Row],[Completed]]="Yes",1,0)</f>
        <v>1</v>
      </c>
      <c r="V217" t="s">
        <v>39</v>
      </c>
      <c r="W217" t="s">
        <v>40</v>
      </c>
      <c r="X217" s="4">
        <v>45838</v>
      </c>
    </row>
    <row r="218" spans="1:24" x14ac:dyDescent="0.3">
      <c r="A218">
        <v>217</v>
      </c>
      <c r="B218" s="8">
        <v>73</v>
      </c>
      <c r="C218">
        <v>1</v>
      </c>
      <c r="D218" t="s">
        <v>19</v>
      </c>
      <c r="E218" t="s">
        <v>23</v>
      </c>
      <c r="F218">
        <v>24</v>
      </c>
      <c r="G218" t="str">
        <f>IF(Table2[[#This Row],[Age]]&gt;=30,"Experienced",IF(Table2[[#This Row],[Age]]&gt;=25,"Mid Level", "Entry Level"))</f>
        <v>Entry Level</v>
      </c>
      <c r="H218" t="s">
        <v>24</v>
      </c>
      <c r="I218" t="s">
        <v>32</v>
      </c>
      <c r="J218" s="4">
        <v>45684</v>
      </c>
      <c r="K218" s="4" t="str">
        <f>TEXT(Table2[[#This Row],[Enrollment_date]],"Mmm")</f>
        <v>Jan</v>
      </c>
      <c r="L218" s="4" t="str">
        <f>TEXT(Table2[[#This Row],[Enrollment_date]],"Ddd")</f>
        <v>Mon</v>
      </c>
      <c r="M218" s="4" t="s">
        <v>34</v>
      </c>
      <c r="N218" t="s">
        <v>35</v>
      </c>
      <c r="O218" t="s">
        <v>38</v>
      </c>
      <c r="P218" s="8">
        <v>4</v>
      </c>
      <c r="Q218" s="6">
        <v>0.8125</v>
      </c>
      <c r="R218" s="6">
        <v>68</v>
      </c>
      <c r="S218" s="6" t="str">
        <f>IF(Table2[[#This Row],[Avg_score]]&gt;=79,"Distinction",IF(Table2[[#This Row],[Avg_score]]&gt;=60,"Pass","Fail"))</f>
        <v>Pass</v>
      </c>
      <c r="T218" t="s">
        <v>40</v>
      </c>
      <c r="U218">
        <f>IF(Table2[[#This Row],[Completed]]="Yes",1,0)</f>
        <v>0</v>
      </c>
      <c r="V218" t="s">
        <v>40</v>
      </c>
      <c r="W218" t="s">
        <v>40</v>
      </c>
      <c r="X218" s="4">
        <v>45838</v>
      </c>
    </row>
    <row r="219" spans="1:24" x14ac:dyDescent="0.3">
      <c r="A219">
        <v>218</v>
      </c>
      <c r="B219" s="8">
        <v>73</v>
      </c>
      <c r="C219">
        <v>2</v>
      </c>
      <c r="D219" t="s">
        <v>21</v>
      </c>
      <c r="E219" t="s">
        <v>23</v>
      </c>
      <c r="F219">
        <v>24</v>
      </c>
      <c r="G219" t="str">
        <f>IF(Table2[[#This Row],[Age]]&gt;=30,"Experienced",IF(Table2[[#This Row],[Age]]&gt;=25,"Mid Level", "Entry Level"))</f>
        <v>Entry Level</v>
      </c>
      <c r="H219" t="s">
        <v>24</v>
      </c>
      <c r="I219" t="s">
        <v>32</v>
      </c>
      <c r="J219" s="4">
        <v>45684</v>
      </c>
      <c r="K219" s="4" t="str">
        <f>TEXT(Table2[[#This Row],[Enrollment_date]],"Mmm")</f>
        <v>Jan</v>
      </c>
      <c r="L219" s="4" t="str">
        <f>TEXT(Table2[[#This Row],[Enrollment_date]],"Ddd")</f>
        <v>Mon</v>
      </c>
      <c r="M219" s="4" t="s">
        <v>34</v>
      </c>
      <c r="N219" t="s">
        <v>36</v>
      </c>
      <c r="O219" t="s">
        <v>38</v>
      </c>
      <c r="P219" s="8">
        <v>4</v>
      </c>
      <c r="Q219" s="6">
        <v>0.8125</v>
      </c>
      <c r="R219" s="6">
        <v>91</v>
      </c>
      <c r="S219" s="6" t="str">
        <f>IF(Table2[[#This Row],[Avg_score]]&gt;=79,"Distinction",IF(Table2[[#This Row],[Avg_score]]&gt;=60,"Pass","Fail"))</f>
        <v>Distinction</v>
      </c>
      <c r="T219" t="s">
        <v>40</v>
      </c>
      <c r="U219">
        <f>IF(Table2[[#This Row],[Completed]]="Yes",1,0)</f>
        <v>0</v>
      </c>
      <c r="V219" t="s">
        <v>40</v>
      </c>
      <c r="W219" t="s">
        <v>40</v>
      </c>
      <c r="X219" s="4">
        <v>45838</v>
      </c>
    </row>
    <row r="220" spans="1:24" x14ac:dyDescent="0.3">
      <c r="A220">
        <v>219</v>
      </c>
      <c r="B220" s="8">
        <v>73</v>
      </c>
      <c r="C220">
        <v>3</v>
      </c>
      <c r="D220" t="s">
        <v>19</v>
      </c>
      <c r="E220" t="s">
        <v>23</v>
      </c>
      <c r="F220">
        <v>24</v>
      </c>
      <c r="G220" t="str">
        <f>IF(Table2[[#This Row],[Age]]&gt;=30,"Experienced",IF(Table2[[#This Row],[Age]]&gt;=25,"Mid Level", "Entry Level"))</f>
        <v>Entry Level</v>
      </c>
      <c r="H220" t="s">
        <v>24</v>
      </c>
      <c r="I220" t="s">
        <v>32</v>
      </c>
      <c r="J220" s="4">
        <v>45684</v>
      </c>
      <c r="K220" s="4" t="str">
        <f>TEXT(Table2[[#This Row],[Enrollment_date]],"Mmm")</f>
        <v>Jan</v>
      </c>
      <c r="L220" s="4" t="str">
        <f>TEXT(Table2[[#This Row],[Enrollment_date]],"Ddd")</f>
        <v>Mon</v>
      </c>
      <c r="M220" s="4" t="s">
        <v>34</v>
      </c>
      <c r="N220" t="s">
        <v>37</v>
      </c>
      <c r="O220" t="s">
        <v>38</v>
      </c>
      <c r="P220" s="8">
        <v>4</v>
      </c>
      <c r="Q220" s="6">
        <v>0.875</v>
      </c>
      <c r="R220" s="6">
        <v>54</v>
      </c>
      <c r="S220" s="6" t="str">
        <f>IF(Table2[[#This Row],[Avg_score]]&gt;=79,"Distinction",IF(Table2[[#This Row],[Avg_score]]&gt;=60,"Pass","Fail"))</f>
        <v>Fail</v>
      </c>
      <c r="T220" t="s">
        <v>40</v>
      </c>
      <c r="U220">
        <f>IF(Table2[[#This Row],[Completed]]="Yes",1,0)</f>
        <v>0</v>
      </c>
      <c r="V220" t="s">
        <v>40</v>
      </c>
      <c r="W220" t="s">
        <v>40</v>
      </c>
      <c r="X220" s="4">
        <v>45838</v>
      </c>
    </row>
    <row r="221" spans="1:24" x14ac:dyDescent="0.3">
      <c r="A221">
        <v>220</v>
      </c>
      <c r="B221" s="8">
        <v>74</v>
      </c>
      <c r="C221">
        <v>1</v>
      </c>
      <c r="D221" t="s">
        <v>19</v>
      </c>
      <c r="E221" t="s">
        <v>23</v>
      </c>
      <c r="F221">
        <v>35</v>
      </c>
      <c r="G221" t="str">
        <f>IF(Table2[[#This Row],[Age]]&gt;=30,"Experienced",IF(Table2[[#This Row],[Age]]&gt;=25,"Mid Level", "Entry Level"))</f>
        <v>Experienced</v>
      </c>
      <c r="H221" t="s">
        <v>27</v>
      </c>
      <c r="I221" t="s">
        <v>32</v>
      </c>
      <c r="J221" s="4">
        <v>45718</v>
      </c>
      <c r="K221" s="4" t="str">
        <f>TEXT(Table2[[#This Row],[Enrollment_date]],"Mmm")</f>
        <v>Mar</v>
      </c>
      <c r="L221" s="4" t="str">
        <f>TEXT(Table2[[#This Row],[Enrollment_date]],"Ddd")</f>
        <v>Sun</v>
      </c>
      <c r="M221" s="4" t="s">
        <v>34</v>
      </c>
      <c r="N221" t="s">
        <v>35</v>
      </c>
      <c r="O221" t="s">
        <v>38</v>
      </c>
      <c r="P221" s="8">
        <v>4</v>
      </c>
      <c r="Q221" s="6">
        <v>0.79166666666666663</v>
      </c>
      <c r="R221" s="6">
        <v>88.5</v>
      </c>
      <c r="S221" s="6" t="str">
        <f>IF(Table2[[#This Row],[Avg_score]]&gt;=79,"Distinction",IF(Table2[[#This Row],[Avg_score]]&gt;=60,"Pass","Fail"))</f>
        <v>Distinction</v>
      </c>
      <c r="T221" t="s">
        <v>39</v>
      </c>
      <c r="U221">
        <f>IF(Table2[[#This Row],[Completed]]="Yes",1,0)</f>
        <v>1</v>
      </c>
      <c r="V221" t="s">
        <v>40</v>
      </c>
      <c r="W221" t="s">
        <v>40</v>
      </c>
      <c r="X221" s="4">
        <v>45838</v>
      </c>
    </row>
    <row r="222" spans="1:24" x14ac:dyDescent="0.3">
      <c r="A222">
        <v>221</v>
      </c>
      <c r="B222" s="8">
        <v>74</v>
      </c>
      <c r="C222">
        <v>2</v>
      </c>
      <c r="D222" t="s">
        <v>19</v>
      </c>
      <c r="E222" t="s">
        <v>23</v>
      </c>
      <c r="F222">
        <v>35</v>
      </c>
      <c r="G222" t="str">
        <f>IF(Table2[[#This Row],[Age]]&gt;=30,"Experienced",IF(Table2[[#This Row],[Age]]&gt;=25,"Mid Level", "Entry Level"))</f>
        <v>Experienced</v>
      </c>
      <c r="H222" t="s">
        <v>27</v>
      </c>
      <c r="I222" t="s">
        <v>32</v>
      </c>
      <c r="J222" s="4">
        <v>45718</v>
      </c>
      <c r="K222" s="4" t="str">
        <f>TEXT(Table2[[#This Row],[Enrollment_date]],"Mmm")</f>
        <v>Mar</v>
      </c>
      <c r="L222" s="4" t="str">
        <f>TEXT(Table2[[#This Row],[Enrollment_date]],"Ddd")</f>
        <v>Sun</v>
      </c>
      <c r="M222" s="4" t="s">
        <v>34</v>
      </c>
      <c r="N222" t="s">
        <v>36</v>
      </c>
      <c r="O222" t="s">
        <v>38</v>
      </c>
      <c r="P222" s="8">
        <v>4</v>
      </c>
      <c r="Q222" s="6">
        <v>0.89583333333333337</v>
      </c>
      <c r="R222" s="6">
        <v>82</v>
      </c>
      <c r="S222" s="6" t="str">
        <f>IF(Table2[[#This Row],[Avg_score]]&gt;=79,"Distinction",IF(Table2[[#This Row],[Avg_score]]&gt;=60,"Pass","Fail"))</f>
        <v>Distinction</v>
      </c>
      <c r="T222" t="s">
        <v>39</v>
      </c>
      <c r="U222">
        <f>IF(Table2[[#This Row],[Completed]]="Yes",1,0)</f>
        <v>1</v>
      </c>
      <c r="V222" t="s">
        <v>40</v>
      </c>
      <c r="W222" t="s">
        <v>40</v>
      </c>
      <c r="X222" s="4">
        <v>45838</v>
      </c>
    </row>
    <row r="223" spans="1:24" x14ac:dyDescent="0.3">
      <c r="A223">
        <v>222</v>
      </c>
      <c r="B223" s="8">
        <v>74</v>
      </c>
      <c r="C223">
        <v>3</v>
      </c>
      <c r="D223" t="s">
        <v>21</v>
      </c>
      <c r="E223" t="s">
        <v>23</v>
      </c>
      <c r="F223">
        <v>35</v>
      </c>
      <c r="G223" t="str">
        <f>IF(Table2[[#This Row],[Age]]&gt;=30,"Experienced",IF(Table2[[#This Row],[Age]]&gt;=25,"Mid Level", "Entry Level"))</f>
        <v>Experienced</v>
      </c>
      <c r="H223" t="s">
        <v>27</v>
      </c>
      <c r="I223" t="s">
        <v>32</v>
      </c>
      <c r="J223" s="4">
        <v>45718</v>
      </c>
      <c r="K223" s="4" t="str">
        <f>TEXT(Table2[[#This Row],[Enrollment_date]],"Mmm")</f>
        <v>Mar</v>
      </c>
      <c r="L223" s="4" t="str">
        <f>TEXT(Table2[[#This Row],[Enrollment_date]],"Ddd")</f>
        <v>Sun</v>
      </c>
      <c r="M223" s="4" t="s">
        <v>34</v>
      </c>
      <c r="N223" t="s">
        <v>37</v>
      </c>
      <c r="O223" t="s">
        <v>38</v>
      </c>
      <c r="P223" s="8">
        <v>4</v>
      </c>
      <c r="Q223" s="6">
        <v>0.85416666666666663</v>
      </c>
      <c r="R223" s="6">
        <v>47.5</v>
      </c>
      <c r="S223" s="6" t="str">
        <f>IF(Table2[[#This Row],[Avg_score]]&gt;=79,"Distinction",IF(Table2[[#This Row],[Avg_score]]&gt;=60,"Pass","Fail"))</f>
        <v>Fail</v>
      </c>
      <c r="T223" t="s">
        <v>39</v>
      </c>
      <c r="U223">
        <f>IF(Table2[[#This Row],[Completed]]="Yes",1,0)</f>
        <v>1</v>
      </c>
      <c r="V223" t="s">
        <v>40</v>
      </c>
      <c r="W223" t="s">
        <v>40</v>
      </c>
      <c r="X223" s="4">
        <v>45838</v>
      </c>
    </row>
    <row r="224" spans="1:24" x14ac:dyDescent="0.3">
      <c r="A224">
        <v>223</v>
      </c>
      <c r="B224" s="8">
        <v>75</v>
      </c>
      <c r="C224">
        <v>1</v>
      </c>
      <c r="D224" t="s">
        <v>21</v>
      </c>
      <c r="E224" t="s">
        <v>22</v>
      </c>
      <c r="F224">
        <v>23</v>
      </c>
      <c r="G224" t="str">
        <f>IF(Table2[[#This Row],[Age]]&gt;=30,"Experienced",IF(Table2[[#This Row],[Age]]&gt;=25,"Mid Level", "Entry Level"))</f>
        <v>Entry Level</v>
      </c>
      <c r="H224" t="s">
        <v>27</v>
      </c>
      <c r="I224" t="s">
        <v>68</v>
      </c>
      <c r="J224" s="4">
        <v>45703</v>
      </c>
      <c r="K224" s="4" t="str">
        <f>TEXT(Table2[[#This Row],[Enrollment_date]],"Mmm")</f>
        <v>Feb</v>
      </c>
      <c r="L224" s="4" t="str">
        <f>TEXT(Table2[[#This Row],[Enrollment_date]],"Ddd")</f>
        <v>Sat</v>
      </c>
      <c r="M224" s="4" t="s">
        <v>34</v>
      </c>
      <c r="N224" t="s">
        <v>35</v>
      </c>
      <c r="O224" t="s">
        <v>38</v>
      </c>
      <c r="P224" s="8">
        <v>4</v>
      </c>
      <c r="Q224" s="6">
        <v>0.79166666666666663</v>
      </c>
      <c r="R224" s="6">
        <v>81</v>
      </c>
      <c r="S224" s="6" t="str">
        <f>IF(Table2[[#This Row],[Avg_score]]&gt;=79,"Distinction",IF(Table2[[#This Row],[Avg_score]]&gt;=60,"Pass","Fail"))</f>
        <v>Distinction</v>
      </c>
      <c r="T224" t="s">
        <v>40</v>
      </c>
      <c r="U224">
        <f>IF(Table2[[#This Row],[Completed]]="Yes",1,0)</f>
        <v>0</v>
      </c>
      <c r="V224" t="s">
        <v>40</v>
      </c>
      <c r="W224" t="s">
        <v>40</v>
      </c>
      <c r="X224" s="4">
        <v>45838</v>
      </c>
    </row>
    <row r="225" spans="1:24" x14ac:dyDescent="0.3">
      <c r="A225">
        <v>224</v>
      </c>
      <c r="B225" s="8">
        <v>75</v>
      </c>
      <c r="C225">
        <v>2</v>
      </c>
      <c r="D225" t="s">
        <v>19</v>
      </c>
      <c r="E225" t="s">
        <v>22</v>
      </c>
      <c r="F225">
        <v>23</v>
      </c>
      <c r="G225" t="str">
        <f>IF(Table2[[#This Row],[Age]]&gt;=30,"Experienced",IF(Table2[[#This Row],[Age]]&gt;=25,"Mid Level", "Entry Level"))</f>
        <v>Entry Level</v>
      </c>
      <c r="H225" t="s">
        <v>27</v>
      </c>
      <c r="I225" t="s">
        <v>68</v>
      </c>
      <c r="J225" s="4">
        <v>45703</v>
      </c>
      <c r="K225" s="4" t="str">
        <f>TEXT(Table2[[#This Row],[Enrollment_date]],"Mmm")</f>
        <v>Feb</v>
      </c>
      <c r="L225" s="4" t="str">
        <f>TEXT(Table2[[#This Row],[Enrollment_date]],"Ddd")</f>
        <v>Sat</v>
      </c>
      <c r="M225" s="4" t="s">
        <v>34</v>
      </c>
      <c r="N225" t="s">
        <v>36</v>
      </c>
      <c r="O225" t="s">
        <v>38</v>
      </c>
      <c r="P225" s="8">
        <v>4</v>
      </c>
      <c r="Q225" s="6">
        <v>0.91666666666666663</v>
      </c>
      <c r="R225" s="6">
        <v>95.5</v>
      </c>
      <c r="S225" s="6" t="str">
        <f>IF(Table2[[#This Row],[Avg_score]]&gt;=79,"Distinction",IF(Table2[[#This Row],[Avg_score]]&gt;=60,"Pass","Fail"))</f>
        <v>Distinction</v>
      </c>
      <c r="T225" t="s">
        <v>40</v>
      </c>
      <c r="U225">
        <f>IF(Table2[[#This Row],[Completed]]="Yes",1,0)</f>
        <v>0</v>
      </c>
      <c r="V225" t="s">
        <v>40</v>
      </c>
      <c r="W225" t="s">
        <v>40</v>
      </c>
      <c r="X225" s="4">
        <v>45838</v>
      </c>
    </row>
    <row r="226" spans="1:24" x14ac:dyDescent="0.3">
      <c r="A226">
        <v>225</v>
      </c>
      <c r="B226" s="8">
        <v>75</v>
      </c>
      <c r="C226">
        <v>3</v>
      </c>
      <c r="D226" t="s">
        <v>19</v>
      </c>
      <c r="E226" t="s">
        <v>22</v>
      </c>
      <c r="F226">
        <v>23</v>
      </c>
      <c r="G226" t="str">
        <f>IF(Table2[[#This Row],[Age]]&gt;=30,"Experienced",IF(Table2[[#This Row],[Age]]&gt;=25,"Mid Level", "Entry Level"))</f>
        <v>Entry Level</v>
      </c>
      <c r="H226" t="s">
        <v>27</v>
      </c>
      <c r="I226" t="s">
        <v>68</v>
      </c>
      <c r="J226" s="4">
        <v>45703</v>
      </c>
      <c r="K226" s="4" t="str">
        <f>TEXT(Table2[[#This Row],[Enrollment_date]],"Mmm")</f>
        <v>Feb</v>
      </c>
      <c r="L226" s="4" t="str">
        <f>TEXT(Table2[[#This Row],[Enrollment_date]],"Ddd")</f>
        <v>Sat</v>
      </c>
      <c r="M226" s="4" t="s">
        <v>34</v>
      </c>
      <c r="N226" t="s">
        <v>37</v>
      </c>
      <c r="O226" t="s">
        <v>38</v>
      </c>
      <c r="P226" s="8">
        <v>4</v>
      </c>
      <c r="Q226" s="6">
        <v>0.8125</v>
      </c>
      <c r="R226" s="6">
        <v>68.5</v>
      </c>
      <c r="S226" s="6" t="str">
        <f>IF(Table2[[#This Row],[Avg_score]]&gt;=79,"Distinction",IF(Table2[[#This Row],[Avg_score]]&gt;=60,"Pass","Fail"))</f>
        <v>Pass</v>
      </c>
      <c r="T226" t="s">
        <v>40</v>
      </c>
      <c r="U226">
        <f>IF(Table2[[#This Row],[Completed]]="Yes",1,0)</f>
        <v>0</v>
      </c>
      <c r="V226" t="s">
        <v>40</v>
      </c>
      <c r="W226" t="s">
        <v>40</v>
      </c>
      <c r="X226" s="4">
        <v>45838</v>
      </c>
    </row>
    <row r="227" spans="1:24" x14ac:dyDescent="0.3">
      <c r="A227">
        <v>226</v>
      </c>
      <c r="B227" s="8">
        <v>76</v>
      </c>
      <c r="C227">
        <v>1</v>
      </c>
      <c r="D227" t="s">
        <v>19</v>
      </c>
      <c r="E227" t="s">
        <v>23</v>
      </c>
      <c r="F227">
        <v>31</v>
      </c>
      <c r="G227" t="str">
        <f>IF(Table2[[#This Row],[Age]]&gt;=30,"Experienced",IF(Table2[[#This Row],[Age]]&gt;=25,"Mid Level", "Entry Level"))</f>
        <v>Experienced</v>
      </c>
      <c r="H227" t="s">
        <v>24</v>
      </c>
      <c r="I227" t="s">
        <v>32</v>
      </c>
      <c r="J227" s="4">
        <v>45726</v>
      </c>
      <c r="K227" s="4" t="str">
        <f>TEXT(Table2[[#This Row],[Enrollment_date]],"Mmm")</f>
        <v>Mar</v>
      </c>
      <c r="L227" s="4" t="str">
        <f>TEXT(Table2[[#This Row],[Enrollment_date]],"Ddd")</f>
        <v>Mon</v>
      </c>
      <c r="M227" s="4" t="s">
        <v>34</v>
      </c>
      <c r="N227" t="s">
        <v>35</v>
      </c>
      <c r="O227" t="s">
        <v>38</v>
      </c>
      <c r="P227" s="8">
        <v>4</v>
      </c>
      <c r="Q227" s="6">
        <v>0.83333333333333337</v>
      </c>
      <c r="R227" s="6">
        <v>50.5</v>
      </c>
      <c r="S227" s="6" t="str">
        <f>IF(Table2[[#This Row],[Avg_score]]&gt;=79,"Distinction",IF(Table2[[#This Row],[Avg_score]]&gt;=60,"Pass","Fail"))</f>
        <v>Fail</v>
      </c>
      <c r="T227" t="s">
        <v>39</v>
      </c>
      <c r="U227">
        <f>IF(Table2[[#This Row],[Completed]]="Yes",1,0)</f>
        <v>1</v>
      </c>
      <c r="V227" t="s">
        <v>39</v>
      </c>
      <c r="W227" t="s">
        <v>39</v>
      </c>
      <c r="X227" s="4">
        <v>45838</v>
      </c>
    </row>
    <row r="228" spans="1:24" x14ac:dyDescent="0.3">
      <c r="A228">
        <v>227</v>
      </c>
      <c r="B228" s="8">
        <v>76</v>
      </c>
      <c r="C228">
        <v>2</v>
      </c>
      <c r="D228" t="s">
        <v>19</v>
      </c>
      <c r="E228" t="s">
        <v>23</v>
      </c>
      <c r="F228">
        <v>31</v>
      </c>
      <c r="G228" t="str">
        <f>IF(Table2[[#This Row],[Age]]&gt;=30,"Experienced",IF(Table2[[#This Row],[Age]]&gt;=25,"Mid Level", "Entry Level"))</f>
        <v>Experienced</v>
      </c>
      <c r="H228" t="s">
        <v>24</v>
      </c>
      <c r="I228" t="s">
        <v>32</v>
      </c>
      <c r="J228" s="4">
        <v>45726</v>
      </c>
      <c r="K228" s="4" t="str">
        <f>TEXT(Table2[[#This Row],[Enrollment_date]],"Mmm")</f>
        <v>Mar</v>
      </c>
      <c r="L228" s="4" t="str">
        <f>TEXT(Table2[[#This Row],[Enrollment_date]],"Ddd")</f>
        <v>Mon</v>
      </c>
      <c r="M228" s="4" t="s">
        <v>34</v>
      </c>
      <c r="N228" t="s">
        <v>36</v>
      </c>
      <c r="O228" t="s">
        <v>38</v>
      </c>
      <c r="P228" s="8">
        <v>4</v>
      </c>
      <c r="Q228" s="6">
        <v>0.77083333333333337</v>
      </c>
      <c r="R228" s="6">
        <v>77</v>
      </c>
      <c r="S228" s="6" t="str">
        <f>IF(Table2[[#This Row],[Avg_score]]&gt;=79,"Distinction",IF(Table2[[#This Row],[Avg_score]]&gt;=60,"Pass","Fail"))</f>
        <v>Pass</v>
      </c>
      <c r="T228" t="s">
        <v>39</v>
      </c>
      <c r="U228">
        <f>IF(Table2[[#This Row],[Completed]]="Yes",1,0)</f>
        <v>1</v>
      </c>
      <c r="V228" t="s">
        <v>39</v>
      </c>
      <c r="W228" t="s">
        <v>39</v>
      </c>
      <c r="X228" s="4">
        <v>45838</v>
      </c>
    </row>
    <row r="229" spans="1:24" x14ac:dyDescent="0.3">
      <c r="A229">
        <v>228</v>
      </c>
      <c r="B229" s="8">
        <v>76</v>
      </c>
      <c r="C229">
        <v>3</v>
      </c>
      <c r="D229" t="s">
        <v>19</v>
      </c>
      <c r="E229" t="s">
        <v>23</v>
      </c>
      <c r="F229">
        <v>31</v>
      </c>
      <c r="G229" t="str">
        <f>IF(Table2[[#This Row],[Age]]&gt;=30,"Experienced",IF(Table2[[#This Row],[Age]]&gt;=25,"Mid Level", "Entry Level"))</f>
        <v>Experienced</v>
      </c>
      <c r="H229" t="s">
        <v>24</v>
      </c>
      <c r="I229" t="s">
        <v>32</v>
      </c>
      <c r="J229" s="4">
        <v>45726</v>
      </c>
      <c r="K229" s="4" t="str">
        <f>TEXT(Table2[[#This Row],[Enrollment_date]],"Mmm")</f>
        <v>Mar</v>
      </c>
      <c r="L229" s="4" t="str">
        <f>TEXT(Table2[[#This Row],[Enrollment_date]],"Ddd")</f>
        <v>Mon</v>
      </c>
      <c r="M229" s="4" t="s">
        <v>34</v>
      </c>
      <c r="N229" t="s">
        <v>37</v>
      </c>
      <c r="O229" t="s">
        <v>38</v>
      </c>
      <c r="P229" s="8">
        <v>4</v>
      </c>
      <c r="Q229" s="6">
        <v>0.79166666666666663</v>
      </c>
      <c r="R229" s="6">
        <v>67.5</v>
      </c>
      <c r="S229" s="6" t="str">
        <f>IF(Table2[[#This Row],[Avg_score]]&gt;=79,"Distinction",IF(Table2[[#This Row],[Avg_score]]&gt;=60,"Pass","Fail"))</f>
        <v>Pass</v>
      </c>
      <c r="T229" t="s">
        <v>39</v>
      </c>
      <c r="U229">
        <f>IF(Table2[[#This Row],[Completed]]="Yes",1,0)</f>
        <v>1</v>
      </c>
      <c r="V229" t="s">
        <v>39</v>
      </c>
      <c r="W229" t="s">
        <v>39</v>
      </c>
      <c r="X229" s="4">
        <v>45838</v>
      </c>
    </row>
    <row r="230" spans="1:24" x14ac:dyDescent="0.3">
      <c r="A230">
        <v>229</v>
      </c>
      <c r="B230" s="8">
        <v>77</v>
      </c>
      <c r="C230">
        <v>1</v>
      </c>
      <c r="D230" t="s">
        <v>19</v>
      </c>
      <c r="E230" t="s">
        <v>22</v>
      </c>
      <c r="F230">
        <v>21</v>
      </c>
      <c r="G230" t="str">
        <f>IF(Table2[[#This Row],[Age]]&gt;=30,"Experienced",IF(Table2[[#This Row],[Age]]&gt;=25,"Mid Level", "Entry Level"))</f>
        <v>Entry Level</v>
      </c>
      <c r="H230" t="s">
        <v>27</v>
      </c>
      <c r="I230" t="s">
        <v>68</v>
      </c>
      <c r="J230" s="4">
        <v>45778</v>
      </c>
      <c r="K230" s="4" t="str">
        <f>TEXT(Table2[[#This Row],[Enrollment_date]],"Mmm")</f>
        <v>May</v>
      </c>
      <c r="L230" s="4" t="str">
        <f>TEXT(Table2[[#This Row],[Enrollment_date]],"Ddd")</f>
        <v>Thu</v>
      </c>
      <c r="M230" s="4" t="s">
        <v>34</v>
      </c>
      <c r="N230" t="s">
        <v>35</v>
      </c>
      <c r="O230" t="s">
        <v>38</v>
      </c>
      <c r="P230" s="8">
        <v>4</v>
      </c>
      <c r="Q230" s="6">
        <v>0.89583333333333337</v>
      </c>
      <c r="R230" s="6">
        <v>72</v>
      </c>
      <c r="S230" s="6" t="str">
        <f>IF(Table2[[#This Row],[Avg_score]]&gt;=79,"Distinction",IF(Table2[[#This Row],[Avg_score]]&gt;=60,"Pass","Fail"))</f>
        <v>Pass</v>
      </c>
      <c r="T230" t="s">
        <v>39</v>
      </c>
      <c r="U230">
        <f>IF(Table2[[#This Row],[Completed]]="Yes",1,0)</f>
        <v>1</v>
      </c>
      <c r="V230" t="s">
        <v>39</v>
      </c>
      <c r="W230" t="s">
        <v>39</v>
      </c>
      <c r="X230" s="4">
        <v>45838</v>
      </c>
    </row>
    <row r="231" spans="1:24" x14ac:dyDescent="0.3">
      <c r="A231">
        <v>230</v>
      </c>
      <c r="B231" s="8">
        <v>77</v>
      </c>
      <c r="C231">
        <v>2</v>
      </c>
      <c r="D231" t="s">
        <v>19</v>
      </c>
      <c r="E231" t="s">
        <v>22</v>
      </c>
      <c r="F231">
        <v>21</v>
      </c>
      <c r="G231" t="str">
        <f>IF(Table2[[#This Row],[Age]]&gt;=30,"Experienced",IF(Table2[[#This Row],[Age]]&gt;=25,"Mid Level", "Entry Level"))</f>
        <v>Entry Level</v>
      </c>
      <c r="H231" t="s">
        <v>27</v>
      </c>
      <c r="I231" t="s">
        <v>68</v>
      </c>
      <c r="J231" s="4">
        <v>45778</v>
      </c>
      <c r="K231" s="4" t="str">
        <f>TEXT(Table2[[#This Row],[Enrollment_date]],"Mmm")</f>
        <v>May</v>
      </c>
      <c r="L231" s="4" t="str">
        <f>TEXT(Table2[[#This Row],[Enrollment_date]],"Ddd")</f>
        <v>Thu</v>
      </c>
      <c r="M231" s="4" t="s">
        <v>34</v>
      </c>
      <c r="N231" t="s">
        <v>36</v>
      </c>
      <c r="O231" t="s">
        <v>38</v>
      </c>
      <c r="P231" s="8">
        <v>4</v>
      </c>
      <c r="Q231" s="6">
        <v>0.79166666666666663</v>
      </c>
      <c r="R231" s="6">
        <v>74</v>
      </c>
      <c r="S231" s="6" t="str">
        <f>IF(Table2[[#This Row],[Avg_score]]&gt;=79,"Distinction",IF(Table2[[#This Row],[Avg_score]]&gt;=60,"Pass","Fail"))</f>
        <v>Pass</v>
      </c>
      <c r="T231" t="s">
        <v>39</v>
      </c>
      <c r="U231">
        <f>IF(Table2[[#This Row],[Completed]]="Yes",1,0)</f>
        <v>1</v>
      </c>
      <c r="V231" t="s">
        <v>39</v>
      </c>
      <c r="W231" t="s">
        <v>39</v>
      </c>
      <c r="X231" s="4">
        <v>45838</v>
      </c>
    </row>
    <row r="232" spans="1:24" x14ac:dyDescent="0.3">
      <c r="A232">
        <v>231</v>
      </c>
      <c r="B232" s="8">
        <v>77</v>
      </c>
      <c r="C232">
        <v>3</v>
      </c>
      <c r="D232" t="s">
        <v>19</v>
      </c>
      <c r="E232" t="s">
        <v>22</v>
      </c>
      <c r="F232">
        <v>21</v>
      </c>
      <c r="G232" t="str">
        <f>IF(Table2[[#This Row],[Age]]&gt;=30,"Experienced",IF(Table2[[#This Row],[Age]]&gt;=25,"Mid Level", "Entry Level"))</f>
        <v>Entry Level</v>
      </c>
      <c r="H232" t="s">
        <v>27</v>
      </c>
      <c r="I232" t="s">
        <v>68</v>
      </c>
      <c r="J232" s="4">
        <v>45778</v>
      </c>
      <c r="K232" s="4" t="str">
        <f>TEXT(Table2[[#This Row],[Enrollment_date]],"Mmm")</f>
        <v>May</v>
      </c>
      <c r="L232" s="4" t="str">
        <f>TEXT(Table2[[#This Row],[Enrollment_date]],"Ddd")</f>
        <v>Thu</v>
      </c>
      <c r="M232" s="4" t="s">
        <v>34</v>
      </c>
      <c r="N232" t="s">
        <v>37</v>
      </c>
      <c r="O232" t="s">
        <v>38</v>
      </c>
      <c r="P232" s="8">
        <v>4</v>
      </c>
      <c r="Q232" s="6">
        <v>0.85416666666666663</v>
      </c>
      <c r="R232" s="6">
        <v>69.5</v>
      </c>
      <c r="S232" s="6" t="str">
        <f>IF(Table2[[#This Row],[Avg_score]]&gt;=79,"Distinction",IF(Table2[[#This Row],[Avg_score]]&gt;=60,"Pass","Fail"))</f>
        <v>Pass</v>
      </c>
      <c r="T232" t="s">
        <v>39</v>
      </c>
      <c r="U232">
        <f>IF(Table2[[#This Row],[Completed]]="Yes",1,0)</f>
        <v>1</v>
      </c>
      <c r="V232" t="s">
        <v>39</v>
      </c>
      <c r="W232" t="s">
        <v>39</v>
      </c>
      <c r="X232" s="4">
        <v>45838</v>
      </c>
    </row>
    <row r="233" spans="1:24" x14ac:dyDescent="0.3">
      <c r="A233">
        <v>232</v>
      </c>
      <c r="B233" s="8">
        <v>78</v>
      </c>
      <c r="C233">
        <v>1</v>
      </c>
      <c r="D233" t="s">
        <v>19</v>
      </c>
      <c r="E233" t="s">
        <v>22</v>
      </c>
      <c r="F233">
        <v>24</v>
      </c>
      <c r="G233" t="str">
        <f>IF(Table2[[#This Row],[Age]]&gt;=30,"Experienced",IF(Table2[[#This Row],[Age]]&gt;=25,"Mid Level", "Entry Level"))</f>
        <v>Entry Level</v>
      </c>
      <c r="H233" t="s">
        <v>27</v>
      </c>
      <c r="I233" t="s">
        <v>30</v>
      </c>
      <c r="J233" s="4">
        <v>45736</v>
      </c>
      <c r="K233" s="4" t="str">
        <f>TEXT(Table2[[#This Row],[Enrollment_date]],"Mmm")</f>
        <v>Mar</v>
      </c>
      <c r="L233" s="4" t="str">
        <f>TEXT(Table2[[#This Row],[Enrollment_date]],"Ddd")</f>
        <v>Thu</v>
      </c>
      <c r="M233" s="4" t="s">
        <v>34</v>
      </c>
      <c r="N233" t="s">
        <v>35</v>
      </c>
      <c r="O233" t="s">
        <v>38</v>
      </c>
      <c r="P233" s="8">
        <v>4</v>
      </c>
      <c r="Q233" s="6">
        <v>0.83333333333333337</v>
      </c>
      <c r="R233" s="6">
        <v>64.5</v>
      </c>
      <c r="S233" s="6" t="str">
        <f>IF(Table2[[#This Row],[Avg_score]]&gt;=79,"Distinction",IF(Table2[[#This Row],[Avg_score]]&gt;=60,"Pass","Fail"))</f>
        <v>Pass</v>
      </c>
      <c r="T233" t="s">
        <v>39</v>
      </c>
      <c r="U233">
        <f>IF(Table2[[#This Row],[Completed]]="Yes",1,0)</f>
        <v>1</v>
      </c>
      <c r="V233" t="s">
        <v>39</v>
      </c>
      <c r="W233" t="s">
        <v>39</v>
      </c>
      <c r="X233" s="4">
        <v>45838</v>
      </c>
    </row>
    <row r="234" spans="1:24" x14ac:dyDescent="0.3">
      <c r="A234">
        <v>233</v>
      </c>
      <c r="B234" s="8">
        <v>78</v>
      </c>
      <c r="C234">
        <v>2</v>
      </c>
      <c r="D234" t="s">
        <v>19</v>
      </c>
      <c r="E234" t="s">
        <v>22</v>
      </c>
      <c r="F234">
        <v>24</v>
      </c>
      <c r="G234" t="str">
        <f>IF(Table2[[#This Row],[Age]]&gt;=30,"Experienced",IF(Table2[[#This Row],[Age]]&gt;=25,"Mid Level", "Entry Level"))</f>
        <v>Entry Level</v>
      </c>
      <c r="H234" t="s">
        <v>27</v>
      </c>
      <c r="I234" t="s">
        <v>30</v>
      </c>
      <c r="J234" s="4">
        <v>45736</v>
      </c>
      <c r="K234" s="4" t="str">
        <f>TEXT(Table2[[#This Row],[Enrollment_date]],"Mmm")</f>
        <v>Mar</v>
      </c>
      <c r="L234" s="4" t="str">
        <f>TEXT(Table2[[#This Row],[Enrollment_date]],"Ddd")</f>
        <v>Thu</v>
      </c>
      <c r="M234" s="4" t="s">
        <v>34</v>
      </c>
      <c r="N234" t="s">
        <v>36</v>
      </c>
      <c r="O234" t="s">
        <v>38</v>
      </c>
      <c r="P234" s="8">
        <v>4</v>
      </c>
      <c r="Q234" s="6">
        <v>0.79166666666666663</v>
      </c>
      <c r="R234" s="6">
        <v>71</v>
      </c>
      <c r="S234" s="6" t="str">
        <f>IF(Table2[[#This Row],[Avg_score]]&gt;=79,"Distinction",IF(Table2[[#This Row],[Avg_score]]&gt;=60,"Pass","Fail"))</f>
        <v>Pass</v>
      </c>
      <c r="T234" t="s">
        <v>39</v>
      </c>
      <c r="U234">
        <f>IF(Table2[[#This Row],[Completed]]="Yes",1,0)</f>
        <v>1</v>
      </c>
      <c r="V234" t="s">
        <v>39</v>
      </c>
      <c r="W234" t="s">
        <v>39</v>
      </c>
      <c r="X234" s="4">
        <v>45838</v>
      </c>
    </row>
    <row r="235" spans="1:24" x14ac:dyDescent="0.3">
      <c r="A235">
        <v>234</v>
      </c>
      <c r="B235" s="8">
        <v>78</v>
      </c>
      <c r="C235">
        <v>3</v>
      </c>
      <c r="D235" t="s">
        <v>20</v>
      </c>
      <c r="E235" t="s">
        <v>22</v>
      </c>
      <c r="F235">
        <v>24</v>
      </c>
      <c r="G235" t="str">
        <f>IF(Table2[[#This Row],[Age]]&gt;=30,"Experienced",IF(Table2[[#This Row],[Age]]&gt;=25,"Mid Level", "Entry Level"))</f>
        <v>Entry Level</v>
      </c>
      <c r="H235" t="s">
        <v>27</v>
      </c>
      <c r="I235" t="s">
        <v>30</v>
      </c>
      <c r="J235" s="4">
        <v>45736</v>
      </c>
      <c r="K235" s="4" t="str">
        <f>TEXT(Table2[[#This Row],[Enrollment_date]],"Mmm")</f>
        <v>Mar</v>
      </c>
      <c r="L235" s="4" t="str">
        <f>TEXT(Table2[[#This Row],[Enrollment_date]],"Ddd")</f>
        <v>Thu</v>
      </c>
      <c r="M235" s="4" t="s">
        <v>34</v>
      </c>
      <c r="N235" t="s">
        <v>37</v>
      </c>
      <c r="O235" t="s">
        <v>38</v>
      </c>
      <c r="P235" s="8">
        <v>4</v>
      </c>
      <c r="Q235" s="6">
        <v>0.75</v>
      </c>
      <c r="R235" s="6">
        <v>65</v>
      </c>
      <c r="S235" s="6" t="str">
        <f>IF(Table2[[#This Row],[Avg_score]]&gt;=79,"Distinction",IF(Table2[[#This Row],[Avg_score]]&gt;=60,"Pass","Fail"))</f>
        <v>Pass</v>
      </c>
      <c r="T235" t="s">
        <v>39</v>
      </c>
      <c r="U235">
        <f>IF(Table2[[#This Row],[Completed]]="Yes",1,0)</f>
        <v>1</v>
      </c>
      <c r="V235" t="s">
        <v>39</v>
      </c>
      <c r="W235" t="s">
        <v>39</v>
      </c>
      <c r="X235" s="4">
        <v>45838</v>
      </c>
    </row>
    <row r="236" spans="1:24" x14ac:dyDescent="0.3">
      <c r="A236">
        <v>235</v>
      </c>
      <c r="B236" s="8">
        <v>79</v>
      </c>
      <c r="C236">
        <v>1</v>
      </c>
      <c r="D236" t="s">
        <v>21</v>
      </c>
      <c r="E236" t="s">
        <v>22</v>
      </c>
      <c r="F236">
        <v>25</v>
      </c>
      <c r="G236" t="str">
        <f>IF(Table2[[#This Row],[Age]]&gt;=30,"Experienced",IF(Table2[[#This Row],[Age]]&gt;=25,"Mid Level", "Entry Level"))</f>
        <v>Mid Level</v>
      </c>
      <c r="H236" t="s">
        <v>25</v>
      </c>
      <c r="I236" t="s">
        <v>32</v>
      </c>
      <c r="J236" s="4">
        <v>45760</v>
      </c>
      <c r="K236" s="4" t="str">
        <f>TEXT(Table2[[#This Row],[Enrollment_date]],"Mmm")</f>
        <v>Apr</v>
      </c>
      <c r="L236" s="4" t="str">
        <f>TEXT(Table2[[#This Row],[Enrollment_date]],"Ddd")</f>
        <v>Sun</v>
      </c>
      <c r="M236" s="4" t="s">
        <v>34</v>
      </c>
      <c r="N236" t="s">
        <v>35</v>
      </c>
      <c r="O236" t="s">
        <v>38</v>
      </c>
      <c r="P236" s="8">
        <v>4</v>
      </c>
      <c r="Q236" s="6">
        <v>0.79166666666666663</v>
      </c>
      <c r="R236" s="6">
        <v>69.5</v>
      </c>
      <c r="S236" s="6" t="str">
        <f>IF(Table2[[#This Row],[Avg_score]]&gt;=79,"Distinction",IF(Table2[[#This Row],[Avg_score]]&gt;=60,"Pass","Fail"))</f>
        <v>Pass</v>
      </c>
      <c r="T236" t="s">
        <v>39</v>
      </c>
      <c r="U236">
        <f>IF(Table2[[#This Row],[Completed]]="Yes",1,0)</f>
        <v>1</v>
      </c>
      <c r="V236" t="s">
        <v>40</v>
      </c>
      <c r="W236" t="s">
        <v>39</v>
      </c>
      <c r="X236" s="4">
        <v>45838</v>
      </c>
    </row>
    <row r="237" spans="1:24" x14ac:dyDescent="0.3">
      <c r="A237">
        <v>236</v>
      </c>
      <c r="B237" s="8">
        <v>79</v>
      </c>
      <c r="C237">
        <v>2</v>
      </c>
      <c r="D237" t="s">
        <v>20</v>
      </c>
      <c r="E237" t="s">
        <v>22</v>
      </c>
      <c r="F237">
        <v>25</v>
      </c>
      <c r="G237" t="str">
        <f>IF(Table2[[#This Row],[Age]]&gt;=30,"Experienced",IF(Table2[[#This Row],[Age]]&gt;=25,"Mid Level", "Entry Level"))</f>
        <v>Mid Level</v>
      </c>
      <c r="H237" t="s">
        <v>25</v>
      </c>
      <c r="I237" t="s">
        <v>32</v>
      </c>
      <c r="J237" s="4">
        <v>45760</v>
      </c>
      <c r="K237" s="4" t="str">
        <f>TEXT(Table2[[#This Row],[Enrollment_date]],"Mmm")</f>
        <v>Apr</v>
      </c>
      <c r="L237" s="4" t="str">
        <f>TEXT(Table2[[#This Row],[Enrollment_date]],"Ddd")</f>
        <v>Sun</v>
      </c>
      <c r="M237" s="4" t="s">
        <v>34</v>
      </c>
      <c r="N237" t="s">
        <v>36</v>
      </c>
      <c r="O237" t="s">
        <v>38</v>
      </c>
      <c r="P237" s="8">
        <v>4</v>
      </c>
      <c r="Q237" s="6">
        <v>0.85416666666666663</v>
      </c>
      <c r="R237" s="6">
        <v>66.5</v>
      </c>
      <c r="S237" s="6" t="str">
        <f>IF(Table2[[#This Row],[Avg_score]]&gt;=79,"Distinction",IF(Table2[[#This Row],[Avg_score]]&gt;=60,"Pass","Fail"))</f>
        <v>Pass</v>
      </c>
      <c r="T237" t="s">
        <v>39</v>
      </c>
      <c r="U237">
        <f>IF(Table2[[#This Row],[Completed]]="Yes",1,0)</f>
        <v>1</v>
      </c>
      <c r="V237" t="s">
        <v>40</v>
      </c>
      <c r="W237" t="s">
        <v>39</v>
      </c>
      <c r="X237" s="4">
        <v>45838</v>
      </c>
    </row>
    <row r="238" spans="1:24" x14ac:dyDescent="0.3">
      <c r="A238">
        <v>237</v>
      </c>
      <c r="B238" s="8">
        <v>79</v>
      </c>
      <c r="C238">
        <v>3</v>
      </c>
      <c r="D238" t="s">
        <v>19</v>
      </c>
      <c r="E238" t="s">
        <v>22</v>
      </c>
      <c r="F238">
        <v>25</v>
      </c>
      <c r="G238" t="str">
        <f>IF(Table2[[#This Row],[Age]]&gt;=30,"Experienced",IF(Table2[[#This Row],[Age]]&gt;=25,"Mid Level", "Entry Level"))</f>
        <v>Mid Level</v>
      </c>
      <c r="H238" t="s">
        <v>25</v>
      </c>
      <c r="I238" t="s">
        <v>32</v>
      </c>
      <c r="J238" s="4">
        <v>45760</v>
      </c>
      <c r="K238" s="4" t="str">
        <f>TEXT(Table2[[#This Row],[Enrollment_date]],"Mmm")</f>
        <v>Apr</v>
      </c>
      <c r="L238" s="4" t="str">
        <f>TEXT(Table2[[#This Row],[Enrollment_date]],"Ddd")</f>
        <v>Sun</v>
      </c>
      <c r="M238" s="4" t="s">
        <v>34</v>
      </c>
      <c r="N238" t="s">
        <v>37</v>
      </c>
      <c r="O238" t="s">
        <v>38</v>
      </c>
      <c r="P238" s="8">
        <v>4</v>
      </c>
      <c r="Q238" s="6">
        <v>0.85416666666666663</v>
      </c>
      <c r="R238" s="6">
        <v>69.5</v>
      </c>
      <c r="S238" s="6" t="str">
        <f>IF(Table2[[#This Row],[Avg_score]]&gt;=79,"Distinction",IF(Table2[[#This Row],[Avg_score]]&gt;=60,"Pass","Fail"))</f>
        <v>Pass</v>
      </c>
      <c r="T238" t="s">
        <v>39</v>
      </c>
      <c r="U238">
        <f>IF(Table2[[#This Row],[Completed]]="Yes",1,0)</f>
        <v>1</v>
      </c>
      <c r="V238" t="s">
        <v>40</v>
      </c>
      <c r="W238" t="s">
        <v>39</v>
      </c>
      <c r="X238" s="4">
        <v>45838</v>
      </c>
    </row>
    <row r="239" spans="1:24" x14ac:dyDescent="0.3">
      <c r="A239">
        <v>238</v>
      </c>
      <c r="B239" s="8">
        <v>80</v>
      </c>
      <c r="C239">
        <v>1</v>
      </c>
      <c r="D239" t="s">
        <v>19</v>
      </c>
      <c r="E239" t="s">
        <v>23</v>
      </c>
      <c r="F239">
        <v>26</v>
      </c>
      <c r="G239" t="str">
        <f>IF(Table2[[#This Row],[Age]]&gt;=30,"Experienced",IF(Table2[[#This Row],[Age]]&gt;=25,"Mid Level", "Entry Level"))</f>
        <v>Mid Level</v>
      </c>
      <c r="H239" t="s">
        <v>25</v>
      </c>
      <c r="I239" t="s">
        <v>30</v>
      </c>
      <c r="J239" s="4">
        <v>45747</v>
      </c>
      <c r="K239" s="4" t="str">
        <f>TEXT(Table2[[#This Row],[Enrollment_date]],"Mmm")</f>
        <v>Mar</v>
      </c>
      <c r="L239" s="4" t="str">
        <f>TEXT(Table2[[#This Row],[Enrollment_date]],"Ddd")</f>
        <v>Mon</v>
      </c>
      <c r="M239" s="4" t="s">
        <v>34</v>
      </c>
      <c r="N239" t="s">
        <v>35</v>
      </c>
      <c r="O239" t="s">
        <v>38</v>
      </c>
      <c r="P239" s="8">
        <v>4</v>
      </c>
      <c r="Q239" s="6">
        <v>0.75</v>
      </c>
      <c r="R239" s="6">
        <v>65</v>
      </c>
      <c r="S239" s="6" t="str">
        <f>IF(Table2[[#This Row],[Avg_score]]&gt;=79,"Distinction",IF(Table2[[#This Row],[Avg_score]]&gt;=60,"Pass","Fail"))</f>
        <v>Pass</v>
      </c>
      <c r="T239" t="s">
        <v>40</v>
      </c>
      <c r="U239">
        <f>IF(Table2[[#This Row],[Completed]]="Yes",1,0)</f>
        <v>0</v>
      </c>
      <c r="V239" t="s">
        <v>40</v>
      </c>
      <c r="W239" t="s">
        <v>40</v>
      </c>
      <c r="X239" s="4">
        <v>45838</v>
      </c>
    </row>
    <row r="240" spans="1:24" x14ac:dyDescent="0.3">
      <c r="A240">
        <v>239</v>
      </c>
      <c r="B240" s="8">
        <v>80</v>
      </c>
      <c r="C240">
        <v>2</v>
      </c>
      <c r="D240" t="s">
        <v>19</v>
      </c>
      <c r="E240" t="s">
        <v>23</v>
      </c>
      <c r="F240">
        <v>26</v>
      </c>
      <c r="G240" t="str">
        <f>IF(Table2[[#This Row],[Age]]&gt;=30,"Experienced",IF(Table2[[#This Row],[Age]]&gt;=25,"Mid Level", "Entry Level"))</f>
        <v>Mid Level</v>
      </c>
      <c r="H240" t="s">
        <v>25</v>
      </c>
      <c r="I240" t="s">
        <v>30</v>
      </c>
      <c r="J240" s="4">
        <v>45747</v>
      </c>
      <c r="K240" s="4" t="str">
        <f>TEXT(Table2[[#This Row],[Enrollment_date]],"Mmm")</f>
        <v>Mar</v>
      </c>
      <c r="L240" s="4" t="str">
        <f>TEXT(Table2[[#This Row],[Enrollment_date]],"Ddd")</f>
        <v>Mon</v>
      </c>
      <c r="M240" s="4" t="s">
        <v>34</v>
      </c>
      <c r="N240" t="s">
        <v>36</v>
      </c>
      <c r="O240" t="s">
        <v>38</v>
      </c>
      <c r="P240" s="8">
        <v>4</v>
      </c>
      <c r="Q240" s="6">
        <v>0.8125</v>
      </c>
      <c r="R240" s="6">
        <v>66</v>
      </c>
      <c r="S240" s="6" t="str">
        <f>IF(Table2[[#This Row],[Avg_score]]&gt;=79,"Distinction",IF(Table2[[#This Row],[Avg_score]]&gt;=60,"Pass","Fail"))</f>
        <v>Pass</v>
      </c>
      <c r="T240" t="s">
        <v>40</v>
      </c>
      <c r="U240">
        <f>IF(Table2[[#This Row],[Completed]]="Yes",1,0)</f>
        <v>0</v>
      </c>
      <c r="V240" t="s">
        <v>40</v>
      </c>
      <c r="W240" t="s">
        <v>40</v>
      </c>
      <c r="X240" s="4">
        <v>45838</v>
      </c>
    </row>
    <row r="241" spans="1:24" x14ac:dyDescent="0.3">
      <c r="A241">
        <v>240</v>
      </c>
      <c r="B241" s="8">
        <v>80</v>
      </c>
      <c r="C241">
        <v>3</v>
      </c>
      <c r="D241" t="s">
        <v>20</v>
      </c>
      <c r="E241" t="s">
        <v>23</v>
      </c>
      <c r="F241">
        <v>26</v>
      </c>
      <c r="G241" t="str">
        <f>IF(Table2[[#This Row],[Age]]&gt;=30,"Experienced",IF(Table2[[#This Row],[Age]]&gt;=25,"Mid Level", "Entry Level"))</f>
        <v>Mid Level</v>
      </c>
      <c r="H241" t="s">
        <v>25</v>
      </c>
      <c r="I241" t="s">
        <v>30</v>
      </c>
      <c r="J241" s="4">
        <v>45747</v>
      </c>
      <c r="K241" s="4" t="str">
        <f>TEXT(Table2[[#This Row],[Enrollment_date]],"Mmm")</f>
        <v>Mar</v>
      </c>
      <c r="L241" s="4" t="str">
        <f>TEXT(Table2[[#This Row],[Enrollment_date]],"Ddd")</f>
        <v>Mon</v>
      </c>
      <c r="M241" s="4" t="s">
        <v>34</v>
      </c>
      <c r="N241" t="s">
        <v>37</v>
      </c>
      <c r="O241" t="s">
        <v>38</v>
      </c>
      <c r="P241" s="8">
        <v>4</v>
      </c>
      <c r="Q241" s="6">
        <v>0.77083333333333337</v>
      </c>
      <c r="R241" s="6">
        <v>75.5</v>
      </c>
      <c r="S241" s="6" t="str">
        <f>IF(Table2[[#This Row],[Avg_score]]&gt;=79,"Distinction",IF(Table2[[#This Row],[Avg_score]]&gt;=60,"Pass","Fail"))</f>
        <v>Pass</v>
      </c>
      <c r="T241" t="s">
        <v>40</v>
      </c>
      <c r="U241">
        <f>IF(Table2[[#This Row],[Completed]]="Yes",1,0)</f>
        <v>0</v>
      </c>
      <c r="V241" t="s">
        <v>40</v>
      </c>
      <c r="W241" t="s">
        <v>40</v>
      </c>
      <c r="X241" s="4">
        <v>45838</v>
      </c>
    </row>
    <row r="242" spans="1:24" x14ac:dyDescent="0.3">
      <c r="A242">
        <v>241</v>
      </c>
      <c r="B242" s="8">
        <v>81</v>
      </c>
      <c r="C242">
        <v>1</v>
      </c>
      <c r="D242" t="s">
        <v>20</v>
      </c>
      <c r="E242" t="s">
        <v>23</v>
      </c>
      <c r="F242">
        <v>35</v>
      </c>
      <c r="G242" t="str">
        <f>IF(Table2[[#This Row],[Age]]&gt;=30,"Experienced",IF(Table2[[#This Row],[Age]]&gt;=25,"Mid Level", "Entry Level"))</f>
        <v>Experienced</v>
      </c>
      <c r="H242" t="s">
        <v>29</v>
      </c>
      <c r="I242" t="s">
        <v>68</v>
      </c>
      <c r="J242" s="4">
        <v>45687</v>
      </c>
      <c r="K242" s="4" t="str">
        <f>TEXT(Table2[[#This Row],[Enrollment_date]],"Mmm")</f>
        <v>Jan</v>
      </c>
      <c r="L242" s="4" t="str">
        <f>TEXT(Table2[[#This Row],[Enrollment_date]],"Ddd")</f>
        <v>Thu</v>
      </c>
      <c r="M242" s="4" t="s">
        <v>34</v>
      </c>
      <c r="N242" t="s">
        <v>35</v>
      </c>
      <c r="O242" t="s">
        <v>38</v>
      </c>
      <c r="P242" s="8">
        <v>4</v>
      </c>
      <c r="Q242" s="6">
        <v>0.83333333333333337</v>
      </c>
      <c r="R242" s="6">
        <v>86</v>
      </c>
      <c r="S242" s="6" t="str">
        <f>IF(Table2[[#This Row],[Avg_score]]&gt;=79,"Distinction",IF(Table2[[#This Row],[Avg_score]]&gt;=60,"Pass","Fail"))</f>
        <v>Distinction</v>
      </c>
      <c r="T242" t="s">
        <v>39</v>
      </c>
      <c r="U242">
        <f>IF(Table2[[#This Row],[Completed]]="Yes",1,0)</f>
        <v>1</v>
      </c>
      <c r="V242" t="s">
        <v>39</v>
      </c>
      <c r="W242" t="s">
        <v>39</v>
      </c>
      <c r="X242" s="4">
        <v>45838</v>
      </c>
    </row>
    <row r="243" spans="1:24" x14ac:dyDescent="0.3">
      <c r="A243">
        <v>242</v>
      </c>
      <c r="B243" s="8">
        <v>81</v>
      </c>
      <c r="C243">
        <v>2</v>
      </c>
      <c r="D243" t="s">
        <v>19</v>
      </c>
      <c r="E243" t="s">
        <v>23</v>
      </c>
      <c r="F243">
        <v>35</v>
      </c>
      <c r="G243" t="str">
        <f>IF(Table2[[#This Row],[Age]]&gt;=30,"Experienced",IF(Table2[[#This Row],[Age]]&gt;=25,"Mid Level", "Entry Level"))</f>
        <v>Experienced</v>
      </c>
      <c r="H243" t="s">
        <v>29</v>
      </c>
      <c r="I243" t="s">
        <v>68</v>
      </c>
      <c r="J243" s="4">
        <v>45687</v>
      </c>
      <c r="K243" s="4" t="str">
        <f>TEXT(Table2[[#This Row],[Enrollment_date]],"Mmm")</f>
        <v>Jan</v>
      </c>
      <c r="L243" s="4" t="str">
        <f>TEXT(Table2[[#This Row],[Enrollment_date]],"Ddd")</f>
        <v>Thu</v>
      </c>
      <c r="M243" s="4" t="s">
        <v>34</v>
      </c>
      <c r="N243" t="s">
        <v>36</v>
      </c>
      <c r="O243" t="s">
        <v>38</v>
      </c>
      <c r="P243" s="8">
        <v>4</v>
      </c>
      <c r="Q243" s="6">
        <v>0.89583333333333337</v>
      </c>
      <c r="R243" s="6">
        <v>57</v>
      </c>
      <c r="S243" s="6" t="str">
        <f>IF(Table2[[#This Row],[Avg_score]]&gt;=79,"Distinction",IF(Table2[[#This Row],[Avg_score]]&gt;=60,"Pass","Fail"))</f>
        <v>Fail</v>
      </c>
      <c r="T243" t="s">
        <v>39</v>
      </c>
      <c r="U243">
        <f>IF(Table2[[#This Row],[Completed]]="Yes",1,0)</f>
        <v>1</v>
      </c>
      <c r="V243" t="s">
        <v>39</v>
      </c>
      <c r="W243" t="s">
        <v>39</v>
      </c>
      <c r="X243" s="4">
        <v>45838</v>
      </c>
    </row>
    <row r="244" spans="1:24" x14ac:dyDescent="0.3">
      <c r="A244">
        <v>243</v>
      </c>
      <c r="B244" s="8">
        <v>81</v>
      </c>
      <c r="C244">
        <v>3</v>
      </c>
      <c r="D244" t="s">
        <v>21</v>
      </c>
      <c r="E244" t="s">
        <v>23</v>
      </c>
      <c r="F244">
        <v>35</v>
      </c>
      <c r="G244" t="str">
        <f>IF(Table2[[#This Row],[Age]]&gt;=30,"Experienced",IF(Table2[[#This Row],[Age]]&gt;=25,"Mid Level", "Entry Level"))</f>
        <v>Experienced</v>
      </c>
      <c r="H244" t="s">
        <v>29</v>
      </c>
      <c r="I244" t="s">
        <v>68</v>
      </c>
      <c r="J244" s="4">
        <v>45687</v>
      </c>
      <c r="K244" s="4" t="str">
        <f>TEXT(Table2[[#This Row],[Enrollment_date]],"Mmm")</f>
        <v>Jan</v>
      </c>
      <c r="L244" s="4" t="str">
        <f>TEXT(Table2[[#This Row],[Enrollment_date]],"Ddd")</f>
        <v>Thu</v>
      </c>
      <c r="M244" s="4" t="s">
        <v>34</v>
      </c>
      <c r="N244" t="s">
        <v>37</v>
      </c>
      <c r="O244" t="s">
        <v>38</v>
      </c>
      <c r="P244" s="8">
        <v>4</v>
      </c>
      <c r="Q244" s="6">
        <v>0.9375</v>
      </c>
      <c r="R244" s="6">
        <v>80.5</v>
      </c>
      <c r="S244" s="6" t="str">
        <f>IF(Table2[[#This Row],[Avg_score]]&gt;=79,"Distinction",IF(Table2[[#This Row],[Avg_score]]&gt;=60,"Pass","Fail"))</f>
        <v>Distinction</v>
      </c>
      <c r="T244" t="s">
        <v>39</v>
      </c>
      <c r="U244">
        <f>IF(Table2[[#This Row],[Completed]]="Yes",1,0)</f>
        <v>1</v>
      </c>
      <c r="V244" t="s">
        <v>39</v>
      </c>
      <c r="W244" t="s">
        <v>39</v>
      </c>
      <c r="X244" s="4">
        <v>45838</v>
      </c>
    </row>
    <row r="245" spans="1:24" x14ac:dyDescent="0.3">
      <c r="A245">
        <v>244</v>
      </c>
      <c r="B245" s="8">
        <v>82</v>
      </c>
      <c r="C245">
        <v>1</v>
      </c>
      <c r="D245" t="s">
        <v>19</v>
      </c>
      <c r="E245" t="s">
        <v>23</v>
      </c>
      <c r="F245">
        <v>23</v>
      </c>
      <c r="G245" t="str">
        <f>IF(Table2[[#This Row],[Age]]&gt;=30,"Experienced",IF(Table2[[#This Row],[Age]]&gt;=25,"Mid Level", "Entry Level"))</f>
        <v>Entry Level</v>
      </c>
      <c r="H245" t="s">
        <v>26</v>
      </c>
      <c r="I245" t="s">
        <v>30</v>
      </c>
      <c r="J245" s="4">
        <v>45667</v>
      </c>
      <c r="K245" s="4" t="str">
        <f>TEXT(Table2[[#This Row],[Enrollment_date]],"Mmm")</f>
        <v>Jan</v>
      </c>
      <c r="L245" s="4" t="str">
        <f>TEXT(Table2[[#This Row],[Enrollment_date]],"Ddd")</f>
        <v>Fri</v>
      </c>
      <c r="M245" s="4" t="s">
        <v>34</v>
      </c>
      <c r="N245" t="s">
        <v>35</v>
      </c>
      <c r="O245" t="s">
        <v>38</v>
      </c>
      <c r="P245" s="8">
        <v>4</v>
      </c>
      <c r="Q245" s="6">
        <v>0.91666666666666663</v>
      </c>
      <c r="R245" s="6">
        <v>87</v>
      </c>
      <c r="S245" s="6" t="str">
        <f>IF(Table2[[#This Row],[Avg_score]]&gt;=79,"Distinction",IF(Table2[[#This Row],[Avg_score]]&gt;=60,"Pass","Fail"))</f>
        <v>Distinction</v>
      </c>
      <c r="T245" t="s">
        <v>39</v>
      </c>
      <c r="U245">
        <f>IF(Table2[[#This Row],[Completed]]="Yes",1,0)</f>
        <v>1</v>
      </c>
      <c r="V245" t="s">
        <v>39</v>
      </c>
      <c r="W245" t="s">
        <v>39</v>
      </c>
      <c r="X245" s="4">
        <v>45838</v>
      </c>
    </row>
    <row r="246" spans="1:24" x14ac:dyDescent="0.3">
      <c r="A246">
        <v>245</v>
      </c>
      <c r="B246" s="8">
        <v>82</v>
      </c>
      <c r="C246">
        <v>2</v>
      </c>
      <c r="D246" t="s">
        <v>19</v>
      </c>
      <c r="E246" t="s">
        <v>23</v>
      </c>
      <c r="F246">
        <v>23</v>
      </c>
      <c r="G246" t="str">
        <f>IF(Table2[[#This Row],[Age]]&gt;=30,"Experienced",IF(Table2[[#This Row],[Age]]&gt;=25,"Mid Level", "Entry Level"))</f>
        <v>Entry Level</v>
      </c>
      <c r="H246" t="s">
        <v>26</v>
      </c>
      <c r="I246" t="s">
        <v>30</v>
      </c>
      <c r="J246" s="4">
        <v>45667</v>
      </c>
      <c r="K246" s="4" t="str">
        <f>TEXT(Table2[[#This Row],[Enrollment_date]],"Mmm")</f>
        <v>Jan</v>
      </c>
      <c r="L246" s="4" t="str">
        <f>TEXT(Table2[[#This Row],[Enrollment_date]],"Ddd")</f>
        <v>Fri</v>
      </c>
      <c r="M246" s="4" t="s">
        <v>34</v>
      </c>
      <c r="N246" t="s">
        <v>36</v>
      </c>
      <c r="O246" t="s">
        <v>38</v>
      </c>
      <c r="P246" s="8">
        <v>4</v>
      </c>
      <c r="Q246" s="6">
        <v>0.875</v>
      </c>
      <c r="R246" s="6">
        <v>81.5</v>
      </c>
      <c r="S246" s="6" t="str">
        <f>IF(Table2[[#This Row],[Avg_score]]&gt;=79,"Distinction",IF(Table2[[#This Row],[Avg_score]]&gt;=60,"Pass","Fail"))</f>
        <v>Distinction</v>
      </c>
      <c r="T246" t="s">
        <v>39</v>
      </c>
      <c r="U246">
        <f>IF(Table2[[#This Row],[Completed]]="Yes",1,0)</f>
        <v>1</v>
      </c>
      <c r="V246" t="s">
        <v>39</v>
      </c>
      <c r="W246" t="s">
        <v>39</v>
      </c>
      <c r="X246" s="4">
        <v>45838</v>
      </c>
    </row>
    <row r="247" spans="1:24" x14ac:dyDescent="0.3">
      <c r="A247">
        <v>246</v>
      </c>
      <c r="B247" s="8">
        <v>82</v>
      </c>
      <c r="C247">
        <v>3</v>
      </c>
      <c r="D247" t="s">
        <v>19</v>
      </c>
      <c r="E247" t="s">
        <v>23</v>
      </c>
      <c r="F247">
        <v>23</v>
      </c>
      <c r="G247" t="str">
        <f>IF(Table2[[#This Row],[Age]]&gt;=30,"Experienced",IF(Table2[[#This Row],[Age]]&gt;=25,"Mid Level", "Entry Level"))</f>
        <v>Entry Level</v>
      </c>
      <c r="H247" t="s">
        <v>26</v>
      </c>
      <c r="I247" t="s">
        <v>30</v>
      </c>
      <c r="J247" s="4">
        <v>45667</v>
      </c>
      <c r="K247" s="4" t="str">
        <f>TEXT(Table2[[#This Row],[Enrollment_date]],"Mmm")</f>
        <v>Jan</v>
      </c>
      <c r="L247" s="4" t="str">
        <f>TEXT(Table2[[#This Row],[Enrollment_date]],"Ddd")</f>
        <v>Fri</v>
      </c>
      <c r="M247" s="4" t="s">
        <v>34</v>
      </c>
      <c r="N247" t="s">
        <v>37</v>
      </c>
      <c r="O247" t="s">
        <v>38</v>
      </c>
      <c r="P247" s="8">
        <v>4</v>
      </c>
      <c r="Q247" s="6">
        <v>0.83333333333333337</v>
      </c>
      <c r="R247" s="6">
        <v>66.5</v>
      </c>
      <c r="S247" s="6" t="str">
        <f>IF(Table2[[#This Row],[Avg_score]]&gt;=79,"Distinction",IF(Table2[[#This Row],[Avg_score]]&gt;=60,"Pass","Fail"))</f>
        <v>Pass</v>
      </c>
      <c r="T247" t="s">
        <v>39</v>
      </c>
      <c r="U247">
        <f>IF(Table2[[#This Row],[Completed]]="Yes",1,0)</f>
        <v>1</v>
      </c>
      <c r="V247" t="s">
        <v>39</v>
      </c>
      <c r="W247" t="s">
        <v>39</v>
      </c>
      <c r="X247" s="4">
        <v>45838</v>
      </c>
    </row>
    <row r="248" spans="1:24" x14ac:dyDescent="0.3">
      <c r="A248">
        <v>247</v>
      </c>
      <c r="B248" s="8">
        <v>83</v>
      </c>
      <c r="C248">
        <v>1</v>
      </c>
      <c r="D248" t="s">
        <v>19</v>
      </c>
      <c r="E248" t="s">
        <v>22</v>
      </c>
      <c r="F248">
        <v>31</v>
      </c>
      <c r="G248" t="str">
        <f>IF(Table2[[#This Row],[Age]]&gt;=30,"Experienced",IF(Table2[[#This Row],[Age]]&gt;=25,"Mid Level", "Entry Level"))</f>
        <v>Experienced</v>
      </c>
      <c r="H248" t="s">
        <v>29</v>
      </c>
      <c r="I248" t="s">
        <v>30</v>
      </c>
      <c r="J248" s="4">
        <v>45769</v>
      </c>
      <c r="K248" s="4" t="str">
        <f>TEXT(Table2[[#This Row],[Enrollment_date]],"Mmm")</f>
        <v>Apr</v>
      </c>
      <c r="L248" s="4" t="str">
        <f>TEXT(Table2[[#This Row],[Enrollment_date]],"Ddd")</f>
        <v>Tue</v>
      </c>
      <c r="M248" s="4" t="s">
        <v>34</v>
      </c>
      <c r="N248" t="s">
        <v>35</v>
      </c>
      <c r="O248" t="s">
        <v>38</v>
      </c>
      <c r="P248" s="8">
        <v>4</v>
      </c>
      <c r="Q248" s="6">
        <v>0.8125</v>
      </c>
      <c r="R248" s="6">
        <v>78</v>
      </c>
      <c r="S248" s="6" t="str">
        <f>IF(Table2[[#This Row],[Avg_score]]&gt;=79,"Distinction",IF(Table2[[#This Row],[Avg_score]]&gt;=60,"Pass","Fail"))</f>
        <v>Pass</v>
      </c>
      <c r="T248" t="s">
        <v>39</v>
      </c>
      <c r="U248">
        <f>IF(Table2[[#This Row],[Completed]]="Yes",1,0)</f>
        <v>1</v>
      </c>
      <c r="V248" t="s">
        <v>39</v>
      </c>
      <c r="W248" t="s">
        <v>39</v>
      </c>
      <c r="X248" s="4">
        <v>45838</v>
      </c>
    </row>
    <row r="249" spans="1:24" x14ac:dyDescent="0.3">
      <c r="A249">
        <v>248</v>
      </c>
      <c r="B249" s="8">
        <v>83</v>
      </c>
      <c r="C249">
        <v>2</v>
      </c>
      <c r="D249" t="s">
        <v>21</v>
      </c>
      <c r="E249" t="s">
        <v>22</v>
      </c>
      <c r="F249">
        <v>31</v>
      </c>
      <c r="G249" t="str">
        <f>IF(Table2[[#This Row],[Age]]&gt;=30,"Experienced",IF(Table2[[#This Row],[Age]]&gt;=25,"Mid Level", "Entry Level"))</f>
        <v>Experienced</v>
      </c>
      <c r="H249" t="s">
        <v>29</v>
      </c>
      <c r="I249" t="s">
        <v>30</v>
      </c>
      <c r="J249" s="4">
        <v>45769</v>
      </c>
      <c r="K249" s="4" t="str">
        <f>TEXT(Table2[[#This Row],[Enrollment_date]],"Mmm")</f>
        <v>Apr</v>
      </c>
      <c r="L249" s="4" t="str">
        <f>TEXT(Table2[[#This Row],[Enrollment_date]],"Ddd")</f>
        <v>Tue</v>
      </c>
      <c r="M249" s="4" t="s">
        <v>34</v>
      </c>
      <c r="N249" t="s">
        <v>36</v>
      </c>
      <c r="O249" t="s">
        <v>38</v>
      </c>
      <c r="P249" s="8">
        <v>4</v>
      </c>
      <c r="Q249" s="6">
        <v>0.91666666666666663</v>
      </c>
      <c r="R249" s="6">
        <v>75.5</v>
      </c>
      <c r="S249" s="6" t="str">
        <f>IF(Table2[[#This Row],[Avg_score]]&gt;=79,"Distinction",IF(Table2[[#This Row],[Avg_score]]&gt;=60,"Pass","Fail"))</f>
        <v>Pass</v>
      </c>
      <c r="T249" t="s">
        <v>39</v>
      </c>
      <c r="U249">
        <f>IF(Table2[[#This Row],[Completed]]="Yes",1,0)</f>
        <v>1</v>
      </c>
      <c r="V249" t="s">
        <v>39</v>
      </c>
      <c r="W249" t="s">
        <v>39</v>
      </c>
      <c r="X249" s="4">
        <v>45838</v>
      </c>
    </row>
    <row r="250" spans="1:24" x14ac:dyDescent="0.3">
      <c r="A250">
        <v>249</v>
      </c>
      <c r="B250" s="8">
        <v>83</v>
      </c>
      <c r="C250">
        <v>3</v>
      </c>
      <c r="D250" t="s">
        <v>19</v>
      </c>
      <c r="E250" t="s">
        <v>22</v>
      </c>
      <c r="F250">
        <v>31</v>
      </c>
      <c r="G250" t="str">
        <f>IF(Table2[[#This Row],[Age]]&gt;=30,"Experienced",IF(Table2[[#This Row],[Age]]&gt;=25,"Mid Level", "Entry Level"))</f>
        <v>Experienced</v>
      </c>
      <c r="H250" t="s">
        <v>29</v>
      </c>
      <c r="I250" t="s">
        <v>30</v>
      </c>
      <c r="J250" s="4">
        <v>45769</v>
      </c>
      <c r="K250" s="4" t="str">
        <f>TEXT(Table2[[#This Row],[Enrollment_date]],"Mmm")</f>
        <v>Apr</v>
      </c>
      <c r="L250" s="4" t="str">
        <f>TEXT(Table2[[#This Row],[Enrollment_date]],"Ddd")</f>
        <v>Tue</v>
      </c>
      <c r="M250" s="4" t="s">
        <v>34</v>
      </c>
      <c r="N250" t="s">
        <v>37</v>
      </c>
      <c r="O250" t="s">
        <v>38</v>
      </c>
      <c r="P250" s="8">
        <v>4</v>
      </c>
      <c r="Q250" s="6">
        <v>0.75</v>
      </c>
      <c r="R250" s="6">
        <v>90.5</v>
      </c>
      <c r="S250" s="6" t="str">
        <f>IF(Table2[[#This Row],[Avg_score]]&gt;=79,"Distinction",IF(Table2[[#This Row],[Avg_score]]&gt;=60,"Pass","Fail"))</f>
        <v>Distinction</v>
      </c>
      <c r="T250" t="s">
        <v>39</v>
      </c>
      <c r="U250">
        <f>IF(Table2[[#This Row],[Completed]]="Yes",1,0)</f>
        <v>1</v>
      </c>
      <c r="V250" t="s">
        <v>39</v>
      </c>
      <c r="W250" t="s">
        <v>39</v>
      </c>
      <c r="X250" s="4">
        <v>45838</v>
      </c>
    </row>
    <row r="251" spans="1:24" x14ac:dyDescent="0.3">
      <c r="A251">
        <v>250</v>
      </c>
      <c r="B251" s="8">
        <v>84</v>
      </c>
      <c r="C251">
        <v>1</v>
      </c>
      <c r="D251" t="s">
        <v>21</v>
      </c>
      <c r="E251" t="s">
        <v>22</v>
      </c>
      <c r="F251">
        <v>30</v>
      </c>
      <c r="G251" t="str">
        <f>IF(Table2[[#This Row],[Age]]&gt;=30,"Experienced",IF(Table2[[#This Row],[Age]]&gt;=25,"Mid Level", "Entry Level"))</f>
        <v>Experienced</v>
      </c>
      <c r="H251" t="s">
        <v>26</v>
      </c>
      <c r="I251" t="s">
        <v>32</v>
      </c>
      <c r="J251" s="4">
        <v>45723</v>
      </c>
      <c r="K251" s="4" t="str">
        <f>TEXT(Table2[[#This Row],[Enrollment_date]],"Mmm")</f>
        <v>Mar</v>
      </c>
      <c r="L251" s="4" t="str">
        <f>TEXT(Table2[[#This Row],[Enrollment_date]],"Ddd")</f>
        <v>Fri</v>
      </c>
      <c r="M251" s="4" t="s">
        <v>34</v>
      </c>
      <c r="N251" t="s">
        <v>35</v>
      </c>
      <c r="O251" t="s">
        <v>38</v>
      </c>
      <c r="P251" s="8">
        <v>4</v>
      </c>
      <c r="Q251" s="6">
        <v>0.875</v>
      </c>
      <c r="R251" s="6">
        <v>83</v>
      </c>
      <c r="S251" s="6" t="str">
        <f>IF(Table2[[#This Row],[Avg_score]]&gt;=79,"Distinction",IF(Table2[[#This Row],[Avg_score]]&gt;=60,"Pass","Fail"))</f>
        <v>Distinction</v>
      </c>
      <c r="T251" t="s">
        <v>39</v>
      </c>
      <c r="U251">
        <f>IF(Table2[[#This Row],[Completed]]="Yes",1,0)</f>
        <v>1</v>
      </c>
      <c r="V251" t="s">
        <v>39</v>
      </c>
      <c r="W251" t="s">
        <v>40</v>
      </c>
      <c r="X251" s="4">
        <v>45838</v>
      </c>
    </row>
    <row r="252" spans="1:24" x14ac:dyDescent="0.3">
      <c r="A252">
        <v>251</v>
      </c>
      <c r="B252" s="8">
        <v>84</v>
      </c>
      <c r="C252">
        <v>2</v>
      </c>
      <c r="D252" t="s">
        <v>19</v>
      </c>
      <c r="E252" t="s">
        <v>22</v>
      </c>
      <c r="F252">
        <v>30</v>
      </c>
      <c r="G252" t="str">
        <f>IF(Table2[[#This Row],[Age]]&gt;=30,"Experienced",IF(Table2[[#This Row],[Age]]&gt;=25,"Mid Level", "Entry Level"))</f>
        <v>Experienced</v>
      </c>
      <c r="H252" t="s">
        <v>26</v>
      </c>
      <c r="I252" t="s">
        <v>32</v>
      </c>
      <c r="J252" s="4">
        <v>45723</v>
      </c>
      <c r="K252" s="4" t="str">
        <f>TEXT(Table2[[#This Row],[Enrollment_date]],"Mmm")</f>
        <v>Mar</v>
      </c>
      <c r="L252" s="4" t="str">
        <f>TEXT(Table2[[#This Row],[Enrollment_date]],"Ddd")</f>
        <v>Fri</v>
      </c>
      <c r="M252" s="4" t="s">
        <v>34</v>
      </c>
      <c r="N252" t="s">
        <v>36</v>
      </c>
      <c r="O252" t="s">
        <v>38</v>
      </c>
      <c r="P252" s="8">
        <v>4</v>
      </c>
      <c r="Q252" s="6">
        <v>0.77083333333333337</v>
      </c>
      <c r="R252" s="6">
        <v>60</v>
      </c>
      <c r="S252" s="6" t="str">
        <f>IF(Table2[[#This Row],[Avg_score]]&gt;=79,"Distinction",IF(Table2[[#This Row],[Avg_score]]&gt;=60,"Pass","Fail"))</f>
        <v>Pass</v>
      </c>
      <c r="T252" t="s">
        <v>39</v>
      </c>
      <c r="U252">
        <f>IF(Table2[[#This Row],[Completed]]="Yes",1,0)</f>
        <v>1</v>
      </c>
      <c r="V252" t="s">
        <v>39</v>
      </c>
      <c r="W252" t="s">
        <v>40</v>
      </c>
      <c r="X252" s="4">
        <v>45838</v>
      </c>
    </row>
    <row r="253" spans="1:24" x14ac:dyDescent="0.3">
      <c r="A253">
        <v>252</v>
      </c>
      <c r="B253" s="8">
        <v>84</v>
      </c>
      <c r="C253">
        <v>3</v>
      </c>
      <c r="D253" t="s">
        <v>21</v>
      </c>
      <c r="E253" t="s">
        <v>22</v>
      </c>
      <c r="F253">
        <v>30</v>
      </c>
      <c r="G253" t="str">
        <f>IF(Table2[[#This Row],[Age]]&gt;=30,"Experienced",IF(Table2[[#This Row],[Age]]&gt;=25,"Mid Level", "Entry Level"))</f>
        <v>Experienced</v>
      </c>
      <c r="H253" t="s">
        <v>26</v>
      </c>
      <c r="I253" t="s">
        <v>32</v>
      </c>
      <c r="J253" s="4">
        <v>45723</v>
      </c>
      <c r="K253" s="4" t="str">
        <f>TEXT(Table2[[#This Row],[Enrollment_date]],"Mmm")</f>
        <v>Mar</v>
      </c>
      <c r="L253" s="4" t="str">
        <f>TEXT(Table2[[#This Row],[Enrollment_date]],"Ddd")</f>
        <v>Fri</v>
      </c>
      <c r="M253" s="4" t="s">
        <v>34</v>
      </c>
      <c r="N253" t="s">
        <v>37</v>
      </c>
      <c r="O253" t="s">
        <v>38</v>
      </c>
      <c r="P253" s="8">
        <v>4</v>
      </c>
      <c r="Q253" s="6">
        <v>0.77083333333333337</v>
      </c>
      <c r="R253" s="6">
        <v>74</v>
      </c>
      <c r="S253" s="6" t="str">
        <f>IF(Table2[[#This Row],[Avg_score]]&gt;=79,"Distinction",IF(Table2[[#This Row],[Avg_score]]&gt;=60,"Pass","Fail"))</f>
        <v>Pass</v>
      </c>
      <c r="T253" t="s">
        <v>39</v>
      </c>
      <c r="U253">
        <f>IF(Table2[[#This Row],[Completed]]="Yes",1,0)</f>
        <v>1</v>
      </c>
      <c r="V253" t="s">
        <v>39</v>
      </c>
      <c r="W253" t="s">
        <v>40</v>
      </c>
      <c r="X253" s="4">
        <v>45838</v>
      </c>
    </row>
    <row r="254" spans="1:24" x14ac:dyDescent="0.3">
      <c r="A254">
        <v>253</v>
      </c>
      <c r="B254" s="8">
        <v>85</v>
      </c>
      <c r="C254">
        <v>1</v>
      </c>
      <c r="D254" t="s">
        <v>21</v>
      </c>
      <c r="E254" t="s">
        <v>22</v>
      </c>
      <c r="F254">
        <v>31</v>
      </c>
      <c r="G254" t="str">
        <f>IF(Table2[[#This Row],[Age]]&gt;=30,"Experienced",IF(Table2[[#This Row],[Age]]&gt;=25,"Mid Level", "Entry Level"))</f>
        <v>Experienced</v>
      </c>
      <c r="H254" t="s">
        <v>25</v>
      </c>
      <c r="I254" t="s">
        <v>32</v>
      </c>
      <c r="J254" s="4">
        <v>45751</v>
      </c>
      <c r="K254" s="4" t="str">
        <f>TEXT(Table2[[#This Row],[Enrollment_date]],"Mmm")</f>
        <v>Apr</v>
      </c>
      <c r="L254" s="4" t="str">
        <f>TEXT(Table2[[#This Row],[Enrollment_date]],"Ddd")</f>
        <v>Fri</v>
      </c>
      <c r="M254" s="4" t="s">
        <v>34</v>
      </c>
      <c r="N254" t="s">
        <v>35</v>
      </c>
      <c r="O254" t="s">
        <v>38</v>
      </c>
      <c r="P254" s="8">
        <v>4</v>
      </c>
      <c r="Q254" s="6">
        <v>0.89583333333333337</v>
      </c>
      <c r="R254" s="6">
        <v>77.5</v>
      </c>
      <c r="S254" s="6" t="str">
        <f>IF(Table2[[#This Row],[Avg_score]]&gt;=79,"Distinction",IF(Table2[[#This Row],[Avg_score]]&gt;=60,"Pass","Fail"))</f>
        <v>Pass</v>
      </c>
      <c r="T254" t="s">
        <v>39</v>
      </c>
      <c r="U254">
        <f>IF(Table2[[#This Row],[Completed]]="Yes",1,0)</f>
        <v>1</v>
      </c>
      <c r="V254" t="s">
        <v>39</v>
      </c>
      <c r="W254" t="s">
        <v>39</v>
      </c>
      <c r="X254" s="4">
        <v>45838</v>
      </c>
    </row>
    <row r="255" spans="1:24" x14ac:dyDescent="0.3">
      <c r="A255">
        <v>254</v>
      </c>
      <c r="B255" s="8">
        <v>85</v>
      </c>
      <c r="C255">
        <v>2</v>
      </c>
      <c r="D255" t="s">
        <v>20</v>
      </c>
      <c r="E255" t="s">
        <v>22</v>
      </c>
      <c r="F255">
        <v>31</v>
      </c>
      <c r="G255" t="str">
        <f>IF(Table2[[#This Row],[Age]]&gt;=30,"Experienced",IF(Table2[[#This Row],[Age]]&gt;=25,"Mid Level", "Entry Level"))</f>
        <v>Experienced</v>
      </c>
      <c r="H255" t="s">
        <v>25</v>
      </c>
      <c r="I255" t="s">
        <v>32</v>
      </c>
      <c r="J255" s="4">
        <v>45751</v>
      </c>
      <c r="K255" s="4" t="str">
        <f>TEXT(Table2[[#This Row],[Enrollment_date]],"Mmm")</f>
        <v>Apr</v>
      </c>
      <c r="L255" s="4" t="str">
        <f>TEXT(Table2[[#This Row],[Enrollment_date]],"Ddd")</f>
        <v>Fri</v>
      </c>
      <c r="M255" s="4" t="s">
        <v>34</v>
      </c>
      <c r="N255" t="s">
        <v>36</v>
      </c>
      <c r="O255" t="s">
        <v>38</v>
      </c>
      <c r="P255" s="8">
        <v>4</v>
      </c>
      <c r="Q255" s="6">
        <v>0.6875</v>
      </c>
      <c r="R255" s="6">
        <v>91.5</v>
      </c>
      <c r="S255" s="6" t="str">
        <f>IF(Table2[[#This Row],[Avg_score]]&gt;=79,"Distinction",IF(Table2[[#This Row],[Avg_score]]&gt;=60,"Pass","Fail"))</f>
        <v>Distinction</v>
      </c>
      <c r="T255" t="s">
        <v>39</v>
      </c>
      <c r="U255">
        <f>IF(Table2[[#This Row],[Completed]]="Yes",1,0)</f>
        <v>1</v>
      </c>
      <c r="V255" t="s">
        <v>39</v>
      </c>
      <c r="W255" t="s">
        <v>39</v>
      </c>
      <c r="X255" s="4">
        <v>45838</v>
      </c>
    </row>
    <row r="256" spans="1:24" x14ac:dyDescent="0.3">
      <c r="A256">
        <v>255</v>
      </c>
      <c r="B256" s="8">
        <v>85</v>
      </c>
      <c r="C256">
        <v>3</v>
      </c>
      <c r="D256" t="s">
        <v>19</v>
      </c>
      <c r="E256" t="s">
        <v>22</v>
      </c>
      <c r="F256">
        <v>31</v>
      </c>
      <c r="G256" t="str">
        <f>IF(Table2[[#This Row],[Age]]&gt;=30,"Experienced",IF(Table2[[#This Row],[Age]]&gt;=25,"Mid Level", "Entry Level"))</f>
        <v>Experienced</v>
      </c>
      <c r="H256" t="s">
        <v>25</v>
      </c>
      <c r="I256" t="s">
        <v>32</v>
      </c>
      <c r="J256" s="4">
        <v>45751</v>
      </c>
      <c r="K256" s="4" t="str">
        <f>TEXT(Table2[[#This Row],[Enrollment_date]],"Mmm")</f>
        <v>Apr</v>
      </c>
      <c r="L256" s="4" t="str">
        <f>TEXT(Table2[[#This Row],[Enrollment_date]],"Ddd")</f>
        <v>Fri</v>
      </c>
      <c r="M256" s="4" t="s">
        <v>34</v>
      </c>
      <c r="N256" t="s">
        <v>37</v>
      </c>
      <c r="O256" t="s">
        <v>38</v>
      </c>
      <c r="P256" s="8">
        <v>4</v>
      </c>
      <c r="Q256" s="6">
        <v>0.75</v>
      </c>
      <c r="R256" s="6">
        <v>77.5</v>
      </c>
      <c r="S256" s="6" t="str">
        <f>IF(Table2[[#This Row],[Avg_score]]&gt;=79,"Distinction",IF(Table2[[#This Row],[Avg_score]]&gt;=60,"Pass","Fail"))</f>
        <v>Pass</v>
      </c>
      <c r="T256" t="s">
        <v>39</v>
      </c>
      <c r="U256">
        <f>IF(Table2[[#This Row],[Completed]]="Yes",1,0)</f>
        <v>1</v>
      </c>
      <c r="V256" t="s">
        <v>39</v>
      </c>
      <c r="W256" t="s">
        <v>39</v>
      </c>
      <c r="X256" s="4">
        <v>45838</v>
      </c>
    </row>
    <row r="257" spans="1:24" x14ac:dyDescent="0.3">
      <c r="A257">
        <v>256</v>
      </c>
      <c r="B257" s="8">
        <v>86</v>
      </c>
      <c r="C257">
        <v>1</v>
      </c>
      <c r="D257" t="s">
        <v>20</v>
      </c>
      <c r="E257" t="s">
        <v>23</v>
      </c>
      <c r="F257">
        <v>20</v>
      </c>
      <c r="G257" t="str">
        <f>IF(Table2[[#This Row],[Age]]&gt;=30,"Experienced",IF(Table2[[#This Row],[Age]]&gt;=25,"Mid Level", "Entry Level"))</f>
        <v>Entry Level</v>
      </c>
      <c r="H257" t="s">
        <v>24</v>
      </c>
      <c r="I257" t="s">
        <v>30</v>
      </c>
      <c r="J257" s="4">
        <v>45738</v>
      </c>
      <c r="K257" s="4" t="str">
        <f>TEXT(Table2[[#This Row],[Enrollment_date]],"Mmm")</f>
        <v>Mar</v>
      </c>
      <c r="L257" s="4" t="str">
        <f>TEXT(Table2[[#This Row],[Enrollment_date]],"Ddd")</f>
        <v>Sat</v>
      </c>
      <c r="M257" s="4" t="s">
        <v>34</v>
      </c>
      <c r="N257" t="s">
        <v>35</v>
      </c>
      <c r="O257" t="s">
        <v>38</v>
      </c>
      <c r="P257" s="8">
        <v>4</v>
      </c>
      <c r="Q257" s="6">
        <v>0.83333333333333337</v>
      </c>
      <c r="R257" s="6">
        <v>59.5</v>
      </c>
      <c r="S257" s="6" t="str">
        <f>IF(Table2[[#This Row],[Avg_score]]&gt;=79,"Distinction",IF(Table2[[#This Row],[Avg_score]]&gt;=60,"Pass","Fail"))</f>
        <v>Fail</v>
      </c>
      <c r="T257" t="s">
        <v>39</v>
      </c>
      <c r="U257">
        <f>IF(Table2[[#This Row],[Completed]]="Yes",1,0)</f>
        <v>1</v>
      </c>
      <c r="V257" t="s">
        <v>39</v>
      </c>
      <c r="W257" t="s">
        <v>40</v>
      </c>
      <c r="X257" s="4">
        <v>45838</v>
      </c>
    </row>
    <row r="258" spans="1:24" x14ac:dyDescent="0.3">
      <c r="A258">
        <v>257</v>
      </c>
      <c r="B258" s="8">
        <v>86</v>
      </c>
      <c r="C258">
        <v>2</v>
      </c>
      <c r="D258" t="s">
        <v>19</v>
      </c>
      <c r="E258" t="s">
        <v>23</v>
      </c>
      <c r="F258">
        <v>20</v>
      </c>
      <c r="G258" t="str">
        <f>IF(Table2[[#This Row],[Age]]&gt;=30,"Experienced",IF(Table2[[#This Row],[Age]]&gt;=25,"Mid Level", "Entry Level"))</f>
        <v>Entry Level</v>
      </c>
      <c r="H258" t="s">
        <v>24</v>
      </c>
      <c r="I258" t="s">
        <v>30</v>
      </c>
      <c r="J258" s="4">
        <v>45738</v>
      </c>
      <c r="K258" s="4" t="str">
        <f>TEXT(Table2[[#This Row],[Enrollment_date]],"Mmm")</f>
        <v>Mar</v>
      </c>
      <c r="L258" s="4" t="str">
        <f>TEXT(Table2[[#This Row],[Enrollment_date]],"Ddd")</f>
        <v>Sat</v>
      </c>
      <c r="M258" s="4" t="s">
        <v>34</v>
      </c>
      <c r="N258" t="s">
        <v>36</v>
      </c>
      <c r="O258" t="s">
        <v>38</v>
      </c>
      <c r="P258" s="8">
        <v>4</v>
      </c>
      <c r="Q258" s="6">
        <v>0.89583333333333337</v>
      </c>
      <c r="R258" s="6">
        <v>61.5</v>
      </c>
      <c r="S258" s="6" t="str">
        <f>IF(Table2[[#This Row],[Avg_score]]&gt;=79,"Distinction",IF(Table2[[#This Row],[Avg_score]]&gt;=60,"Pass","Fail"))</f>
        <v>Pass</v>
      </c>
      <c r="T258" t="s">
        <v>39</v>
      </c>
      <c r="U258">
        <f>IF(Table2[[#This Row],[Completed]]="Yes",1,0)</f>
        <v>1</v>
      </c>
      <c r="V258" t="s">
        <v>39</v>
      </c>
      <c r="W258" t="s">
        <v>40</v>
      </c>
      <c r="X258" s="4">
        <v>45838</v>
      </c>
    </row>
    <row r="259" spans="1:24" x14ac:dyDescent="0.3">
      <c r="A259">
        <v>258</v>
      </c>
      <c r="B259" s="8">
        <v>86</v>
      </c>
      <c r="C259">
        <v>3</v>
      </c>
      <c r="D259" t="s">
        <v>19</v>
      </c>
      <c r="E259" t="s">
        <v>23</v>
      </c>
      <c r="F259">
        <v>20</v>
      </c>
      <c r="G259" t="str">
        <f>IF(Table2[[#This Row],[Age]]&gt;=30,"Experienced",IF(Table2[[#This Row],[Age]]&gt;=25,"Mid Level", "Entry Level"))</f>
        <v>Entry Level</v>
      </c>
      <c r="H259" t="s">
        <v>24</v>
      </c>
      <c r="I259" t="s">
        <v>30</v>
      </c>
      <c r="J259" s="4">
        <v>45738</v>
      </c>
      <c r="K259" s="4" t="str">
        <f>TEXT(Table2[[#This Row],[Enrollment_date]],"Mmm")</f>
        <v>Mar</v>
      </c>
      <c r="L259" s="4" t="str">
        <f>TEXT(Table2[[#This Row],[Enrollment_date]],"Ddd")</f>
        <v>Sat</v>
      </c>
      <c r="M259" s="4" t="s">
        <v>34</v>
      </c>
      <c r="N259" t="s">
        <v>37</v>
      </c>
      <c r="O259" t="s">
        <v>38</v>
      </c>
      <c r="P259" s="8">
        <v>4</v>
      </c>
      <c r="Q259" s="6">
        <v>0.83333333333333337</v>
      </c>
      <c r="R259" s="6">
        <v>72</v>
      </c>
      <c r="S259" s="6" t="str">
        <f>IF(Table2[[#This Row],[Avg_score]]&gt;=79,"Distinction",IF(Table2[[#This Row],[Avg_score]]&gt;=60,"Pass","Fail"))</f>
        <v>Pass</v>
      </c>
      <c r="T259" t="s">
        <v>39</v>
      </c>
      <c r="U259">
        <f>IF(Table2[[#This Row],[Completed]]="Yes",1,0)</f>
        <v>1</v>
      </c>
      <c r="V259" t="s">
        <v>39</v>
      </c>
      <c r="W259" t="s">
        <v>40</v>
      </c>
      <c r="X259" s="4">
        <v>45838</v>
      </c>
    </row>
    <row r="260" spans="1:24" x14ac:dyDescent="0.3">
      <c r="A260">
        <v>259</v>
      </c>
      <c r="B260" s="8">
        <v>87</v>
      </c>
      <c r="C260">
        <v>1</v>
      </c>
      <c r="D260" t="s">
        <v>19</v>
      </c>
      <c r="E260" t="s">
        <v>22</v>
      </c>
      <c r="F260">
        <v>27</v>
      </c>
      <c r="G260" t="str">
        <f>IF(Table2[[#This Row],[Age]]&gt;=30,"Experienced",IF(Table2[[#This Row],[Age]]&gt;=25,"Mid Level", "Entry Level"))</f>
        <v>Mid Level</v>
      </c>
      <c r="H260" t="s">
        <v>26</v>
      </c>
      <c r="I260" t="s">
        <v>30</v>
      </c>
      <c r="J260" s="4">
        <v>45762</v>
      </c>
      <c r="K260" s="4" t="str">
        <f>TEXT(Table2[[#This Row],[Enrollment_date]],"Mmm")</f>
        <v>Apr</v>
      </c>
      <c r="L260" s="4" t="str">
        <f>TEXT(Table2[[#This Row],[Enrollment_date]],"Ddd")</f>
        <v>Tue</v>
      </c>
      <c r="M260" s="4" t="s">
        <v>34</v>
      </c>
      <c r="N260" t="s">
        <v>35</v>
      </c>
      <c r="O260" t="s">
        <v>38</v>
      </c>
      <c r="P260" s="8">
        <v>4</v>
      </c>
      <c r="Q260" s="6">
        <v>0.72916666666666663</v>
      </c>
      <c r="R260" s="6">
        <v>70</v>
      </c>
      <c r="S260" s="6" t="str">
        <f>IF(Table2[[#This Row],[Avg_score]]&gt;=79,"Distinction",IF(Table2[[#This Row],[Avg_score]]&gt;=60,"Pass","Fail"))</f>
        <v>Pass</v>
      </c>
      <c r="T260" t="s">
        <v>40</v>
      </c>
      <c r="U260">
        <f>IF(Table2[[#This Row],[Completed]]="Yes",1,0)</f>
        <v>0</v>
      </c>
      <c r="V260" t="s">
        <v>40</v>
      </c>
      <c r="W260" t="s">
        <v>40</v>
      </c>
      <c r="X260" s="4">
        <v>45838</v>
      </c>
    </row>
    <row r="261" spans="1:24" x14ac:dyDescent="0.3">
      <c r="A261">
        <v>260</v>
      </c>
      <c r="B261" s="8">
        <v>87</v>
      </c>
      <c r="C261">
        <v>2</v>
      </c>
      <c r="D261" t="s">
        <v>19</v>
      </c>
      <c r="E261" t="s">
        <v>22</v>
      </c>
      <c r="F261">
        <v>27</v>
      </c>
      <c r="G261" t="str">
        <f>IF(Table2[[#This Row],[Age]]&gt;=30,"Experienced",IF(Table2[[#This Row],[Age]]&gt;=25,"Mid Level", "Entry Level"))</f>
        <v>Mid Level</v>
      </c>
      <c r="H261" t="s">
        <v>26</v>
      </c>
      <c r="I261" t="s">
        <v>30</v>
      </c>
      <c r="J261" s="4">
        <v>45762</v>
      </c>
      <c r="K261" s="4" t="str">
        <f>TEXT(Table2[[#This Row],[Enrollment_date]],"Mmm")</f>
        <v>Apr</v>
      </c>
      <c r="L261" s="4" t="str">
        <f>TEXT(Table2[[#This Row],[Enrollment_date]],"Ddd")</f>
        <v>Tue</v>
      </c>
      <c r="M261" s="4" t="s">
        <v>34</v>
      </c>
      <c r="N261" t="s">
        <v>36</v>
      </c>
      <c r="O261" t="s">
        <v>38</v>
      </c>
      <c r="P261" s="8">
        <v>4</v>
      </c>
      <c r="Q261" s="6">
        <v>0.83333333333333337</v>
      </c>
      <c r="R261" s="6">
        <v>51</v>
      </c>
      <c r="S261" s="6" t="str">
        <f>IF(Table2[[#This Row],[Avg_score]]&gt;=79,"Distinction",IF(Table2[[#This Row],[Avg_score]]&gt;=60,"Pass","Fail"))</f>
        <v>Fail</v>
      </c>
      <c r="T261" t="s">
        <v>40</v>
      </c>
      <c r="U261">
        <f>IF(Table2[[#This Row],[Completed]]="Yes",1,0)</f>
        <v>0</v>
      </c>
      <c r="V261" t="s">
        <v>40</v>
      </c>
      <c r="W261" t="s">
        <v>40</v>
      </c>
      <c r="X261" s="4">
        <v>45838</v>
      </c>
    </row>
    <row r="262" spans="1:24" x14ac:dyDescent="0.3">
      <c r="A262">
        <v>261</v>
      </c>
      <c r="B262" s="8">
        <v>87</v>
      </c>
      <c r="C262">
        <v>3</v>
      </c>
      <c r="D262" t="s">
        <v>19</v>
      </c>
      <c r="E262" t="s">
        <v>22</v>
      </c>
      <c r="F262">
        <v>27</v>
      </c>
      <c r="G262" t="str">
        <f>IF(Table2[[#This Row],[Age]]&gt;=30,"Experienced",IF(Table2[[#This Row],[Age]]&gt;=25,"Mid Level", "Entry Level"))</f>
        <v>Mid Level</v>
      </c>
      <c r="H262" t="s">
        <v>26</v>
      </c>
      <c r="I262" t="s">
        <v>30</v>
      </c>
      <c r="J262" s="4">
        <v>45762</v>
      </c>
      <c r="K262" s="4" t="str">
        <f>TEXT(Table2[[#This Row],[Enrollment_date]],"Mmm")</f>
        <v>Apr</v>
      </c>
      <c r="L262" s="4" t="str">
        <f>TEXT(Table2[[#This Row],[Enrollment_date]],"Ddd")</f>
        <v>Tue</v>
      </c>
      <c r="M262" s="4" t="s">
        <v>34</v>
      </c>
      <c r="N262" t="s">
        <v>37</v>
      </c>
      <c r="O262" t="s">
        <v>38</v>
      </c>
      <c r="P262" s="8">
        <v>4</v>
      </c>
      <c r="Q262" s="6">
        <v>0.89583333333333337</v>
      </c>
      <c r="R262" s="6">
        <v>75</v>
      </c>
      <c r="S262" s="6" t="str">
        <f>IF(Table2[[#This Row],[Avg_score]]&gt;=79,"Distinction",IF(Table2[[#This Row],[Avg_score]]&gt;=60,"Pass","Fail"))</f>
        <v>Pass</v>
      </c>
      <c r="T262" t="s">
        <v>40</v>
      </c>
      <c r="U262">
        <f>IF(Table2[[#This Row],[Completed]]="Yes",1,0)</f>
        <v>0</v>
      </c>
      <c r="V262" t="s">
        <v>40</v>
      </c>
      <c r="W262" t="s">
        <v>40</v>
      </c>
      <c r="X262" s="4">
        <v>45838</v>
      </c>
    </row>
    <row r="263" spans="1:24" x14ac:dyDescent="0.3">
      <c r="A263">
        <v>262</v>
      </c>
      <c r="B263" s="8">
        <v>88</v>
      </c>
      <c r="C263">
        <v>1</v>
      </c>
      <c r="D263" t="s">
        <v>20</v>
      </c>
      <c r="E263" t="s">
        <v>23</v>
      </c>
      <c r="F263">
        <v>30</v>
      </c>
      <c r="G263" t="str">
        <f>IF(Table2[[#This Row],[Age]]&gt;=30,"Experienced",IF(Table2[[#This Row],[Age]]&gt;=25,"Mid Level", "Entry Level"))</f>
        <v>Experienced</v>
      </c>
      <c r="H263" t="s">
        <v>24</v>
      </c>
      <c r="I263" t="s">
        <v>30</v>
      </c>
      <c r="J263" s="4">
        <v>45799</v>
      </c>
      <c r="K263" s="4" t="str">
        <f>TEXT(Table2[[#This Row],[Enrollment_date]],"Mmm")</f>
        <v>May</v>
      </c>
      <c r="L263" s="4" t="str">
        <f>TEXT(Table2[[#This Row],[Enrollment_date]],"Ddd")</f>
        <v>Thu</v>
      </c>
      <c r="M263" s="4" t="s">
        <v>34</v>
      </c>
      <c r="N263" t="s">
        <v>35</v>
      </c>
      <c r="O263" t="s">
        <v>38</v>
      </c>
      <c r="P263" s="8">
        <v>4</v>
      </c>
      <c r="Q263" s="6">
        <v>0.72916666666666663</v>
      </c>
      <c r="R263" s="6">
        <v>78.5</v>
      </c>
      <c r="S263" s="6" t="str">
        <f>IF(Table2[[#This Row],[Avg_score]]&gt;=79,"Distinction",IF(Table2[[#This Row],[Avg_score]]&gt;=60,"Pass","Fail"))</f>
        <v>Pass</v>
      </c>
      <c r="T263" t="s">
        <v>39</v>
      </c>
      <c r="U263">
        <f>IF(Table2[[#This Row],[Completed]]="Yes",1,0)</f>
        <v>1</v>
      </c>
      <c r="V263" t="s">
        <v>40</v>
      </c>
      <c r="W263" t="s">
        <v>39</v>
      </c>
      <c r="X263" s="4">
        <v>45838</v>
      </c>
    </row>
    <row r="264" spans="1:24" x14ac:dyDescent="0.3">
      <c r="A264">
        <v>263</v>
      </c>
      <c r="B264" s="8">
        <v>88</v>
      </c>
      <c r="C264">
        <v>2</v>
      </c>
      <c r="D264" t="s">
        <v>21</v>
      </c>
      <c r="E264" t="s">
        <v>23</v>
      </c>
      <c r="F264">
        <v>30</v>
      </c>
      <c r="G264" t="str">
        <f>IF(Table2[[#This Row],[Age]]&gt;=30,"Experienced",IF(Table2[[#This Row],[Age]]&gt;=25,"Mid Level", "Entry Level"))</f>
        <v>Experienced</v>
      </c>
      <c r="H264" t="s">
        <v>24</v>
      </c>
      <c r="I264" t="s">
        <v>30</v>
      </c>
      <c r="J264" s="4">
        <v>45799</v>
      </c>
      <c r="K264" s="4" t="str">
        <f>TEXT(Table2[[#This Row],[Enrollment_date]],"Mmm")</f>
        <v>May</v>
      </c>
      <c r="L264" s="4" t="str">
        <f>TEXT(Table2[[#This Row],[Enrollment_date]],"Ddd")</f>
        <v>Thu</v>
      </c>
      <c r="M264" s="4" t="s">
        <v>34</v>
      </c>
      <c r="N264" t="s">
        <v>36</v>
      </c>
      <c r="O264" t="s">
        <v>38</v>
      </c>
      <c r="P264" s="8">
        <v>4</v>
      </c>
      <c r="Q264" s="6">
        <v>0.91666666666666663</v>
      </c>
      <c r="R264" s="6">
        <v>67.5</v>
      </c>
      <c r="S264" s="6" t="str">
        <f>IF(Table2[[#This Row],[Avg_score]]&gt;=79,"Distinction",IF(Table2[[#This Row],[Avg_score]]&gt;=60,"Pass","Fail"))</f>
        <v>Pass</v>
      </c>
      <c r="T264" t="s">
        <v>39</v>
      </c>
      <c r="U264">
        <f>IF(Table2[[#This Row],[Completed]]="Yes",1,0)</f>
        <v>1</v>
      </c>
      <c r="V264" t="s">
        <v>40</v>
      </c>
      <c r="W264" t="s">
        <v>39</v>
      </c>
      <c r="X264" s="4">
        <v>45838</v>
      </c>
    </row>
    <row r="265" spans="1:24" x14ac:dyDescent="0.3">
      <c r="A265">
        <v>264</v>
      </c>
      <c r="B265" s="8">
        <v>88</v>
      </c>
      <c r="C265">
        <v>3</v>
      </c>
      <c r="D265" t="s">
        <v>19</v>
      </c>
      <c r="E265" t="s">
        <v>23</v>
      </c>
      <c r="F265">
        <v>30</v>
      </c>
      <c r="G265" t="str">
        <f>IF(Table2[[#This Row],[Age]]&gt;=30,"Experienced",IF(Table2[[#This Row],[Age]]&gt;=25,"Mid Level", "Entry Level"))</f>
        <v>Experienced</v>
      </c>
      <c r="H265" t="s">
        <v>24</v>
      </c>
      <c r="I265" t="s">
        <v>30</v>
      </c>
      <c r="J265" s="4">
        <v>45799</v>
      </c>
      <c r="K265" s="4" t="str">
        <f>TEXT(Table2[[#This Row],[Enrollment_date]],"Mmm")</f>
        <v>May</v>
      </c>
      <c r="L265" s="4" t="str">
        <f>TEXT(Table2[[#This Row],[Enrollment_date]],"Ddd")</f>
        <v>Thu</v>
      </c>
      <c r="M265" s="4" t="s">
        <v>34</v>
      </c>
      <c r="N265" t="s">
        <v>37</v>
      </c>
      <c r="O265" t="s">
        <v>38</v>
      </c>
      <c r="P265" s="8">
        <v>4</v>
      </c>
      <c r="Q265" s="6">
        <v>0.8125</v>
      </c>
      <c r="R265" s="6">
        <v>74.5</v>
      </c>
      <c r="S265" s="6" t="str">
        <f>IF(Table2[[#This Row],[Avg_score]]&gt;=79,"Distinction",IF(Table2[[#This Row],[Avg_score]]&gt;=60,"Pass","Fail"))</f>
        <v>Pass</v>
      </c>
      <c r="T265" t="s">
        <v>39</v>
      </c>
      <c r="U265">
        <f>IF(Table2[[#This Row],[Completed]]="Yes",1,0)</f>
        <v>1</v>
      </c>
      <c r="V265" t="s">
        <v>40</v>
      </c>
      <c r="W265" t="s">
        <v>39</v>
      </c>
      <c r="X265" s="4">
        <v>45838</v>
      </c>
    </row>
    <row r="266" spans="1:24" x14ac:dyDescent="0.3">
      <c r="A266">
        <v>265</v>
      </c>
      <c r="B266" s="8">
        <v>89</v>
      </c>
      <c r="C266">
        <v>1</v>
      </c>
      <c r="D266" t="s">
        <v>21</v>
      </c>
      <c r="E266" t="s">
        <v>22</v>
      </c>
      <c r="F266">
        <v>24</v>
      </c>
      <c r="G266" t="str">
        <f>IF(Table2[[#This Row],[Age]]&gt;=30,"Experienced",IF(Table2[[#This Row],[Age]]&gt;=25,"Mid Level", "Entry Level"))</f>
        <v>Entry Level</v>
      </c>
      <c r="H266" t="s">
        <v>27</v>
      </c>
      <c r="I266" t="s">
        <v>44</v>
      </c>
      <c r="J266" s="4">
        <v>45702</v>
      </c>
      <c r="K266" s="4" t="str">
        <f>TEXT(Table2[[#This Row],[Enrollment_date]],"Mmm")</f>
        <v>Feb</v>
      </c>
      <c r="L266" s="4" t="str">
        <f>TEXT(Table2[[#This Row],[Enrollment_date]],"Ddd")</f>
        <v>Fri</v>
      </c>
      <c r="M266" s="4" t="s">
        <v>34</v>
      </c>
      <c r="N266" t="s">
        <v>35</v>
      </c>
      <c r="O266" t="s">
        <v>38</v>
      </c>
      <c r="P266" s="8">
        <v>4</v>
      </c>
      <c r="Q266" s="6">
        <v>0.85416666666666663</v>
      </c>
      <c r="R266" s="6">
        <v>88.5</v>
      </c>
      <c r="S266" s="6" t="str">
        <f>IF(Table2[[#This Row],[Avg_score]]&gt;=79,"Distinction",IF(Table2[[#This Row],[Avg_score]]&gt;=60,"Pass","Fail"))</f>
        <v>Distinction</v>
      </c>
      <c r="T266" t="s">
        <v>39</v>
      </c>
      <c r="U266">
        <f>IF(Table2[[#This Row],[Completed]]="Yes",1,0)</f>
        <v>1</v>
      </c>
      <c r="V266" t="s">
        <v>39</v>
      </c>
      <c r="W266" t="s">
        <v>39</v>
      </c>
      <c r="X266" s="4">
        <v>45838</v>
      </c>
    </row>
    <row r="267" spans="1:24" x14ac:dyDescent="0.3">
      <c r="A267">
        <v>266</v>
      </c>
      <c r="B267" s="8">
        <v>89</v>
      </c>
      <c r="C267">
        <v>2</v>
      </c>
      <c r="D267" t="s">
        <v>19</v>
      </c>
      <c r="E267" t="s">
        <v>22</v>
      </c>
      <c r="F267">
        <v>24</v>
      </c>
      <c r="G267" t="str">
        <f>IF(Table2[[#This Row],[Age]]&gt;=30,"Experienced",IF(Table2[[#This Row],[Age]]&gt;=25,"Mid Level", "Entry Level"))</f>
        <v>Entry Level</v>
      </c>
      <c r="H267" t="s">
        <v>27</v>
      </c>
      <c r="I267" t="s">
        <v>44</v>
      </c>
      <c r="J267" s="4">
        <v>45702</v>
      </c>
      <c r="K267" s="4" t="str">
        <f>TEXT(Table2[[#This Row],[Enrollment_date]],"Mmm")</f>
        <v>Feb</v>
      </c>
      <c r="L267" s="4" t="str">
        <f>TEXT(Table2[[#This Row],[Enrollment_date]],"Ddd")</f>
        <v>Fri</v>
      </c>
      <c r="M267" s="4" t="s">
        <v>34</v>
      </c>
      <c r="N267" t="s">
        <v>36</v>
      </c>
      <c r="O267" t="s">
        <v>38</v>
      </c>
      <c r="P267" s="8">
        <v>4</v>
      </c>
      <c r="Q267" s="6">
        <v>0.77083333333333337</v>
      </c>
      <c r="R267" s="6">
        <v>66.5</v>
      </c>
      <c r="S267" s="6" t="str">
        <f>IF(Table2[[#This Row],[Avg_score]]&gt;=79,"Distinction",IF(Table2[[#This Row],[Avg_score]]&gt;=60,"Pass","Fail"))</f>
        <v>Pass</v>
      </c>
      <c r="T267" t="s">
        <v>39</v>
      </c>
      <c r="U267">
        <f>IF(Table2[[#This Row],[Completed]]="Yes",1,0)</f>
        <v>1</v>
      </c>
      <c r="V267" t="s">
        <v>39</v>
      </c>
      <c r="W267" t="s">
        <v>39</v>
      </c>
      <c r="X267" s="4">
        <v>45838</v>
      </c>
    </row>
    <row r="268" spans="1:24" x14ac:dyDescent="0.3">
      <c r="A268">
        <v>267</v>
      </c>
      <c r="B268" s="8">
        <v>89</v>
      </c>
      <c r="C268">
        <v>3</v>
      </c>
      <c r="D268" t="s">
        <v>19</v>
      </c>
      <c r="E268" t="s">
        <v>22</v>
      </c>
      <c r="F268">
        <v>24</v>
      </c>
      <c r="G268" t="str">
        <f>IF(Table2[[#This Row],[Age]]&gt;=30,"Experienced",IF(Table2[[#This Row],[Age]]&gt;=25,"Mid Level", "Entry Level"))</f>
        <v>Entry Level</v>
      </c>
      <c r="H268" t="s">
        <v>27</v>
      </c>
      <c r="I268" t="s">
        <v>44</v>
      </c>
      <c r="J268" s="4">
        <v>45702</v>
      </c>
      <c r="K268" s="4" t="str">
        <f>TEXT(Table2[[#This Row],[Enrollment_date]],"Mmm")</f>
        <v>Feb</v>
      </c>
      <c r="L268" s="4" t="str">
        <f>TEXT(Table2[[#This Row],[Enrollment_date]],"Ddd")</f>
        <v>Fri</v>
      </c>
      <c r="M268" s="4" t="s">
        <v>34</v>
      </c>
      <c r="N268" t="s">
        <v>37</v>
      </c>
      <c r="O268" t="s">
        <v>38</v>
      </c>
      <c r="P268" s="8">
        <v>4</v>
      </c>
      <c r="Q268" s="6">
        <v>0.9375</v>
      </c>
      <c r="R268" s="6">
        <v>62</v>
      </c>
      <c r="S268" s="6" t="str">
        <f>IF(Table2[[#This Row],[Avg_score]]&gt;=79,"Distinction",IF(Table2[[#This Row],[Avg_score]]&gt;=60,"Pass","Fail"))</f>
        <v>Pass</v>
      </c>
      <c r="T268" t="s">
        <v>39</v>
      </c>
      <c r="U268">
        <f>IF(Table2[[#This Row],[Completed]]="Yes",1,0)</f>
        <v>1</v>
      </c>
      <c r="V268" t="s">
        <v>39</v>
      </c>
      <c r="W268" t="s">
        <v>39</v>
      </c>
      <c r="X268" s="4">
        <v>45838</v>
      </c>
    </row>
    <row r="269" spans="1:24" x14ac:dyDescent="0.3">
      <c r="A269">
        <v>268</v>
      </c>
      <c r="B269" s="8">
        <v>90</v>
      </c>
      <c r="C269">
        <v>1</v>
      </c>
      <c r="D269" t="s">
        <v>19</v>
      </c>
      <c r="E269" t="s">
        <v>23</v>
      </c>
      <c r="F269">
        <v>30</v>
      </c>
      <c r="G269" t="str">
        <f>IF(Table2[[#This Row],[Age]]&gt;=30,"Experienced",IF(Table2[[#This Row],[Age]]&gt;=25,"Mid Level", "Entry Level"))</f>
        <v>Experienced</v>
      </c>
      <c r="H269" t="s">
        <v>26</v>
      </c>
      <c r="I269" t="s">
        <v>68</v>
      </c>
      <c r="J269" s="4">
        <v>45735</v>
      </c>
      <c r="K269" s="4" t="str">
        <f>TEXT(Table2[[#This Row],[Enrollment_date]],"Mmm")</f>
        <v>Mar</v>
      </c>
      <c r="L269" s="4" t="str">
        <f>TEXT(Table2[[#This Row],[Enrollment_date]],"Ddd")</f>
        <v>Wed</v>
      </c>
      <c r="M269" s="4" t="s">
        <v>34</v>
      </c>
      <c r="N269" t="s">
        <v>35</v>
      </c>
      <c r="O269" t="s">
        <v>38</v>
      </c>
      <c r="P269" s="8">
        <v>4</v>
      </c>
      <c r="Q269" s="6">
        <v>0.875</v>
      </c>
      <c r="R269" s="6">
        <v>76</v>
      </c>
      <c r="S269" s="6" t="str">
        <f>IF(Table2[[#This Row],[Avg_score]]&gt;=79,"Distinction",IF(Table2[[#This Row],[Avg_score]]&gt;=60,"Pass","Fail"))</f>
        <v>Pass</v>
      </c>
      <c r="T269" t="s">
        <v>39</v>
      </c>
      <c r="U269">
        <f>IF(Table2[[#This Row],[Completed]]="Yes",1,0)</f>
        <v>1</v>
      </c>
      <c r="V269" t="s">
        <v>39</v>
      </c>
      <c r="W269" t="s">
        <v>40</v>
      </c>
      <c r="X269" s="4">
        <v>45838</v>
      </c>
    </row>
    <row r="270" spans="1:24" x14ac:dyDescent="0.3">
      <c r="A270">
        <v>269</v>
      </c>
      <c r="B270" s="8">
        <v>90</v>
      </c>
      <c r="C270">
        <v>2</v>
      </c>
      <c r="D270" t="s">
        <v>19</v>
      </c>
      <c r="E270" t="s">
        <v>23</v>
      </c>
      <c r="F270">
        <v>30</v>
      </c>
      <c r="G270" t="str">
        <f>IF(Table2[[#This Row],[Age]]&gt;=30,"Experienced",IF(Table2[[#This Row],[Age]]&gt;=25,"Mid Level", "Entry Level"))</f>
        <v>Experienced</v>
      </c>
      <c r="H270" t="s">
        <v>26</v>
      </c>
      <c r="I270" t="s">
        <v>68</v>
      </c>
      <c r="J270" s="4">
        <v>45735</v>
      </c>
      <c r="K270" s="4" t="str">
        <f>TEXT(Table2[[#This Row],[Enrollment_date]],"Mmm")</f>
        <v>Mar</v>
      </c>
      <c r="L270" s="4" t="str">
        <f>TEXT(Table2[[#This Row],[Enrollment_date]],"Ddd")</f>
        <v>Wed</v>
      </c>
      <c r="M270" s="4" t="s">
        <v>34</v>
      </c>
      <c r="N270" t="s">
        <v>36</v>
      </c>
      <c r="O270" t="s">
        <v>38</v>
      </c>
      <c r="P270" s="8">
        <v>4</v>
      </c>
      <c r="Q270" s="6">
        <v>0.77083333333333337</v>
      </c>
      <c r="R270" s="6">
        <v>65.5</v>
      </c>
      <c r="S270" s="6" t="str">
        <f>IF(Table2[[#This Row],[Avg_score]]&gt;=79,"Distinction",IF(Table2[[#This Row],[Avg_score]]&gt;=60,"Pass","Fail"))</f>
        <v>Pass</v>
      </c>
      <c r="T270" t="s">
        <v>39</v>
      </c>
      <c r="U270">
        <f>IF(Table2[[#This Row],[Completed]]="Yes",1,0)</f>
        <v>1</v>
      </c>
      <c r="V270" t="s">
        <v>39</v>
      </c>
      <c r="W270" t="s">
        <v>40</v>
      </c>
      <c r="X270" s="4">
        <v>45838</v>
      </c>
    </row>
    <row r="271" spans="1:24" x14ac:dyDescent="0.3">
      <c r="A271">
        <v>270</v>
      </c>
      <c r="B271" s="8">
        <v>90</v>
      </c>
      <c r="C271">
        <v>3</v>
      </c>
      <c r="D271" t="s">
        <v>21</v>
      </c>
      <c r="E271" t="s">
        <v>23</v>
      </c>
      <c r="F271">
        <v>30</v>
      </c>
      <c r="G271" t="str">
        <f>IF(Table2[[#This Row],[Age]]&gt;=30,"Experienced",IF(Table2[[#This Row],[Age]]&gt;=25,"Mid Level", "Entry Level"))</f>
        <v>Experienced</v>
      </c>
      <c r="H271" t="s">
        <v>26</v>
      </c>
      <c r="I271" t="s">
        <v>68</v>
      </c>
      <c r="J271" s="4">
        <v>45735</v>
      </c>
      <c r="K271" s="4" t="str">
        <f>TEXT(Table2[[#This Row],[Enrollment_date]],"Mmm")</f>
        <v>Mar</v>
      </c>
      <c r="L271" s="4" t="str">
        <f>TEXT(Table2[[#This Row],[Enrollment_date]],"Ddd")</f>
        <v>Wed</v>
      </c>
      <c r="M271" s="4" t="s">
        <v>34</v>
      </c>
      <c r="N271" t="s">
        <v>37</v>
      </c>
      <c r="O271" t="s">
        <v>38</v>
      </c>
      <c r="P271" s="8">
        <v>4</v>
      </c>
      <c r="Q271" s="6">
        <v>0.89583333333333337</v>
      </c>
      <c r="R271" s="6">
        <v>63</v>
      </c>
      <c r="S271" s="6" t="str">
        <f>IF(Table2[[#This Row],[Avg_score]]&gt;=79,"Distinction",IF(Table2[[#This Row],[Avg_score]]&gt;=60,"Pass","Fail"))</f>
        <v>Pass</v>
      </c>
      <c r="T271" t="s">
        <v>39</v>
      </c>
      <c r="U271">
        <f>IF(Table2[[#This Row],[Completed]]="Yes",1,0)</f>
        <v>1</v>
      </c>
      <c r="V271" t="s">
        <v>39</v>
      </c>
      <c r="W271" t="s">
        <v>40</v>
      </c>
      <c r="X271" s="4">
        <v>45838</v>
      </c>
    </row>
    <row r="272" spans="1:24" x14ac:dyDescent="0.3">
      <c r="A272">
        <v>271</v>
      </c>
      <c r="B272" s="8">
        <v>91</v>
      </c>
      <c r="C272">
        <v>1</v>
      </c>
      <c r="D272" t="s">
        <v>19</v>
      </c>
      <c r="E272" t="s">
        <v>23</v>
      </c>
      <c r="F272">
        <v>24</v>
      </c>
      <c r="G272" t="str">
        <f>IF(Table2[[#This Row],[Age]]&gt;=30,"Experienced",IF(Table2[[#This Row],[Age]]&gt;=25,"Mid Level", "Entry Level"))</f>
        <v>Entry Level</v>
      </c>
      <c r="H272" t="s">
        <v>27</v>
      </c>
      <c r="I272" t="s">
        <v>30</v>
      </c>
      <c r="J272" s="4">
        <v>45777</v>
      </c>
      <c r="K272" s="4" t="str">
        <f>TEXT(Table2[[#This Row],[Enrollment_date]],"Mmm")</f>
        <v>Apr</v>
      </c>
      <c r="L272" s="4" t="str">
        <f>TEXT(Table2[[#This Row],[Enrollment_date]],"Ddd")</f>
        <v>Wed</v>
      </c>
      <c r="M272" s="4" t="s">
        <v>34</v>
      </c>
      <c r="N272" t="s">
        <v>35</v>
      </c>
      <c r="O272" t="s">
        <v>38</v>
      </c>
      <c r="P272" s="8">
        <v>4</v>
      </c>
      <c r="Q272" s="6">
        <v>0.89583333333333337</v>
      </c>
      <c r="R272" s="6">
        <v>56.5</v>
      </c>
      <c r="S272" s="6" t="str">
        <f>IF(Table2[[#This Row],[Avg_score]]&gt;=79,"Distinction",IF(Table2[[#This Row],[Avg_score]]&gt;=60,"Pass","Fail"))</f>
        <v>Fail</v>
      </c>
      <c r="T272" t="s">
        <v>39</v>
      </c>
      <c r="U272">
        <f>IF(Table2[[#This Row],[Completed]]="Yes",1,0)</f>
        <v>1</v>
      </c>
      <c r="V272" t="s">
        <v>39</v>
      </c>
      <c r="W272" t="s">
        <v>40</v>
      </c>
      <c r="X272" s="4">
        <v>45838</v>
      </c>
    </row>
    <row r="273" spans="1:24" x14ac:dyDescent="0.3">
      <c r="A273">
        <v>272</v>
      </c>
      <c r="B273" s="8">
        <v>91</v>
      </c>
      <c r="C273">
        <v>2</v>
      </c>
      <c r="D273" t="s">
        <v>21</v>
      </c>
      <c r="E273" t="s">
        <v>23</v>
      </c>
      <c r="F273">
        <v>24</v>
      </c>
      <c r="G273" t="str">
        <f>IF(Table2[[#This Row],[Age]]&gt;=30,"Experienced",IF(Table2[[#This Row],[Age]]&gt;=25,"Mid Level", "Entry Level"))</f>
        <v>Entry Level</v>
      </c>
      <c r="H273" t="s">
        <v>27</v>
      </c>
      <c r="I273" t="s">
        <v>30</v>
      </c>
      <c r="J273" s="4">
        <v>45777</v>
      </c>
      <c r="K273" s="4" t="str">
        <f>TEXT(Table2[[#This Row],[Enrollment_date]],"Mmm")</f>
        <v>Apr</v>
      </c>
      <c r="L273" s="4" t="str">
        <f>TEXT(Table2[[#This Row],[Enrollment_date]],"Ddd")</f>
        <v>Wed</v>
      </c>
      <c r="M273" s="4" t="s">
        <v>34</v>
      </c>
      <c r="N273" t="s">
        <v>36</v>
      </c>
      <c r="O273" t="s">
        <v>38</v>
      </c>
      <c r="P273" s="8">
        <v>4</v>
      </c>
      <c r="Q273" s="6">
        <v>0.875</v>
      </c>
      <c r="R273" s="6">
        <v>57.5</v>
      </c>
      <c r="S273" s="6" t="str">
        <f>IF(Table2[[#This Row],[Avg_score]]&gt;=79,"Distinction",IF(Table2[[#This Row],[Avg_score]]&gt;=60,"Pass","Fail"))</f>
        <v>Fail</v>
      </c>
      <c r="T273" t="s">
        <v>39</v>
      </c>
      <c r="U273">
        <f>IF(Table2[[#This Row],[Completed]]="Yes",1,0)</f>
        <v>1</v>
      </c>
      <c r="V273" t="s">
        <v>39</v>
      </c>
      <c r="W273" t="s">
        <v>40</v>
      </c>
      <c r="X273" s="4">
        <v>45838</v>
      </c>
    </row>
    <row r="274" spans="1:24" x14ac:dyDescent="0.3">
      <c r="A274">
        <v>273</v>
      </c>
      <c r="B274" s="8">
        <v>91</v>
      </c>
      <c r="C274">
        <v>3</v>
      </c>
      <c r="D274" t="s">
        <v>21</v>
      </c>
      <c r="E274" t="s">
        <v>23</v>
      </c>
      <c r="F274">
        <v>24</v>
      </c>
      <c r="G274" t="str">
        <f>IF(Table2[[#This Row],[Age]]&gt;=30,"Experienced",IF(Table2[[#This Row],[Age]]&gt;=25,"Mid Level", "Entry Level"))</f>
        <v>Entry Level</v>
      </c>
      <c r="H274" t="s">
        <v>27</v>
      </c>
      <c r="I274" t="s">
        <v>30</v>
      </c>
      <c r="J274" s="4">
        <v>45777</v>
      </c>
      <c r="K274" s="4" t="str">
        <f>TEXT(Table2[[#This Row],[Enrollment_date]],"Mmm")</f>
        <v>Apr</v>
      </c>
      <c r="L274" s="4" t="str">
        <f>TEXT(Table2[[#This Row],[Enrollment_date]],"Ddd")</f>
        <v>Wed</v>
      </c>
      <c r="M274" s="4" t="s">
        <v>34</v>
      </c>
      <c r="N274" t="s">
        <v>37</v>
      </c>
      <c r="O274" t="s">
        <v>38</v>
      </c>
      <c r="P274" s="8">
        <v>4</v>
      </c>
      <c r="Q274" s="6">
        <v>0.8125</v>
      </c>
      <c r="R274" s="6">
        <v>62</v>
      </c>
      <c r="S274" s="6" t="str">
        <f>IF(Table2[[#This Row],[Avg_score]]&gt;=79,"Distinction",IF(Table2[[#This Row],[Avg_score]]&gt;=60,"Pass","Fail"))</f>
        <v>Pass</v>
      </c>
      <c r="T274" t="s">
        <v>39</v>
      </c>
      <c r="U274">
        <f>IF(Table2[[#This Row],[Completed]]="Yes",1,0)</f>
        <v>1</v>
      </c>
      <c r="V274" t="s">
        <v>39</v>
      </c>
      <c r="W274" t="s">
        <v>40</v>
      </c>
      <c r="X274" s="4">
        <v>45838</v>
      </c>
    </row>
    <row r="275" spans="1:24" x14ac:dyDescent="0.3">
      <c r="A275">
        <v>274</v>
      </c>
      <c r="B275" s="8">
        <v>92</v>
      </c>
      <c r="C275">
        <v>1</v>
      </c>
      <c r="D275" t="s">
        <v>19</v>
      </c>
      <c r="E275" t="s">
        <v>23</v>
      </c>
      <c r="F275">
        <v>32</v>
      </c>
      <c r="G275" t="str">
        <f>IF(Table2[[#This Row],[Age]]&gt;=30,"Experienced",IF(Table2[[#This Row],[Age]]&gt;=25,"Mid Level", "Entry Level"))</f>
        <v>Experienced</v>
      </c>
      <c r="H275" t="s">
        <v>24</v>
      </c>
      <c r="I275" t="s">
        <v>32</v>
      </c>
      <c r="J275" s="4">
        <v>45788</v>
      </c>
      <c r="K275" s="4" t="str">
        <f>TEXT(Table2[[#This Row],[Enrollment_date]],"Mmm")</f>
        <v>May</v>
      </c>
      <c r="L275" s="4" t="str">
        <f>TEXT(Table2[[#This Row],[Enrollment_date]],"Ddd")</f>
        <v>Sun</v>
      </c>
      <c r="M275" s="4" t="s">
        <v>34</v>
      </c>
      <c r="N275" t="s">
        <v>35</v>
      </c>
      <c r="O275" t="s">
        <v>38</v>
      </c>
      <c r="P275" s="8">
        <v>4</v>
      </c>
      <c r="Q275" s="6">
        <v>0.72916666666666663</v>
      </c>
      <c r="R275" s="6">
        <v>77</v>
      </c>
      <c r="S275" s="6" t="str">
        <f>IF(Table2[[#This Row],[Avg_score]]&gt;=79,"Distinction",IF(Table2[[#This Row],[Avg_score]]&gt;=60,"Pass","Fail"))</f>
        <v>Pass</v>
      </c>
      <c r="T275" t="s">
        <v>40</v>
      </c>
      <c r="U275">
        <f>IF(Table2[[#This Row],[Completed]]="Yes",1,0)</f>
        <v>0</v>
      </c>
      <c r="V275" t="s">
        <v>40</v>
      </c>
      <c r="W275" t="s">
        <v>40</v>
      </c>
      <c r="X275" s="4">
        <v>45838</v>
      </c>
    </row>
    <row r="276" spans="1:24" x14ac:dyDescent="0.3">
      <c r="A276">
        <v>275</v>
      </c>
      <c r="B276" s="8">
        <v>92</v>
      </c>
      <c r="C276">
        <v>2</v>
      </c>
      <c r="D276" t="s">
        <v>19</v>
      </c>
      <c r="E276" t="s">
        <v>23</v>
      </c>
      <c r="F276">
        <v>32</v>
      </c>
      <c r="G276" t="str">
        <f>IF(Table2[[#This Row],[Age]]&gt;=30,"Experienced",IF(Table2[[#This Row],[Age]]&gt;=25,"Mid Level", "Entry Level"))</f>
        <v>Experienced</v>
      </c>
      <c r="H276" t="s">
        <v>24</v>
      </c>
      <c r="I276" t="s">
        <v>32</v>
      </c>
      <c r="J276" s="4">
        <v>45788</v>
      </c>
      <c r="K276" s="4" t="str">
        <f>TEXT(Table2[[#This Row],[Enrollment_date]],"Mmm")</f>
        <v>May</v>
      </c>
      <c r="L276" s="4" t="str">
        <f>TEXT(Table2[[#This Row],[Enrollment_date]],"Ddd")</f>
        <v>Sun</v>
      </c>
      <c r="M276" s="4" t="s">
        <v>34</v>
      </c>
      <c r="N276" t="s">
        <v>36</v>
      </c>
      <c r="O276" t="s">
        <v>38</v>
      </c>
      <c r="P276" s="8">
        <v>4</v>
      </c>
      <c r="Q276" s="6">
        <v>0.8125</v>
      </c>
      <c r="R276" s="6">
        <v>63</v>
      </c>
      <c r="S276" s="6" t="str">
        <f>IF(Table2[[#This Row],[Avg_score]]&gt;=79,"Distinction",IF(Table2[[#This Row],[Avg_score]]&gt;=60,"Pass","Fail"))</f>
        <v>Pass</v>
      </c>
      <c r="T276" t="s">
        <v>40</v>
      </c>
      <c r="U276">
        <f>IF(Table2[[#This Row],[Completed]]="Yes",1,0)</f>
        <v>0</v>
      </c>
      <c r="V276" t="s">
        <v>40</v>
      </c>
      <c r="W276" t="s">
        <v>40</v>
      </c>
      <c r="X276" s="4">
        <v>45838</v>
      </c>
    </row>
    <row r="277" spans="1:24" x14ac:dyDescent="0.3">
      <c r="A277">
        <v>276</v>
      </c>
      <c r="B277" s="8">
        <v>92</v>
      </c>
      <c r="C277">
        <v>3</v>
      </c>
      <c r="D277" t="s">
        <v>21</v>
      </c>
      <c r="E277" t="s">
        <v>23</v>
      </c>
      <c r="F277">
        <v>32</v>
      </c>
      <c r="G277" t="str">
        <f>IF(Table2[[#This Row],[Age]]&gt;=30,"Experienced",IF(Table2[[#This Row],[Age]]&gt;=25,"Mid Level", "Entry Level"))</f>
        <v>Experienced</v>
      </c>
      <c r="H277" t="s">
        <v>24</v>
      </c>
      <c r="I277" t="s">
        <v>32</v>
      </c>
      <c r="J277" s="4">
        <v>45788</v>
      </c>
      <c r="K277" s="4" t="str">
        <f>TEXT(Table2[[#This Row],[Enrollment_date]],"Mmm")</f>
        <v>May</v>
      </c>
      <c r="L277" s="4" t="str">
        <f>TEXT(Table2[[#This Row],[Enrollment_date]],"Ddd")</f>
        <v>Sun</v>
      </c>
      <c r="M277" s="4" t="s">
        <v>34</v>
      </c>
      <c r="N277" t="s">
        <v>37</v>
      </c>
      <c r="O277" t="s">
        <v>38</v>
      </c>
      <c r="P277" s="8">
        <v>4</v>
      </c>
      <c r="Q277" s="6">
        <v>0.89583333333333337</v>
      </c>
      <c r="R277" s="6">
        <v>88.5</v>
      </c>
      <c r="S277" s="6" t="str">
        <f>IF(Table2[[#This Row],[Avg_score]]&gt;=79,"Distinction",IF(Table2[[#This Row],[Avg_score]]&gt;=60,"Pass","Fail"))</f>
        <v>Distinction</v>
      </c>
      <c r="T277" t="s">
        <v>40</v>
      </c>
      <c r="U277">
        <f>IF(Table2[[#This Row],[Completed]]="Yes",1,0)</f>
        <v>0</v>
      </c>
      <c r="V277" t="s">
        <v>40</v>
      </c>
      <c r="W277" t="s">
        <v>40</v>
      </c>
      <c r="X277" s="4">
        <v>45838</v>
      </c>
    </row>
    <row r="278" spans="1:24" x14ac:dyDescent="0.3">
      <c r="A278">
        <v>277</v>
      </c>
      <c r="B278" s="8">
        <v>93</v>
      </c>
      <c r="C278">
        <v>1</v>
      </c>
      <c r="D278" t="s">
        <v>19</v>
      </c>
      <c r="E278" t="s">
        <v>23</v>
      </c>
      <c r="F278">
        <v>23</v>
      </c>
      <c r="G278" t="str">
        <f>IF(Table2[[#This Row],[Age]]&gt;=30,"Experienced",IF(Table2[[#This Row],[Age]]&gt;=25,"Mid Level", "Entry Level"))</f>
        <v>Entry Level</v>
      </c>
      <c r="H278" t="s">
        <v>24</v>
      </c>
      <c r="I278" t="s">
        <v>68</v>
      </c>
      <c r="J278" s="4">
        <v>45730</v>
      </c>
      <c r="K278" s="4" t="str">
        <f>TEXT(Table2[[#This Row],[Enrollment_date]],"Mmm")</f>
        <v>Mar</v>
      </c>
      <c r="L278" s="4" t="str">
        <f>TEXT(Table2[[#This Row],[Enrollment_date]],"Ddd")</f>
        <v>Fri</v>
      </c>
      <c r="M278" s="4" t="s">
        <v>34</v>
      </c>
      <c r="N278" t="s">
        <v>35</v>
      </c>
      <c r="O278" t="s">
        <v>38</v>
      </c>
      <c r="P278" s="8">
        <v>4</v>
      </c>
      <c r="Q278" s="6">
        <v>0.8125</v>
      </c>
      <c r="R278" s="6">
        <v>51</v>
      </c>
      <c r="S278" s="6" t="str">
        <f>IF(Table2[[#This Row],[Avg_score]]&gt;=79,"Distinction",IF(Table2[[#This Row],[Avg_score]]&gt;=60,"Pass","Fail"))</f>
        <v>Fail</v>
      </c>
      <c r="T278" t="s">
        <v>39</v>
      </c>
      <c r="U278">
        <f>IF(Table2[[#This Row],[Completed]]="Yes",1,0)</f>
        <v>1</v>
      </c>
      <c r="V278" t="s">
        <v>40</v>
      </c>
      <c r="W278" t="s">
        <v>39</v>
      </c>
      <c r="X278" s="4">
        <v>45838</v>
      </c>
    </row>
    <row r="279" spans="1:24" x14ac:dyDescent="0.3">
      <c r="A279">
        <v>278</v>
      </c>
      <c r="B279" s="8">
        <v>93</v>
      </c>
      <c r="C279">
        <v>2</v>
      </c>
      <c r="D279" t="s">
        <v>20</v>
      </c>
      <c r="E279" t="s">
        <v>23</v>
      </c>
      <c r="F279">
        <v>23</v>
      </c>
      <c r="G279" t="str">
        <f>IF(Table2[[#This Row],[Age]]&gt;=30,"Experienced",IF(Table2[[#This Row],[Age]]&gt;=25,"Mid Level", "Entry Level"))</f>
        <v>Entry Level</v>
      </c>
      <c r="H279" t="s">
        <v>24</v>
      </c>
      <c r="I279" t="s">
        <v>68</v>
      </c>
      <c r="J279" s="4">
        <v>45730</v>
      </c>
      <c r="K279" s="4" t="str">
        <f>TEXT(Table2[[#This Row],[Enrollment_date]],"Mmm")</f>
        <v>Mar</v>
      </c>
      <c r="L279" s="4" t="str">
        <f>TEXT(Table2[[#This Row],[Enrollment_date]],"Ddd")</f>
        <v>Fri</v>
      </c>
      <c r="M279" s="4" t="s">
        <v>34</v>
      </c>
      <c r="N279" t="s">
        <v>36</v>
      </c>
      <c r="O279" t="s">
        <v>38</v>
      </c>
      <c r="P279" s="8">
        <v>4</v>
      </c>
      <c r="Q279" s="6">
        <v>0.875</v>
      </c>
      <c r="R279" s="6">
        <v>68</v>
      </c>
      <c r="S279" s="6" t="str">
        <f>IF(Table2[[#This Row],[Avg_score]]&gt;=79,"Distinction",IF(Table2[[#This Row],[Avg_score]]&gt;=60,"Pass","Fail"))</f>
        <v>Pass</v>
      </c>
      <c r="T279" t="s">
        <v>39</v>
      </c>
      <c r="U279">
        <f>IF(Table2[[#This Row],[Completed]]="Yes",1,0)</f>
        <v>1</v>
      </c>
      <c r="V279" t="s">
        <v>40</v>
      </c>
      <c r="W279" t="s">
        <v>39</v>
      </c>
      <c r="X279" s="4">
        <v>45838</v>
      </c>
    </row>
    <row r="280" spans="1:24" x14ac:dyDescent="0.3">
      <c r="A280">
        <v>279</v>
      </c>
      <c r="B280" s="8">
        <v>93</v>
      </c>
      <c r="C280">
        <v>3</v>
      </c>
      <c r="D280" t="s">
        <v>19</v>
      </c>
      <c r="E280" t="s">
        <v>23</v>
      </c>
      <c r="F280">
        <v>23</v>
      </c>
      <c r="G280" t="str">
        <f>IF(Table2[[#This Row],[Age]]&gt;=30,"Experienced",IF(Table2[[#This Row],[Age]]&gt;=25,"Mid Level", "Entry Level"))</f>
        <v>Entry Level</v>
      </c>
      <c r="H280" t="s">
        <v>24</v>
      </c>
      <c r="I280" t="s">
        <v>68</v>
      </c>
      <c r="J280" s="4">
        <v>45730</v>
      </c>
      <c r="K280" s="4" t="str">
        <f>TEXT(Table2[[#This Row],[Enrollment_date]],"Mmm")</f>
        <v>Mar</v>
      </c>
      <c r="L280" s="4" t="str">
        <f>TEXT(Table2[[#This Row],[Enrollment_date]],"Ddd")</f>
        <v>Fri</v>
      </c>
      <c r="M280" s="4" t="s">
        <v>34</v>
      </c>
      <c r="N280" t="s">
        <v>37</v>
      </c>
      <c r="O280" t="s">
        <v>38</v>
      </c>
      <c r="P280" s="8">
        <v>4</v>
      </c>
      <c r="Q280" s="6">
        <v>0.89583333333333337</v>
      </c>
      <c r="R280" s="6">
        <v>69.5</v>
      </c>
      <c r="S280" s="6" t="str">
        <f>IF(Table2[[#This Row],[Avg_score]]&gt;=79,"Distinction",IF(Table2[[#This Row],[Avg_score]]&gt;=60,"Pass","Fail"))</f>
        <v>Pass</v>
      </c>
      <c r="T280" t="s">
        <v>39</v>
      </c>
      <c r="U280">
        <f>IF(Table2[[#This Row],[Completed]]="Yes",1,0)</f>
        <v>1</v>
      </c>
      <c r="V280" t="s">
        <v>40</v>
      </c>
      <c r="W280" t="s">
        <v>39</v>
      </c>
      <c r="X280" s="4">
        <v>45838</v>
      </c>
    </row>
    <row r="281" spans="1:24" x14ac:dyDescent="0.3">
      <c r="A281">
        <v>280</v>
      </c>
      <c r="B281" s="8">
        <v>94</v>
      </c>
      <c r="C281">
        <v>1</v>
      </c>
      <c r="D281" t="s">
        <v>20</v>
      </c>
      <c r="E281" t="s">
        <v>23</v>
      </c>
      <c r="F281">
        <v>20</v>
      </c>
      <c r="G281" t="str">
        <f>IF(Table2[[#This Row],[Age]]&gt;=30,"Experienced",IF(Table2[[#This Row],[Age]]&gt;=25,"Mid Level", "Entry Level"))</f>
        <v>Entry Level</v>
      </c>
      <c r="H281" t="s">
        <v>28</v>
      </c>
      <c r="I281" t="s">
        <v>30</v>
      </c>
      <c r="J281" s="4">
        <v>45715</v>
      </c>
      <c r="K281" s="4" t="str">
        <f>TEXT(Table2[[#This Row],[Enrollment_date]],"Mmm")</f>
        <v>Feb</v>
      </c>
      <c r="L281" s="4" t="str">
        <f>TEXT(Table2[[#This Row],[Enrollment_date]],"Ddd")</f>
        <v>Thu</v>
      </c>
      <c r="M281" s="4" t="s">
        <v>34</v>
      </c>
      <c r="N281" t="s">
        <v>35</v>
      </c>
      <c r="O281" t="s">
        <v>38</v>
      </c>
      <c r="P281" s="8">
        <v>4</v>
      </c>
      <c r="Q281" s="6">
        <v>0.85416666666666663</v>
      </c>
      <c r="R281" s="6">
        <v>73.5</v>
      </c>
      <c r="S281" s="6" t="str">
        <f>IF(Table2[[#This Row],[Avg_score]]&gt;=79,"Distinction",IF(Table2[[#This Row],[Avg_score]]&gt;=60,"Pass","Fail"))</f>
        <v>Pass</v>
      </c>
      <c r="T281" t="s">
        <v>40</v>
      </c>
      <c r="U281">
        <f>IF(Table2[[#This Row],[Completed]]="Yes",1,0)</f>
        <v>0</v>
      </c>
      <c r="V281" t="s">
        <v>40</v>
      </c>
      <c r="W281" t="s">
        <v>40</v>
      </c>
      <c r="X281" s="4">
        <v>45838</v>
      </c>
    </row>
    <row r="282" spans="1:24" x14ac:dyDescent="0.3">
      <c r="A282">
        <v>281</v>
      </c>
      <c r="B282" s="8">
        <v>94</v>
      </c>
      <c r="C282">
        <v>2</v>
      </c>
      <c r="D282" t="s">
        <v>20</v>
      </c>
      <c r="E282" t="s">
        <v>23</v>
      </c>
      <c r="F282">
        <v>20</v>
      </c>
      <c r="G282" t="str">
        <f>IF(Table2[[#This Row],[Age]]&gt;=30,"Experienced",IF(Table2[[#This Row],[Age]]&gt;=25,"Mid Level", "Entry Level"))</f>
        <v>Entry Level</v>
      </c>
      <c r="H282" t="s">
        <v>28</v>
      </c>
      <c r="I282" t="s">
        <v>30</v>
      </c>
      <c r="J282" s="4">
        <v>45715</v>
      </c>
      <c r="K282" s="4" t="str">
        <f>TEXT(Table2[[#This Row],[Enrollment_date]],"Mmm")</f>
        <v>Feb</v>
      </c>
      <c r="L282" s="4" t="str">
        <f>TEXT(Table2[[#This Row],[Enrollment_date]],"Ddd")</f>
        <v>Thu</v>
      </c>
      <c r="M282" s="4" t="s">
        <v>34</v>
      </c>
      <c r="N282" t="s">
        <v>36</v>
      </c>
      <c r="O282" t="s">
        <v>38</v>
      </c>
      <c r="P282" s="8">
        <v>4</v>
      </c>
      <c r="Q282" s="6">
        <v>0.875</v>
      </c>
      <c r="R282" s="6">
        <v>74.5</v>
      </c>
      <c r="S282" s="6" t="str">
        <f>IF(Table2[[#This Row],[Avg_score]]&gt;=79,"Distinction",IF(Table2[[#This Row],[Avg_score]]&gt;=60,"Pass","Fail"))</f>
        <v>Pass</v>
      </c>
      <c r="T282" t="s">
        <v>40</v>
      </c>
      <c r="U282">
        <f>IF(Table2[[#This Row],[Completed]]="Yes",1,0)</f>
        <v>0</v>
      </c>
      <c r="V282" t="s">
        <v>40</v>
      </c>
      <c r="W282" t="s">
        <v>40</v>
      </c>
      <c r="X282" s="4">
        <v>45838</v>
      </c>
    </row>
    <row r="283" spans="1:24" x14ac:dyDescent="0.3">
      <c r="A283">
        <v>282</v>
      </c>
      <c r="B283" s="8">
        <v>94</v>
      </c>
      <c r="C283">
        <v>3</v>
      </c>
      <c r="D283" t="s">
        <v>19</v>
      </c>
      <c r="E283" t="s">
        <v>23</v>
      </c>
      <c r="F283">
        <v>20</v>
      </c>
      <c r="G283" t="str">
        <f>IF(Table2[[#This Row],[Age]]&gt;=30,"Experienced",IF(Table2[[#This Row],[Age]]&gt;=25,"Mid Level", "Entry Level"))</f>
        <v>Entry Level</v>
      </c>
      <c r="H283" t="s">
        <v>28</v>
      </c>
      <c r="I283" t="s">
        <v>30</v>
      </c>
      <c r="J283" s="4">
        <v>45715</v>
      </c>
      <c r="K283" s="4" t="str">
        <f>TEXT(Table2[[#This Row],[Enrollment_date]],"Mmm")</f>
        <v>Feb</v>
      </c>
      <c r="L283" s="4" t="str">
        <f>TEXT(Table2[[#This Row],[Enrollment_date]],"Ddd")</f>
        <v>Thu</v>
      </c>
      <c r="M283" s="4" t="s">
        <v>34</v>
      </c>
      <c r="N283" t="s">
        <v>37</v>
      </c>
      <c r="O283" t="s">
        <v>38</v>
      </c>
      <c r="P283" s="8">
        <v>4</v>
      </c>
      <c r="Q283" s="6">
        <v>0.89583333333333337</v>
      </c>
      <c r="R283" s="6">
        <v>59</v>
      </c>
      <c r="S283" s="6" t="str">
        <f>IF(Table2[[#This Row],[Avg_score]]&gt;=79,"Distinction",IF(Table2[[#This Row],[Avg_score]]&gt;=60,"Pass","Fail"))</f>
        <v>Fail</v>
      </c>
      <c r="T283" t="s">
        <v>40</v>
      </c>
      <c r="U283">
        <f>IF(Table2[[#This Row],[Completed]]="Yes",1,0)</f>
        <v>0</v>
      </c>
      <c r="V283" t="s">
        <v>40</v>
      </c>
      <c r="W283" t="s">
        <v>40</v>
      </c>
      <c r="X283" s="4">
        <v>45838</v>
      </c>
    </row>
    <row r="284" spans="1:24" x14ac:dyDescent="0.3">
      <c r="A284">
        <v>283</v>
      </c>
      <c r="B284" s="8">
        <v>95</v>
      </c>
      <c r="C284">
        <v>1</v>
      </c>
      <c r="D284" t="s">
        <v>20</v>
      </c>
      <c r="E284" t="s">
        <v>22</v>
      </c>
      <c r="F284">
        <v>22</v>
      </c>
      <c r="G284" t="str">
        <f>IF(Table2[[#This Row],[Age]]&gt;=30,"Experienced",IF(Table2[[#This Row],[Age]]&gt;=25,"Mid Level", "Entry Level"))</f>
        <v>Entry Level</v>
      </c>
      <c r="H284" t="s">
        <v>25</v>
      </c>
      <c r="I284" t="s">
        <v>68</v>
      </c>
      <c r="J284" s="4">
        <v>45720</v>
      </c>
      <c r="K284" s="4" t="str">
        <f>TEXT(Table2[[#This Row],[Enrollment_date]],"Mmm")</f>
        <v>Mar</v>
      </c>
      <c r="L284" s="4" t="str">
        <f>TEXT(Table2[[#This Row],[Enrollment_date]],"Ddd")</f>
        <v>Tue</v>
      </c>
      <c r="M284" s="4" t="s">
        <v>34</v>
      </c>
      <c r="N284" t="s">
        <v>35</v>
      </c>
      <c r="O284" t="s">
        <v>38</v>
      </c>
      <c r="P284" s="8">
        <v>4</v>
      </c>
      <c r="Q284" s="6">
        <v>0.8125</v>
      </c>
      <c r="R284" s="6">
        <v>68</v>
      </c>
      <c r="S284" s="6" t="str">
        <f>IF(Table2[[#This Row],[Avg_score]]&gt;=79,"Distinction",IF(Table2[[#This Row],[Avg_score]]&gt;=60,"Pass","Fail"))</f>
        <v>Pass</v>
      </c>
      <c r="T284" t="s">
        <v>40</v>
      </c>
      <c r="U284">
        <f>IF(Table2[[#This Row],[Completed]]="Yes",1,0)</f>
        <v>0</v>
      </c>
      <c r="V284" t="s">
        <v>40</v>
      </c>
      <c r="W284" t="s">
        <v>40</v>
      </c>
      <c r="X284" s="4">
        <v>45838</v>
      </c>
    </row>
    <row r="285" spans="1:24" x14ac:dyDescent="0.3">
      <c r="A285">
        <v>284</v>
      </c>
      <c r="B285" s="8">
        <v>95</v>
      </c>
      <c r="C285">
        <v>2</v>
      </c>
      <c r="D285" t="s">
        <v>19</v>
      </c>
      <c r="E285" t="s">
        <v>22</v>
      </c>
      <c r="F285">
        <v>22</v>
      </c>
      <c r="G285" t="str">
        <f>IF(Table2[[#This Row],[Age]]&gt;=30,"Experienced",IF(Table2[[#This Row],[Age]]&gt;=25,"Mid Level", "Entry Level"))</f>
        <v>Entry Level</v>
      </c>
      <c r="H285" t="s">
        <v>25</v>
      </c>
      <c r="I285" t="s">
        <v>68</v>
      </c>
      <c r="J285" s="4">
        <v>45720</v>
      </c>
      <c r="K285" s="4" t="str">
        <f>TEXT(Table2[[#This Row],[Enrollment_date]],"Mmm")</f>
        <v>Mar</v>
      </c>
      <c r="L285" s="4" t="str">
        <f>TEXT(Table2[[#This Row],[Enrollment_date]],"Ddd")</f>
        <v>Tue</v>
      </c>
      <c r="M285" s="4" t="s">
        <v>34</v>
      </c>
      <c r="N285" t="s">
        <v>36</v>
      </c>
      <c r="O285" t="s">
        <v>38</v>
      </c>
      <c r="P285" s="8">
        <v>4</v>
      </c>
      <c r="Q285" s="6">
        <v>0.8125</v>
      </c>
      <c r="R285" s="6">
        <v>48</v>
      </c>
      <c r="S285" s="6" t="str">
        <f>IF(Table2[[#This Row],[Avg_score]]&gt;=79,"Distinction",IF(Table2[[#This Row],[Avg_score]]&gt;=60,"Pass","Fail"))</f>
        <v>Fail</v>
      </c>
      <c r="T285" t="s">
        <v>40</v>
      </c>
      <c r="U285">
        <f>IF(Table2[[#This Row],[Completed]]="Yes",1,0)</f>
        <v>0</v>
      </c>
      <c r="V285" t="s">
        <v>40</v>
      </c>
      <c r="W285" t="s">
        <v>40</v>
      </c>
      <c r="X285" s="4">
        <v>45838</v>
      </c>
    </row>
    <row r="286" spans="1:24" x14ac:dyDescent="0.3">
      <c r="A286">
        <v>285</v>
      </c>
      <c r="B286" s="8">
        <v>95</v>
      </c>
      <c r="C286">
        <v>3</v>
      </c>
      <c r="D286" t="s">
        <v>19</v>
      </c>
      <c r="E286" t="s">
        <v>22</v>
      </c>
      <c r="F286">
        <v>22</v>
      </c>
      <c r="G286" t="str">
        <f>IF(Table2[[#This Row],[Age]]&gt;=30,"Experienced",IF(Table2[[#This Row],[Age]]&gt;=25,"Mid Level", "Entry Level"))</f>
        <v>Entry Level</v>
      </c>
      <c r="H286" t="s">
        <v>25</v>
      </c>
      <c r="I286" t="s">
        <v>68</v>
      </c>
      <c r="J286" s="4">
        <v>45720</v>
      </c>
      <c r="K286" s="4" t="str">
        <f>TEXT(Table2[[#This Row],[Enrollment_date]],"Mmm")</f>
        <v>Mar</v>
      </c>
      <c r="L286" s="4" t="str">
        <f>TEXT(Table2[[#This Row],[Enrollment_date]],"Ddd")</f>
        <v>Tue</v>
      </c>
      <c r="M286" s="4" t="s">
        <v>34</v>
      </c>
      <c r="N286" t="s">
        <v>37</v>
      </c>
      <c r="O286" t="s">
        <v>38</v>
      </c>
      <c r="P286" s="8">
        <v>4</v>
      </c>
      <c r="Q286" s="6">
        <v>0.83333333333333337</v>
      </c>
      <c r="R286" s="6">
        <v>55.5</v>
      </c>
      <c r="S286" s="6" t="str">
        <f>IF(Table2[[#This Row],[Avg_score]]&gt;=79,"Distinction",IF(Table2[[#This Row],[Avg_score]]&gt;=60,"Pass","Fail"))</f>
        <v>Fail</v>
      </c>
      <c r="T286" t="s">
        <v>40</v>
      </c>
      <c r="U286">
        <f>IF(Table2[[#This Row],[Completed]]="Yes",1,0)</f>
        <v>0</v>
      </c>
      <c r="V286" t="s">
        <v>40</v>
      </c>
      <c r="W286" t="s">
        <v>40</v>
      </c>
      <c r="X286" s="4">
        <v>45838</v>
      </c>
    </row>
    <row r="287" spans="1:24" x14ac:dyDescent="0.3">
      <c r="A287">
        <v>286</v>
      </c>
      <c r="B287" s="8">
        <v>96</v>
      </c>
      <c r="C287">
        <v>1</v>
      </c>
      <c r="D287" t="s">
        <v>19</v>
      </c>
      <c r="E287" t="s">
        <v>23</v>
      </c>
      <c r="F287">
        <v>20</v>
      </c>
      <c r="G287" t="str">
        <f>IF(Table2[[#This Row],[Age]]&gt;=30,"Experienced",IF(Table2[[#This Row],[Age]]&gt;=25,"Mid Level", "Entry Level"))</f>
        <v>Entry Level</v>
      </c>
      <c r="H287" t="s">
        <v>27</v>
      </c>
      <c r="I287" t="s">
        <v>44</v>
      </c>
      <c r="J287" s="4">
        <v>45805</v>
      </c>
      <c r="K287" s="4" t="str">
        <f>TEXT(Table2[[#This Row],[Enrollment_date]],"Mmm")</f>
        <v>May</v>
      </c>
      <c r="L287" s="4" t="str">
        <f>TEXT(Table2[[#This Row],[Enrollment_date]],"Ddd")</f>
        <v>Wed</v>
      </c>
      <c r="M287" s="4" t="s">
        <v>34</v>
      </c>
      <c r="N287" t="s">
        <v>35</v>
      </c>
      <c r="O287" t="s">
        <v>38</v>
      </c>
      <c r="P287" s="8">
        <v>4</v>
      </c>
      <c r="Q287" s="6">
        <v>0.85416666666666663</v>
      </c>
      <c r="R287" s="6">
        <v>63</v>
      </c>
      <c r="S287" s="6" t="str">
        <f>IF(Table2[[#This Row],[Avg_score]]&gt;=79,"Distinction",IF(Table2[[#This Row],[Avg_score]]&gt;=60,"Pass","Fail"))</f>
        <v>Pass</v>
      </c>
      <c r="T287" t="s">
        <v>39</v>
      </c>
      <c r="U287">
        <f>IF(Table2[[#This Row],[Completed]]="Yes",1,0)</f>
        <v>1</v>
      </c>
      <c r="V287" t="s">
        <v>39</v>
      </c>
      <c r="W287" t="s">
        <v>39</v>
      </c>
      <c r="X287" s="4">
        <v>45838</v>
      </c>
    </row>
    <row r="288" spans="1:24" x14ac:dyDescent="0.3">
      <c r="A288">
        <v>287</v>
      </c>
      <c r="B288" s="8">
        <v>96</v>
      </c>
      <c r="C288">
        <v>2</v>
      </c>
      <c r="D288" t="s">
        <v>19</v>
      </c>
      <c r="E288" t="s">
        <v>23</v>
      </c>
      <c r="F288">
        <v>20</v>
      </c>
      <c r="G288" t="str">
        <f>IF(Table2[[#This Row],[Age]]&gt;=30,"Experienced",IF(Table2[[#This Row],[Age]]&gt;=25,"Mid Level", "Entry Level"))</f>
        <v>Entry Level</v>
      </c>
      <c r="H288" t="s">
        <v>27</v>
      </c>
      <c r="I288" t="s">
        <v>44</v>
      </c>
      <c r="J288" s="4">
        <v>45805</v>
      </c>
      <c r="K288" s="4" t="str">
        <f>TEXT(Table2[[#This Row],[Enrollment_date]],"Mmm")</f>
        <v>May</v>
      </c>
      <c r="L288" s="4" t="str">
        <f>TEXT(Table2[[#This Row],[Enrollment_date]],"Ddd")</f>
        <v>Wed</v>
      </c>
      <c r="M288" s="4" t="s">
        <v>34</v>
      </c>
      <c r="N288" t="s">
        <v>36</v>
      </c>
      <c r="O288" t="s">
        <v>38</v>
      </c>
      <c r="P288" s="8">
        <v>4</v>
      </c>
      <c r="Q288" s="6">
        <v>0.79166666666666663</v>
      </c>
      <c r="R288" s="6">
        <v>81</v>
      </c>
      <c r="S288" s="6" t="str">
        <f>IF(Table2[[#This Row],[Avg_score]]&gt;=79,"Distinction",IF(Table2[[#This Row],[Avg_score]]&gt;=60,"Pass","Fail"))</f>
        <v>Distinction</v>
      </c>
      <c r="T288" t="s">
        <v>39</v>
      </c>
      <c r="U288">
        <f>IF(Table2[[#This Row],[Completed]]="Yes",1,0)</f>
        <v>1</v>
      </c>
      <c r="V288" t="s">
        <v>39</v>
      </c>
      <c r="W288" t="s">
        <v>39</v>
      </c>
      <c r="X288" s="4">
        <v>45838</v>
      </c>
    </row>
    <row r="289" spans="1:24" x14ac:dyDescent="0.3">
      <c r="A289">
        <v>288</v>
      </c>
      <c r="B289" s="8">
        <v>96</v>
      </c>
      <c r="C289">
        <v>3</v>
      </c>
      <c r="D289" t="s">
        <v>20</v>
      </c>
      <c r="E289" t="s">
        <v>23</v>
      </c>
      <c r="F289">
        <v>20</v>
      </c>
      <c r="G289" t="str">
        <f>IF(Table2[[#This Row],[Age]]&gt;=30,"Experienced",IF(Table2[[#This Row],[Age]]&gt;=25,"Mid Level", "Entry Level"))</f>
        <v>Entry Level</v>
      </c>
      <c r="H289" t="s">
        <v>27</v>
      </c>
      <c r="I289" t="s">
        <v>44</v>
      </c>
      <c r="J289" s="4">
        <v>45805</v>
      </c>
      <c r="K289" s="4" t="str">
        <f>TEXT(Table2[[#This Row],[Enrollment_date]],"Mmm")</f>
        <v>May</v>
      </c>
      <c r="L289" s="4" t="str">
        <f>TEXT(Table2[[#This Row],[Enrollment_date]],"Ddd")</f>
        <v>Wed</v>
      </c>
      <c r="M289" s="4" t="s">
        <v>34</v>
      </c>
      <c r="N289" t="s">
        <v>37</v>
      </c>
      <c r="O289" t="s">
        <v>38</v>
      </c>
      <c r="P289" s="8">
        <v>4</v>
      </c>
      <c r="Q289" s="6">
        <v>0.75</v>
      </c>
      <c r="R289" s="6">
        <v>83.5</v>
      </c>
      <c r="S289" s="6" t="str">
        <f>IF(Table2[[#This Row],[Avg_score]]&gt;=79,"Distinction",IF(Table2[[#This Row],[Avg_score]]&gt;=60,"Pass","Fail"))</f>
        <v>Distinction</v>
      </c>
      <c r="T289" t="s">
        <v>39</v>
      </c>
      <c r="U289">
        <f>IF(Table2[[#This Row],[Completed]]="Yes",1,0)</f>
        <v>1</v>
      </c>
      <c r="V289" t="s">
        <v>39</v>
      </c>
      <c r="W289" t="s">
        <v>39</v>
      </c>
      <c r="X289" s="4">
        <v>45838</v>
      </c>
    </row>
    <row r="290" spans="1:24" x14ac:dyDescent="0.3">
      <c r="A290">
        <v>289</v>
      </c>
      <c r="B290" s="8">
        <v>97</v>
      </c>
      <c r="C290">
        <v>1</v>
      </c>
      <c r="D290" t="s">
        <v>19</v>
      </c>
      <c r="E290" t="s">
        <v>22</v>
      </c>
      <c r="F290">
        <v>30</v>
      </c>
      <c r="G290" t="str">
        <f>IF(Table2[[#This Row],[Age]]&gt;=30,"Experienced",IF(Table2[[#This Row],[Age]]&gt;=25,"Mid Level", "Entry Level"))</f>
        <v>Experienced</v>
      </c>
      <c r="H290" t="s">
        <v>27</v>
      </c>
      <c r="I290" t="s">
        <v>44</v>
      </c>
      <c r="J290" s="4">
        <v>45720</v>
      </c>
      <c r="K290" s="4" t="str">
        <f>TEXT(Table2[[#This Row],[Enrollment_date]],"Mmm")</f>
        <v>Mar</v>
      </c>
      <c r="L290" s="4" t="str">
        <f>TEXT(Table2[[#This Row],[Enrollment_date]],"Ddd")</f>
        <v>Tue</v>
      </c>
      <c r="M290" s="4" t="s">
        <v>34</v>
      </c>
      <c r="N290" t="s">
        <v>35</v>
      </c>
      <c r="O290" t="s">
        <v>38</v>
      </c>
      <c r="P290" s="8">
        <v>4</v>
      </c>
      <c r="Q290" s="6">
        <v>0.8125</v>
      </c>
      <c r="R290" s="6">
        <v>71</v>
      </c>
      <c r="S290" s="6" t="str">
        <f>IF(Table2[[#This Row],[Avg_score]]&gt;=79,"Distinction",IF(Table2[[#This Row],[Avg_score]]&gt;=60,"Pass","Fail"))</f>
        <v>Pass</v>
      </c>
      <c r="T290" t="s">
        <v>40</v>
      </c>
      <c r="U290">
        <f>IF(Table2[[#This Row],[Completed]]="Yes",1,0)</f>
        <v>0</v>
      </c>
      <c r="V290" t="s">
        <v>40</v>
      </c>
      <c r="W290" t="s">
        <v>40</v>
      </c>
      <c r="X290" s="4">
        <v>45838</v>
      </c>
    </row>
    <row r="291" spans="1:24" x14ac:dyDescent="0.3">
      <c r="A291">
        <v>290</v>
      </c>
      <c r="B291" s="8">
        <v>97</v>
      </c>
      <c r="C291">
        <v>2</v>
      </c>
      <c r="D291" t="s">
        <v>21</v>
      </c>
      <c r="E291" t="s">
        <v>22</v>
      </c>
      <c r="F291">
        <v>30</v>
      </c>
      <c r="G291" t="str">
        <f>IF(Table2[[#This Row],[Age]]&gt;=30,"Experienced",IF(Table2[[#This Row],[Age]]&gt;=25,"Mid Level", "Entry Level"))</f>
        <v>Experienced</v>
      </c>
      <c r="H291" t="s">
        <v>27</v>
      </c>
      <c r="I291" t="s">
        <v>44</v>
      </c>
      <c r="J291" s="4">
        <v>45720</v>
      </c>
      <c r="K291" s="4" t="str">
        <f>TEXT(Table2[[#This Row],[Enrollment_date]],"Mmm")</f>
        <v>Mar</v>
      </c>
      <c r="L291" s="4" t="str">
        <f>TEXT(Table2[[#This Row],[Enrollment_date]],"Ddd")</f>
        <v>Tue</v>
      </c>
      <c r="M291" s="4" t="s">
        <v>34</v>
      </c>
      <c r="N291" t="s">
        <v>36</v>
      </c>
      <c r="O291" t="s">
        <v>38</v>
      </c>
      <c r="P291" s="8">
        <v>4</v>
      </c>
      <c r="Q291" s="6">
        <v>0.875</v>
      </c>
      <c r="R291" s="6">
        <v>86</v>
      </c>
      <c r="S291" s="6" t="str">
        <f>IF(Table2[[#This Row],[Avg_score]]&gt;=79,"Distinction",IF(Table2[[#This Row],[Avg_score]]&gt;=60,"Pass","Fail"))</f>
        <v>Distinction</v>
      </c>
      <c r="T291" t="s">
        <v>40</v>
      </c>
      <c r="U291">
        <f>IF(Table2[[#This Row],[Completed]]="Yes",1,0)</f>
        <v>0</v>
      </c>
      <c r="V291" t="s">
        <v>40</v>
      </c>
      <c r="W291" t="s">
        <v>40</v>
      </c>
      <c r="X291" s="4">
        <v>45838</v>
      </c>
    </row>
    <row r="292" spans="1:24" x14ac:dyDescent="0.3">
      <c r="A292">
        <v>291</v>
      </c>
      <c r="B292" s="8">
        <v>97</v>
      </c>
      <c r="C292">
        <v>3</v>
      </c>
      <c r="D292" t="s">
        <v>19</v>
      </c>
      <c r="E292" t="s">
        <v>22</v>
      </c>
      <c r="F292">
        <v>30</v>
      </c>
      <c r="G292" t="str">
        <f>IF(Table2[[#This Row],[Age]]&gt;=30,"Experienced",IF(Table2[[#This Row],[Age]]&gt;=25,"Mid Level", "Entry Level"))</f>
        <v>Experienced</v>
      </c>
      <c r="H292" t="s">
        <v>27</v>
      </c>
      <c r="I292" t="s">
        <v>44</v>
      </c>
      <c r="J292" s="4">
        <v>45720</v>
      </c>
      <c r="K292" s="4" t="str">
        <f>TEXT(Table2[[#This Row],[Enrollment_date]],"Mmm")</f>
        <v>Mar</v>
      </c>
      <c r="L292" s="4" t="str">
        <f>TEXT(Table2[[#This Row],[Enrollment_date]],"Ddd")</f>
        <v>Tue</v>
      </c>
      <c r="M292" s="4" t="s">
        <v>34</v>
      </c>
      <c r="N292" t="s">
        <v>37</v>
      </c>
      <c r="O292" t="s">
        <v>38</v>
      </c>
      <c r="P292" s="8">
        <v>4</v>
      </c>
      <c r="Q292" s="6">
        <v>0.79166666666666663</v>
      </c>
      <c r="R292" s="6">
        <v>64</v>
      </c>
      <c r="S292" s="6" t="str">
        <f>IF(Table2[[#This Row],[Avg_score]]&gt;=79,"Distinction",IF(Table2[[#This Row],[Avg_score]]&gt;=60,"Pass","Fail"))</f>
        <v>Pass</v>
      </c>
      <c r="T292" t="s">
        <v>40</v>
      </c>
      <c r="U292">
        <f>IF(Table2[[#This Row],[Completed]]="Yes",1,0)</f>
        <v>0</v>
      </c>
      <c r="V292" t="s">
        <v>40</v>
      </c>
      <c r="W292" t="s">
        <v>40</v>
      </c>
      <c r="X292" s="4">
        <v>45838</v>
      </c>
    </row>
    <row r="293" spans="1:24" x14ac:dyDescent="0.3">
      <c r="A293">
        <v>292</v>
      </c>
      <c r="B293" s="8">
        <v>98</v>
      </c>
      <c r="C293">
        <v>1</v>
      </c>
      <c r="D293" t="s">
        <v>19</v>
      </c>
      <c r="E293" t="s">
        <v>22</v>
      </c>
      <c r="F293">
        <v>18</v>
      </c>
      <c r="G293" t="str">
        <f>IF(Table2[[#This Row],[Age]]&gt;=30,"Experienced",IF(Table2[[#This Row],[Age]]&gt;=25,"Mid Level", "Entry Level"))</f>
        <v>Entry Level</v>
      </c>
      <c r="H293" t="s">
        <v>25</v>
      </c>
      <c r="I293" t="s">
        <v>44</v>
      </c>
      <c r="J293" s="4">
        <v>45714</v>
      </c>
      <c r="K293" s="4" t="str">
        <f>TEXT(Table2[[#This Row],[Enrollment_date]],"Mmm")</f>
        <v>Feb</v>
      </c>
      <c r="L293" s="4" t="str">
        <f>TEXT(Table2[[#This Row],[Enrollment_date]],"Ddd")</f>
        <v>Wed</v>
      </c>
      <c r="M293" s="4" t="s">
        <v>34</v>
      </c>
      <c r="N293" t="s">
        <v>35</v>
      </c>
      <c r="O293" t="s">
        <v>38</v>
      </c>
      <c r="P293" s="8">
        <v>4</v>
      </c>
      <c r="Q293" s="6">
        <v>0.875</v>
      </c>
      <c r="R293" s="6">
        <v>91</v>
      </c>
      <c r="S293" s="6" t="str">
        <f>IF(Table2[[#This Row],[Avg_score]]&gt;=79,"Distinction",IF(Table2[[#This Row],[Avg_score]]&gt;=60,"Pass","Fail"))</f>
        <v>Distinction</v>
      </c>
      <c r="T293" t="s">
        <v>40</v>
      </c>
      <c r="U293">
        <f>IF(Table2[[#This Row],[Completed]]="Yes",1,0)</f>
        <v>0</v>
      </c>
      <c r="V293" t="s">
        <v>40</v>
      </c>
      <c r="W293" t="s">
        <v>40</v>
      </c>
      <c r="X293" s="4">
        <v>45838</v>
      </c>
    </row>
    <row r="294" spans="1:24" x14ac:dyDescent="0.3">
      <c r="A294">
        <v>293</v>
      </c>
      <c r="B294" s="8">
        <v>98</v>
      </c>
      <c r="C294">
        <v>2</v>
      </c>
      <c r="D294" t="s">
        <v>19</v>
      </c>
      <c r="E294" t="s">
        <v>22</v>
      </c>
      <c r="F294">
        <v>18</v>
      </c>
      <c r="G294" t="str">
        <f>IF(Table2[[#This Row],[Age]]&gt;=30,"Experienced",IF(Table2[[#This Row],[Age]]&gt;=25,"Mid Level", "Entry Level"))</f>
        <v>Entry Level</v>
      </c>
      <c r="H294" t="s">
        <v>25</v>
      </c>
      <c r="I294" t="s">
        <v>44</v>
      </c>
      <c r="J294" s="4">
        <v>45714</v>
      </c>
      <c r="K294" s="4" t="str">
        <f>TEXT(Table2[[#This Row],[Enrollment_date]],"Mmm")</f>
        <v>Feb</v>
      </c>
      <c r="L294" s="4" t="str">
        <f>TEXT(Table2[[#This Row],[Enrollment_date]],"Ddd")</f>
        <v>Wed</v>
      </c>
      <c r="M294" s="4" t="s">
        <v>34</v>
      </c>
      <c r="N294" t="s">
        <v>36</v>
      </c>
      <c r="O294" t="s">
        <v>38</v>
      </c>
      <c r="P294" s="8">
        <v>4</v>
      </c>
      <c r="Q294" s="6">
        <v>0.79166666666666663</v>
      </c>
      <c r="R294" s="6">
        <v>51</v>
      </c>
      <c r="S294" s="6" t="str">
        <f>IF(Table2[[#This Row],[Avg_score]]&gt;=79,"Distinction",IF(Table2[[#This Row],[Avg_score]]&gt;=60,"Pass","Fail"))</f>
        <v>Fail</v>
      </c>
      <c r="T294" t="s">
        <v>40</v>
      </c>
      <c r="U294">
        <f>IF(Table2[[#This Row],[Completed]]="Yes",1,0)</f>
        <v>0</v>
      </c>
      <c r="V294" t="s">
        <v>40</v>
      </c>
      <c r="W294" t="s">
        <v>40</v>
      </c>
      <c r="X294" s="4">
        <v>45838</v>
      </c>
    </row>
    <row r="295" spans="1:24" x14ac:dyDescent="0.3">
      <c r="A295">
        <v>294</v>
      </c>
      <c r="B295" s="8">
        <v>98</v>
      </c>
      <c r="C295">
        <v>3</v>
      </c>
      <c r="D295" t="s">
        <v>19</v>
      </c>
      <c r="E295" t="s">
        <v>22</v>
      </c>
      <c r="F295">
        <v>18</v>
      </c>
      <c r="G295" t="str">
        <f>IF(Table2[[#This Row],[Age]]&gt;=30,"Experienced",IF(Table2[[#This Row],[Age]]&gt;=25,"Mid Level", "Entry Level"))</f>
        <v>Entry Level</v>
      </c>
      <c r="H295" t="s">
        <v>25</v>
      </c>
      <c r="I295" t="s">
        <v>44</v>
      </c>
      <c r="J295" s="4">
        <v>45714</v>
      </c>
      <c r="K295" s="4" t="str">
        <f>TEXT(Table2[[#This Row],[Enrollment_date]],"Mmm")</f>
        <v>Feb</v>
      </c>
      <c r="L295" s="4" t="str">
        <f>TEXT(Table2[[#This Row],[Enrollment_date]],"Ddd")</f>
        <v>Wed</v>
      </c>
      <c r="M295" s="4" t="s">
        <v>34</v>
      </c>
      <c r="N295" t="s">
        <v>37</v>
      </c>
      <c r="O295" t="s">
        <v>38</v>
      </c>
      <c r="P295" s="8">
        <v>4</v>
      </c>
      <c r="Q295" s="6">
        <v>0.8125</v>
      </c>
      <c r="R295" s="6">
        <v>79</v>
      </c>
      <c r="S295" s="6" t="str">
        <f>IF(Table2[[#This Row],[Avg_score]]&gt;=79,"Distinction",IF(Table2[[#This Row],[Avg_score]]&gt;=60,"Pass","Fail"))</f>
        <v>Distinction</v>
      </c>
      <c r="T295" t="s">
        <v>40</v>
      </c>
      <c r="U295">
        <f>IF(Table2[[#This Row],[Completed]]="Yes",1,0)</f>
        <v>0</v>
      </c>
      <c r="V295" t="s">
        <v>40</v>
      </c>
      <c r="W295" t="s">
        <v>40</v>
      </c>
      <c r="X295" s="4">
        <v>45838</v>
      </c>
    </row>
    <row r="296" spans="1:24" x14ac:dyDescent="0.3">
      <c r="A296">
        <v>295</v>
      </c>
      <c r="B296" s="8">
        <v>99</v>
      </c>
      <c r="C296">
        <v>1</v>
      </c>
      <c r="D296" t="s">
        <v>19</v>
      </c>
      <c r="E296" t="s">
        <v>22</v>
      </c>
      <c r="F296">
        <v>34</v>
      </c>
      <c r="G296" t="str">
        <f>IF(Table2[[#This Row],[Age]]&gt;=30,"Experienced",IF(Table2[[#This Row],[Age]]&gt;=25,"Mid Level", "Entry Level"))</f>
        <v>Experienced</v>
      </c>
      <c r="H296" t="s">
        <v>27</v>
      </c>
      <c r="I296" t="s">
        <v>68</v>
      </c>
      <c r="J296" s="4">
        <v>45800</v>
      </c>
      <c r="K296" s="4" t="str">
        <f>TEXT(Table2[[#This Row],[Enrollment_date]],"Mmm")</f>
        <v>May</v>
      </c>
      <c r="L296" s="4" t="str">
        <f>TEXT(Table2[[#This Row],[Enrollment_date]],"Ddd")</f>
        <v>Fri</v>
      </c>
      <c r="M296" s="4" t="s">
        <v>34</v>
      </c>
      <c r="N296" t="s">
        <v>35</v>
      </c>
      <c r="O296" t="s">
        <v>38</v>
      </c>
      <c r="P296" s="8">
        <v>4</v>
      </c>
      <c r="Q296" s="6">
        <v>0.79166666666666663</v>
      </c>
      <c r="R296" s="6">
        <v>72.5</v>
      </c>
      <c r="S296" s="6" t="str">
        <f>IF(Table2[[#This Row],[Avg_score]]&gt;=79,"Distinction",IF(Table2[[#This Row],[Avg_score]]&gt;=60,"Pass","Fail"))</f>
        <v>Pass</v>
      </c>
      <c r="T296" t="s">
        <v>39</v>
      </c>
      <c r="U296">
        <f>IF(Table2[[#This Row],[Completed]]="Yes",1,0)</f>
        <v>1</v>
      </c>
      <c r="V296" t="s">
        <v>39</v>
      </c>
      <c r="W296" t="s">
        <v>40</v>
      </c>
      <c r="X296" s="4">
        <v>45838</v>
      </c>
    </row>
    <row r="297" spans="1:24" x14ac:dyDescent="0.3">
      <c r="A297">
        <v>296</v>
      </c>
      <c r="B297" s="8">
        <v>99</v>
      </c>
      <c r="C297">
        <v>2</v>
      </c>
      <c r="D297" t="s">
        <v>19</v>
      </c>
      <c r="E297" t="s">
        <v>22</v>
      </c>
      <c r="F297">
        <v>34</v>
      </c>
      <c r="G297" t="str">
        <f>IF(Table2[[#This Row],[Age]]&gt;=30,"Experienced",IF(Table2[[#This Row],[Age]]&gt;=25,"Mid Level", "Entry Level"))</f>
        <v>Experienced</v>
      </c>
      <c r="H297" t="s">
        <v>27</v>
      </c>
      <c r="I297" t="s">
        <v>68</v>
      </c>
      <c r="J297" s="4">
        <v>45800</v>
      </c>
      <c r="K297" s="4" t="str">
        <f>TEXT(Table2[[#This Row],[Enrollment_date]],"Mmm")</f>
        <v>May</v>
      </c>
      <c r="L297" s="4" t="str">
        <f>TEXT(Table2[[#This Row],[Enrollment_date]],"Ddd")</f>
        <v>Fri</v>
      </c>
      <c r="M297" s="4" t="s">
        <v>34</v>
      </c>
      <c r="N297" t="s">
        <v>36</v>
      </c>
      <c r="O297" t="s">
        <v>38</v>
      </c>
      <c r="P297" s="8">
        <v>4</v>
      </c>
      <c r="Q297" s="6">
        <v>0.79166666666666663</v>
      </c>
      <c r="R297" s="6">
        <v>76</v>
      </c>
      <c r="S297" s="6" t="str">
        <f>IF(Table2[[#This Row],[Avg_score]]&gt;=79,"Distinction",IF(Table2[[#This Row],[Avg_score]]&gt;=60,"Pass","Fail"))</f>
        <v>Pass</v>
      </c>
      <c r="T297" t="s">
        <v>39</v>
      </c>
      <c r="U297">
        <f>IF(Table2[[#This Row],[Completed]]="Yes",1,0)</f>
        <v>1</v>
      </c>
      <c r="V297" t="s">
        <v>39</v>
      </c>
      <c r="W297" t="s">
        <v>40</v>
      </c>
      <c r="X297" s="4">
        <v>45838</v>
      </c>
    </row>
    <row r="298" spans="1:24" x14ac:dyDescent="0.3">
      <c r="A298">
        <v>297</v>
      </c>
      <c r="B298" s="8">
        <v>99</v>
      </c>
      <c r="C298">
        <v>3</v>
      </c>
      <c r="D298" t="s">
        <v>19</v>
      </c>
      <c r="E298" t="s">
        <v>22</v>
      </c>
      <c r="F298">
        <v>34</v>
      </c>
      <c r="G298" t="str">
        <f>IF(Table2[[#This Row],[Age]]&gt;=30,"Experienced",IF(Table2[[#This Row],[Age]]&gt;=25,"Mid Level", "Entry Level"))</f>
        <v>Experienced</v>
      </c>
      <c r="H298" t="s">
        <v>27</v>
      </c>
      <c r="I298" t="s">
        <v>68</v>
      </c>
      <c r="J298" s="4">
        <v>45800</v>
      </c>
      <c r="K298" s="4" t="str">
        <f>TEXT(Table2[[#This Row],[Enrollment_date]],"Mmm")</f>
        <v>May</v>
      </c>
      <c r="L298" s="4" t="str">
        <f>TEXT(Table2[[#This Row],[Enrollment_date]],"Ddd")</f>
        <v>Fri</v>
      </c>
      <c r="M298" s="4" t="s">
        <v>34</v>
      </c>
      <c r="N298" t="s">
        <v>37</v>
      </c>
      <c r="O298" t="s">
        <v>38</v>
      </c>
      <c r="P298" s="8">
        <v>4</v>
      </c>
      <c r="Q298" s="6">
        <v>0.89583333333333337</v>
      </c>
      <c r="R298" s="6">
        <v>96.5</v>
      </c>
      <c r="S298" s="6" t="str">
        <f>IF(Table2[[#This Row],[Avg_score]]&gt;=79,"Distinction",IF(Table2[[#This Row],[Avg_score]]&gt;=60,"Pass","Fail"))</f>
        <v>Distinction</v>
      </c>
      <c r="T298" t="s">
        <v>39</v>
      </c>
      <c r="U298">
        <f>IF(Table2[[#This Row],[Completed]]="Yes",1,0)</f>
        <v>1</v>
      </c>
      <c r="V298" t="s">
        <v>39</v>
      </c>
      <c r="W298" t="s">
        <v>40</v>
      </c>
      <c r="X298" s="4">
        <v>45838</v>
      </c>
    </row>
    <row r="299" spans="1:24" x14ac:dyDescent="0.3">
      <c r="A299">
        <v>298</v>
      </c>
      <c r="B299" s="8">
        <v>100</v>
      </c>
      <c r="C299">
        <v>1</v>
      </c>
      <c r="D299" t="s">
        <v>20</v>
      </c>
      <c r="E299" t="s">
        <v>22</v>
      </c>
      <c r="F299">
        <v>21</v>
      </c>
      <c r="G299" t="str">
        <f>IF(Table2[[#This Row],[Age]]&gt;=30,"Experienced",IF(Table2[[#This Row],[Age]]&gt;=25,"Mid Level", "Entry Level"))</f>
        <v>Entry Level</v>
      </c>
      <c r="H299" t="s">
        <v>27</v>
      </c>
      <c r="I299" t="s">
        <v>32</v>
      </c>
      <c r="J299" s="4">
        <v>45776</v>
      </c>
      <c r="K299" s="4" t="str">
        <f>TEXT(Table2[[#This Row],[Enrollment_date]],"Mmm")</f>
        <v>Apr</v>
      </c>
      <c r="L299" s="4" t="str">
        <f>TEXT(Table2[[#This Row],[Enrollment_date]],"Ddd")</f>
        <v>Tue</v>
      </c>
      <c r="M299" s="4" t="s">
        <v>34</v>
      </c>
      <c r="N299" t="s">
        <v>35</v>
      </c>
      <c r="O299" t="s">
        <v>38</v>
      </c>
      <c r="P299" s="8">
        <v>4</v>
      </c>
      <c r="Q299" s="6">
        <v>0.91666666666666663</v>
      </c>
      <c r="R299" s="6">
        <v>91.5</v>
      </c>
      <c r="S299" s="6" t="str">
        <f>IF(Table2[[#This Row],[Avg_score]]&gt;=79,"Distinction",IF(Table2[[#This Row],[Avg_score]]&gt;=60,"Pass","Fail"))</f>
        <v>Distinction</v>
      </c>
      <c r="T299" t="s">
        <v>39</v>
      </c>
      <c r="U299">
        <f>IF(Table2[[#This Row],[Completed]]="Yes",1,0)</f>
        <v>1</v>
      </c>
      <c r="V299" t="s">
        <v>39</v>
      </c>
      <c r="W299" t="s">
        <v>39</v>
      </c>
      <c r="X299" s="4">
        <v>45838</v>
      </c>
    </row>
    <row r="300" spans="1:24" x14ac:dyDescent="0.3">
      <c r="A300">
        <v>299</v>
      </c>
      <c r="B300" s="8">
        <v>100</v>
      </c>
      <c r="C300">
        <v>2</v>
      </c>
      <c r="D300" t="s">
        <v>19</v>
      </c>
      <c r="E300" t="s">
        <v>22</v>
      </c>
      <c r="F300">
        <v>21</v>
      </c>
      <c r="G300" t="str">
        <f>IF(Table2[[#This Row],[Age]]&gt;=30,"Experienced",IF(Table2[[#This Row],[Age]]&gt;=25,"Mid Level", "Entry Level"))</f>
        <v>Entry Level</v>
      </c>
      <c r="H300" t="s">
        <v>27</v>
      </c>
      <c r="I300" t="s">
        <v>32</v>
      </c>
      <c r="J300" s="4">
        <v>45776</v>
      </c>
      <c r="K300" s="4" t="str">
        <f>TEXT(Table2[[#This Row],[Enrollment_date]],"Mmm")</f>
        <v>Apr</v>
      </c>
      <c r="L300" s="4" t="str">
        <f>TEXT(Table2[[#This Row],[Enrollment_date]],"Ddd")</f>
        <v>Tue</v>
      </c>
      <c r="M300" s="4" t="s">
        <v>34</v>
      </c>
      <c r="N300" t="s">
        <v>36</v>
      </c>
      <c r="O300" t="s">
        <v>38</v>
      </c>
      <c r="P300" s="8">
        <v>4</v>
      </c>
      <c r="Q300" s="6">
        <v>0.83333333333333337</v>
      </c>
      <c r="R300" s="6">
        <v>89</v>
      </c>
      <c r="S300" s="6" t="str">
        <f>IF(Table2[[#This Row],[Avg_score]]&gt;=79,"Distinction",IF(Table2[[#This Row],[Avg_score]]&gt;=60,"Pass","Fail"))</f>
        <v>Distinction</v>
      </c>
      <c r="T300" t="s">
        <v>39</v>
      </c>
      <c r="U300">
        <f>IF(Table2[[#This Row],[Completed]]="Yes",1,0)</f>
        <v>1</v>
      </c>
      <c r="V300" t="s">
        <v>39</v>
      </c>
      <c r="W300" t="s">
        <v>39</v>
      </c>
      <c r="X300" s="4">
        <v>45838</v>
      </c>
    </row>
    <row r="301" spans="1:24" x14ac:dyDescent="0.3">
      <c r="A301">
        <v>300</v>
      </c>
      <c r="B301" s="8">
        <v>100</v>
      </c>
      <c r="C301">
        <v>3</v>
      </c>
      <c r="D301" t="s">
        <v>21</v>
      </c>
      <c r="E301" t="s">
        <v>22</v>
      </c>
      <c r="F301">
        <v>21</v>
      </c>
      <c r="G301" t="str">
        <f>IF(Table2[[#This Row],[Age]]&gt;=30,"Experienced",IF(Table2[[#This Row],[Age]]&gt;=25,"Mid Level", "Entry Level"))</f>
        <v>Entry Level</v>
      </c>
      <c r="H301" t="s">
        <v>27</v>
      </c>
      <c r="I301" t="s">
        <v>32</v>
      </c>
      <c r="J301" s="4">
        <v>45776</v>
      </c>
      <c r="K301" s="4" t="str">
        <f>TEXT(Table2[[#This Row],[Enrollment_date]],"Mmm")</f>
        <v>Apr</v>
      </c>
      <c r="L301" s="4" t="str">
        <f>TEXT(Table2[[#This Row],[Enrollment_date]],"Ddd")</f>
        <v>Tue</v>
      </c>
      <c r="M301" s="4" t="s">
        <v>34</v>
      </c>
      <c r="N301" t="s">
        <v>37</v>
      </c>
      <c r="O301" t="s">
        <v>38</v>
      </c>
      <c r="P301" s="8">
        <v>4</v>
      </c>
      <c r="Q301" s="6">
        <v>0.85416666666666663</v>
      </c>
      <c r="R301" s="6">
        <v>71</v>
      </c>
      <c r="S301" s="6" t="str">
        <f>IF(Table2[[#This Row],[Avg_score]]&gt;=79,"Distinction",IF(Table2[[#This Row],[Avg_score]]&gt;=60,"Pass","Fail"))</f>
        <v>Pass</v>
      </c>
      <c r="T301" t="s">
        <v>39</v>
      </c>
      <c r="U301">
        <f>IF(Table2[[#This Row],[Completed]]="Yes",1,0)</f>
        <v>1</v>
      </c>
      <c r="V301" t="s">
        <v>39</v>
      </c>
      <c r="W301" t="s">
        <v>39</v>
      </c>
      <c r="X301" s="4">
        <v>45838</v>
      </c>
    </row>
    <row r="302" spans="1:24" x14ac:dyDescent="0.3">
      <c r="A302">
        <v>301</v>
      </c>
      <c r="B302" s="8">
        <v>101</v>
      </c>
      <c r="C302">
        <v>1</v>
      </c>
      <c r="D302" t="s">
        <v>20</v>
      </c>
      <c r="E302" t="s">
        <v>23</v>
      </c>
      <c r="F302">
        <v>32</v>
      </c>
      <c r="G302" t="str">
        <f>IF(Table2[[#This Row],[Age]]&gt;=30,"Experienced",IF(Table2[[#This Row],[Age]]&gt;=25,"Mid Level", "Entry Level"))</f>
        <v>Experienced</v>
      </c>
      <c r="H302" t="s">
        <v>26</v>
      </c>
      <c r="I302" t="s">
        <v>44</v>
      </c>
      <c r="J302" s="4">
        <v>45798</v>
      </c>
      <c r="K302" s="4" t="str">
        <f>TEXT(Table2[[#This Row],[Enrollment_date]],"Mmm")</f>
        <v>May</v>
      </c>
      <c r="L302" s="4" t="str">
        <f>TEXT(Table2[[#This Row],[Enrollment_date]],"Ddd")</f>
        <v>Wed</v>
      </c>
      <c r="M302" s="4" t="s">
        <v>34</v>
      </c>
      <c r="N302" t="s">
        <v>35</v>
      </c>
      <c r="O302" t="s">
        <v>38</v>
      </c>
      <c r="P302" s="8">
        <v>4</v>
      </c>
      <c r="Q302" s="6">
        <v>0.79166666666666663</v>
      </c>
      <c r="R302" s="6">
        <v>66.5</v>
      </c>
      <c r="S302" s="6" t="str">
        <f>IF(Table2[[#This Row],[Avg_score]]&gt;=79,"Distinction",IF(Table2[[#This Row],[Avg_score]]&gt;=60,"Pass","Fail"))</f>
        <v>Pass</v>
      </c>
      <c r="T302" t="s">
        <v>39</v>
      </c>
      <c r="U302">
        <f>IF(Table2[[#This Row],[Completed]]="Yes",1,0)</f>
        <v>1</v>
      </c>
      <c r="V302" t="s">
        <v>39</v>
      </c>
      <c r="W302" t="s">
        <v>40</v>
      </c>
      <c r="X302" s="4">
        <v>45838</v>
      </c>
    </row>
    <row r="303" spans="1:24" x14ac:dyDescent="0.3">
      <c r="A303">
        <v>302</v>
      </c>
      <c r="B303" s="8">
        <v>101</v>
      </c>
      <c r="C303">
        <v>2</v>
      </c>
      <c r="D303" t="s">
        <v>19</v>
      </c>
      <c r="E303" t="s">
        <v>23</v>
      </c>
      <c r="F303">
        <v>32</v>
      </c>
      <c r="G303" t="str">
        <f>IF(Table2[[#This Row],[Age]]&gt;=30,"Experienced",IF(Table2[[#This Row],[Age]]&gt;=25,"Mid Level", "Entry Level"))</f>
        <v>Experienced</v>
      </c>
      <c r="H303" t="s">
        <v>26</v>
      </c>
      <c r="I303" t="s">
        <v>44</v>
      </c>
      <c r="J303" s="4">
        <v>45798</v>
      </c>
      <c r="K303" s="4" t="str">
        <f>TEXT(Table2[[#This Row],[Enrollment_date]],"Mmm")</f>
        <v>May</v>
      </c>
      <c r="L303" s="4" t="str">
        <f>TEXT(Table2[[#This Row],[Enrollment_date]],"Ddd")</f>
        <v>Wed</v>
      </c>
      <c r="M303" s="4" t="s">
        <v>34</v>
      </c>
      <c r="N303" t="s">
        <v>36</v>
      </c>
      <c r="O303" t="s">
        <v>38</v>
      </c>
      <c r="P303" s="8">
        <v>4</v>
      </c>
      <c r="Q303" s="6">
        <v>0.6875</v>
      </c>
      <c r="R303" s="6">
        <v>71.5</v>
      </c>
      <c r="S303" s="6" t="str">
        <f>IF(Table2[[#This Row],[Avg_score]]&gt;=79,"Distinction",IF(Table2[[#This Row],[Avg_score]]&gt;=60,"Pass","Fail"))</f>
        <v>Pass</v>
      </c>
      <c r="T303" t="s">
        <v>39</v>
      </c>
      <c r="U303">
        <f>IF(Table2[[#This Row],[Completed]]="Yes",1,0)</f>
        <v>1</v>
      </c>
      <c r="V303" t="s">
        <v>39</v>
      </c>
      <c r="W303" t="s">
        <v>40</v>
      </c>
      <c r="X303" s="4">
        <v>45838</v>
      </c>
    </row>
    <row r="304" spans="1:24" x14ac:dyDescent="0.3">
      <c r="A304">
        <v>303</v>
      </c>
      <c r="B304" s="8">
        <v>101</v>
      </c>
      <c r="C304">
        <v>3</v>
      </c>
      <c r="D304" t="s">
        <v>19</v>
      </c>
      <c r="E304" t="s">
        <v>23</v>
      </c>
      <c r="F304">
        <v>32</v>
      </c>
      <c r="G304" t="str">
        <f>IF(Table2[[#This Row],[Age]]&gt;=30,"Experienced",IF(Table2[[#This Row],[Age]]&gt;=25,"Mid Level", "Entry Level"))</f>
        <v>Experienced</v>
      </c>
      <c r="H304" t="s">
        <v>26</v>
      </c>
      <c r="I304" t="s">
        <v>44</v>
      </c>
      <c r="J304" s="4">
        <v>45798</v>
      </c>
      <c r="K304" s="4" t="str">
        <f>TEXT(Table2[[#This Row],[Enrollment_date]],"Mmm")</f>
        <v>May</v>
      </c>
      <c r="L304" s="4" t="str">
        <f>TEXT(Table2[[#This Row],[Enrollment_date]],"Ddd")</f>
        <v>Wed</v>
      </c>
      <c r="M304" s="4" t="s">
        <v>34</v>
      </c>
      <c r="N304" t="s">
        <v>37</v>
      </c>
      <c r="O304" t="s">
        <v>38</v>
      </c>
      <c r="P304" s="8">
        <v>4</v>
      </c>
      <c r="Q304" s="6">
        <v>0.77083333333333337</v>
      </c>
      <c r="R304" s="6">
        <v>76.5</v>
      </c>
      <c r="S304" s="6" t="str">
        <f>IF(Table2[[#This Row],[Avg_score]]&gt;=79,"Distinction",IF(Table2[[#This Row],[Avg_score]]&gt;=60,"Pass","Fail"))</f>
        <v>Pass</v>
      </c>
      <c r="T304" t="s">
        <v>39</v>
      </c>
      <c r="U304">
        <f>IF(Table2[[#This Row],[Completed]]="Yes",1,0)</f>
        <v>1</v>
      </c>
      <c r="V304" t="s">
        <v>39</v>
      </c>
      <c r="W304" t="s">
        <v>40</v>
      </c>
      <c r="X304" s="4">
        <v>45838</v>
      </c>
    </row>
    <row r="305" spans="1:24" x14ac:dyDescent="0.3">
      <c r="A305">
        <v>304</v>
      </c>
      <c r="B305" s="8">
        <v>102</v>
      </c>
      <c r="C305">
        <v>1</v>
      </c>
      <c r="D305" t="s">
        <v>19</v>
      </c>
      <c r="E305" t="s">
        <v>23</v>
      </c>
      <c r="F305">
        <v>23</v>
      </c>
      <c r="G305" t="str">
        <f>IF(Table2[[#This Row],[Age]]&gt;=30,"Experienced",IF(Table2[[#This Row],[Age]]&gt;=25,"Mid Level", "Entry Level"))</f>
        <v>Entry Level</v>
      </c>
      <c r="H305" t="s">
        <v>24</v>
      </c>
      <c r="I305" t="s">
        <v>44</v>
      </c>
      <c r="J305" s="4">
        <v>45773</v>
      </c>
      <c r="K305" s="4" t="str">
        <f>TEXT(Table2[[#This Row],[Enrollment_date]],"Mmm")</f>
        <v>Apr</v>
      </c>
      <c r="L305" s="4" t="str">
        <f>TEXT(Table2[[#This Row],[Enrollment_date]],"Ddd")</f>
        <v>Sat</v>
      </c>
      <c r="M305" s="4" t="s">
        <v>34</v>
      </c>
      <c r="N305" t="s">
        <v>35</v>
      </c>
      <c r="O305" t="s">
        <v>38</v>
      </c>
      <c r="P305" s="8">
        <v>4</v>
      </c>
      <c r="Q305" s="6">
        <v>0.83333333333333337</v>
      </c>
      <c r="R305" s="6">
        <v>73.5</v>
      </c>
      <c r="S305" s="6" t="str">
        <f>IF(Table2[[#This Row],[Avg_score]]&gt;=79,"Distinction",IF(Table2[[#This Row],[Avg_score]]&gt;=60,"Pass","Fail"))</f>
        <v>Pass</v>
      </c>
      <c r="T305" t="s">
        <v>39</v>
      </c>
      <c r="U305">
        <f>IF(Table2[[#This Row],[Completed]]="Yes",1,0)</f>
        <v>1</v>
      </c>
      <c r="V305" t="s">
        <v>40</v>
      </c>
      <c r="W305" t="s">
        <v>40</v>
      </c>
      <c r="X305" s="4">
        <v>45838</v>
      </c>
    </row>
    <row r="306" spans="1:24" x14ac:dyDescent="0.3">
      <c r="A306">
        <v>305</v>
      </c>
      <c r="B306" s="8">
        <v>102</v>
      </c>
      <c r="C306">
        <v>2</v>
      </c>
      <c r="D306" t="s">
        <v>19</v>
      </c>
      <c r="E306" t="s">
        <v>23</v>
      </c>
      <c r="F306">
        <v>23</v>
      </c>
      <c r="G306" t="str">
        <f>IF(Table2[[#This Row],[Age]]&gt;=30,"Experienced",IF(Table2[[#This Row],[Age]]&gt;=25,"Mid Level", "Entry Level"))</f>
        <v>Entry Level</v>
      </c>
      <c r="H306" t="s">
        <v>24</v>
      </c>
      <c r="I306" t="s">
        <v>44</v>
      </c>
      <c r="J306" s="4">
        <v>45773</v>
      </c>
      <c r="K306" s="4" t="str">
        <f>TEXT(Table2[[#This Row],[Enrollment_date]],"Mmm")</f>
        <v>Apr</v>
      </c>
      <c r="L306" s="4" t="str">
        <f>TEXT(Table2[[#This Row],[Enrollment_date]],"Ddd")</f>
        <v>Sat</v>
      </c>
      <c r="M306" s="4" t="s">
        <v>34</v>
      </c>
      <c r="N306" t="s">
        <v>36</v>
      </c>
      <c r="O306" t="s">
        <v>38</v>
      </c>
      <c r="P306" s="8">
        <v>4</v>
      </c>
      <c r="Q306" s="6">
        <v>0.83333333333333337</v>
      </c>
      <c r="R306" s="6">
        <v>64.5</v>
      </c>
      <c r="S306" s="6" t="str">
        <f>IF(Table2[[#This Row],[Avg_score]]&gt;=79,"Distinction",IF(Table2[[#This Row],[Avg_score]]&gt;=60,"Pass","Fail"))</f>
        <v>Pass</v>
      </c>
      <c r="T306" t="s">
        <v>39</v>
      </c>
      <c r="U306">
        <f>IF(Table2[[#This Row],[Completed]]="Yes",1,0)</f>
        <v>1</v>
      </c>
      <c r="V306" t="s">
        <v>40</v>
      </c>
      <c r="W306" t="s">
        <v>40</v>
      </c>
      <c r="X306" s="4">
        <v>45838</v>
      </c>
    </row>
    <row r="307" spans="1:24" x14ac:dyDescent="0.3">
      <c r="A307">
        <v>306</v>
      </c>
      <c r="B307" s="8">
        <v>102</v>
      </c>
      <c r="C307">
        <v>3</v>
      </c>
      <c r="D307" t="s">
        <v>19</v>
      </c>
      <c r="E307" t="s">
        <v>23</v>
      </c>
      <c r="F307">
        <v>23</v>
      </c>
      <c r="G307" t="str">
        <f>IF(Table2[[#This Row],[Age]]&gt;=30,"Experienced",IF(Table2[[#This Row],[Age]]&gt;=25,"Mid Level", "Entry Level"))</f>
        <v>Entry Level</v>
      </c>
      <c r="H307" t="s">
        <v>24</v>
      </c>
      <c r="I307" t="s">
        <v>44</v>
      </c>
      <c r="J307" s="4">
        <v>45773</v>
      </c>
      <c r="K307" s="4" t="str">
        <f>TEXT(Table2[[#This Row],[Enrollment_date]],"Mmm")</f>
        <v>Apr</v>
      </c>
      <c r="L307" s="4" t="str">
        <f>TEXT(Table2[[#This Row],[Enrollment_date]],"Ddd")</f>
        <v>Sat</v>
      </c>
      <c r="M307" s="4" t="s">
        <v>34</v>
      </c>
      <c r="N307" t="s">
        <v>37</v>
      </c>
      <c r="O307" t="s">
        <v>38</v>
      </c>
      <c r="P307" s="8">
        <v>4</v>
      </c>
      <c r="Q307" s="6">
        <v>0.75</v>
      </c>
      <c r="R307" s="6">
        <v>70</v>
      </c>
      <c r="S307" s="6" t="str">
        <f>IF(Table2[[#This Row],[Avg_score]]&gt;=79,"Distinction",IF(Table2[[#This Row],[Avg_score]]&gt;=60,"Pass","Fail"))</f>
        <v>Pass</v>
      </c>
      <c r="T307" t="s">
        <v>39</v>
      </c>
      <c r="U307">
        <f>IF(Table2[[#This Row],[Completed]]="Yes",1,0)</f>
        <v>1</v>
      </c>
      <c r="V307" t="s">
        <v>40</v>
      </c>
      <c r="W307" t="s">
        <v>40</v>
      </c>
      <c r="X307" s="4">
        <v>45838</v>
      </c>
    </row>
    <row r="308" spans="1:24" x14ac:dyDescent="0.3">
      <c r="A308">
        <v>307</v>
      </c>
      <c r="B308" s="8">
        <v>103</v>
      </c>
      <c r="C308">
        <v>1</v>
      </c>
      <c r="D308" t="s">
        <v>19</v>
      </c>
      <c r="E308" t="s">
        <v>23</v>
      </c>
      <c r="F308">
        <v>25</v>
      </c>
      <c r="G308" t="str">
        <f>IF(Table2[[#This Row],[Age]]&gt;=30,"Experienced",IF(Table2[[#This Row],[Age]]&gt;=25,"Mid Level", "Entry Level"))</f>
        <v>Mid Level</v>
      </c>
      <c r="H308" t="s">
        <v>24</v>
      </c>
      <c r="I308" t="s">
        <v>30</v>
      </c>
      <c r="J308" s="4">
        <v>45791</v>
      </c>
      <c r="K308" s="4" t="str">
        <f>TEXT(Table2[[#This Row],[Enrollment_date]],"Mmm")</f>
        <v>May</v>
      </c>
      <c r="L308" s="4" t="str">
        <f>TEXT(Table2[[#This Row],[Enrollment_date]],"Ddd")</f>
        <v>Wed</v>
      </c>
      <c r="M308" s="4" t="s">
        <v>34</v>
      </c>
      <c r="N308" t="s">
        <v>35</v>
      </c>
      <c r="O308" t="s">
        <v>38</v>
      </c>
      <c r="P308" s="8">
        <v>4</v>
      </c>
      <c r="Q308" s="6">
        <v>0.8125</v>
      </c>
      <c r="R308" s="6">
        <v>81</v>
      </c>
      <c r="S308" s="6" t="str">
        <f>IF(Table2[[#This Row],[Avg_score]]&gt;=79,"Distinction",IF(Table2[[#This Row],[Avg_score]]&gt;=60,"Pass","Fail"))</f>
        <v>Distinction</v>
      </c>
      <c r="T308" t="s">
        <v>39</v>
      </c>
      <c r="U308">
        <f>IF(Table2[[#This Row],[Completed]]="Yes",1,0)</f>
        <v>1</v>
      </c>
      <c r="V308" t="s">
        <v>40</v>
      </c>
      <c r="W308" t="s">
        <v>40</v>
      </c>
      <c r="X308" s="4">
        <v>45838</v>
      </c>
    </row>
    <row r="309" spans="1:24" x14ac:dyDescent="0.3">
      <c r="A309">
        <v>308</v>
      </c>
      <c r="B309" s="8">
        <v>103</v>
      </c>
      <c r="C309">
        <v>2</v>
      </c>
      <c r="D309" t="s">
        <v>20</v>
      </c>
      <c r="E309" t="s">
        <v>23</v>
      </c>
      <c r="F309">
        <v>25</v>
      </c>
      <c r="G309" t="str">
        <f>IF(Table2[[#This Row],[Age]]&gt;=30,"Experienced",IF(Table2[[#This Row],[Age]]&gt;=25,"Mid Level", "Entry Level"))</f>
        <v>Mid Level</v>
      </c>
      <c r="H309" t="s">
        <v>24</v>
      </c>
      <c r="I309" t="s">
        <v>30</v>
      </c>
      <c r="J309" s="4">
        <v>45791</v>
      </c>
      <c r="K309" s="4" t="str">
        <f>TEXT(Table2[[#This Row],[Enrollment_date]],"Mmm")</f>
        <v>May</v>
      </c>
      <c r="L309" s="4" t="str">
        <f>TEXT(Table2[[#This Row],[Enrollment_date]],"Ddd")</f>
        <v>Wed</v>
      </c>
      <c r="M309" s="4" t="s">
        <v>34</v>
      </c>
      <c r="N309" t="s">
        <v>36</v>
      </c>
      <c r="O309" t="s">
        <v>38</v>
      </c>
      <c r="P309" s="8">
        <v>4</v>
      </c>
      <c r="Q309" s="6">
        <v>0.89583333333333337</v>
      </c>
      <c r="R309" s="6">
        <v>72.5</v>
      </c>
      <c r="S309" s="6" t="str">
        <f>IF(Table2[[#This Row],[Avg_score]]&gt;=79,"Distinction",IF(Table2[[#This Row],[Avg_score]]&gt;=60,"Pass","Fail"))</f>
        <v>Pass</v>
      </c>
      <c r="T309" t="s">
        <v>39</v>
      </c>
      <c r="U309">
        <f>IF(Table2[[#This Row],[Completed]]="Yes",1,0)</f>
        <v>1</v>
      </c>
      <c r="V309" t="s">
        <v>40</v>
      </c>
      <c r="W309" t="s">
        <v>40</v>
      </c>
      <c r="X309" s="4">
        <v>45838</v>
      </c>
    </row>
    <row r="310" spans="1:24" x14ac:dyDescent="0.3">
      <c r="A310">
        <v>309</v>
      </c>
      <c r="B310" s="8">
        <v>103</v>
      </c>
      <c r="C310">
        <v>3</v>
      </c>
      <c r="D310" t="s">
        <v>19</v>
      </c>
      <c r="E310" t="s">
        <v>23</v>
      </c>
      <c r="F310">
        <v>25</v>
      </c>
      <c r="G310" t="str">
        <f>IF(Table2[[#This Row],[Age]]&gt;=30,"Experienced",IF(Table2[[#This Row],[Age]]&gt;=25,"Mid Level", "Entry Level"))</f>
        <v>Mid Level</v>
      </c>
      <c r="H310" t="s">
        <v>24</v>
      </c>
      <c r="I310" t="s">
        <v>30</v>
      </c>
      <c r="J310" s="4">
        <v>45791</v>
      </c>
      <c r="K310" s="4" t="str">
        <f>TEXT(Table2[[#This Row],[Enrollment_date]],"Mmm")</f>
        <v>May</v>
      </c>
      <c r="L310" s="4" t="str">
        <f>TEXT(Table2[[#This Row],[Enrollment_date]],"Ddd")</f>
        <v>Wed</v>
      </c>
      <c r="M310" s="4" t="s">
        <v>34</v>
      </c>
      <c r="N310" t="s">
        <v>37</v>
      </c>
      <c r="O310" t="s">
        <v>38</v>
      </c>
      <c r="P310" s="8">
        <v>4</v>
      </c>
      <c r="Q310" s="6">
        <v>0.8125</v>
      </c>
      <c r="R310" s="6">
        <v>82.5</v>
      </c>
      <c r="S310" s="6" t="str">
        <f>IF(Table2[[#This Row],[Avg_score]]&gt;=79,"Distinction",IF(Table2[[#This Row],[Avg_score]]&gt;=60,"Pass","Fail"))</f>
        <v>Distinction</v>
      </c>
      <c r="T310" t="s">
        <v>39</v>
      </c>
      <c r="U310">
        <f>IF(Table2[[#This Row],[Completed]]="Yes",1,0)</f>
        <v>1</v>
      </c>
      <c r="V310" t="s">
        <v>40</v>
      </c>
      <c r="W310" t="s">
        <v>40</v>
      </c>
      <c r="X310" s="4">
        <v>45838</v>
      </c>
    </row>
    <row r="311" spans="1:24" x14ac:dyDescent="0.3">
      <c r="A311">
        <v>310</v>
      </c>
      <c r="B311" s="8">
        <v>104</v>
      </c>
      <c r="C311">
        <v>1</v>
      </c>
      <c r="D311" t="s">
        <v>19</v>
      </c>
      <c r="E311" t="s">
        <v>23</v>
      </c>
      <c r="F311">
        <v>25</v>
      </c>
      <c r="G311" t="str">
        <f>IF(Table2[[#This Row],[Age]]&gt;=30,"Experienced",IF(Table2[[#This Row],[Age]]&gt;=25,"Mid Level", "Entry Level"))</f>
        <v>Mid Level</v>
      </c>
      <c r="H311" t="s">
        <v>29</v>
      </c>
      <c r="I311" t="s">
        <v>44</v>
      </c>
      <c r="J311" s="4">
        <v>45677</v>
      </c>
      <c r="K311" s="4" t="str">
        <f>TEXT(Table2[[#This Row],[Enrollment_date]],"Mmm")</f>
        <v>Jan</v>
      </c>
      <c r="L311" s="4" t="str">
        <f>TEXT(Table2[[#This Row],[Enrollment_date]],"Ddd")</f>
        <v>Mon</v>
      </c>
      <c r="M311" s="4" t="s">
        <v>34</v>
      </c>
      <c r="N311" t="s">
        <v>35</v>
      </c>
      <c r="O311" t="s">
        <v>38</v>
      </c>
      <c r="P311" s="8">
        <v>4</v>
      </c>
      <c r="Q311" s="6">
        <v>0.875</v>
      </c>
      <c r="R311" s="6">
        <v>72.5</v>
      </c>
      <c r="S311" s="6" t="str">
        <f>IF(Table2[[#This Row],[Avg_score]]&gt;=79,"Distinction",IF(Table2[[#This Row],[Avg_score]]&gt;=60,"Pass","Fail"))</f>
        <v>Pass</v>
      </c>
      <c r="T311" t="s">
        <v>40</v>
      </c>
      <c r="U311">
        <f>IF(Table2[[#This Row],[Completed]]="Yes",1,0)</f>
        <v>0</v>
      </c>
      <c r="V311" t="s">
        <v>40</v>
      </c>
      <c r="W311" t="s">
        <v>40</v>
      </c>
      <c r="X311" s="4">
        <v>45838</v>
      </c>
    </row>
    <row r="312" spans="1:24" x14ac:dyDescent="0.3">
      <c r="A312">
        <v>311</v>
      </c>
      <c r="B312" s="8">
        <v>104</v>
      </c>
      <c r="C312">
        <v>2</v>
      </c>
      <c r="D312" t="s">
        <v>19</v>
      </c>
      <c r="E312" t="s">
        <v>23</v>
      </c>
      <c r="F312">
        <v>25</v>
      </c>
      <c r="G312" t="str">
        <f>IF(Table2[[#This Row],[Age]]&gt;=30,"Experienced",IF(Table2[[#This Row],[Age]]&gt;=25,"Mid Level", "Entry Level"))</f>
        <v>Mid Level</v>
      </c>
      <c r="H312" t="s">
        <v>29</v>
      </c>
      <c r="I312" t="s">
        <v>44</v>
      </c>
      <c r="J312" s="4">
        <v>45677</v>
      </c>
      <c r="K312" s="4" t="str">
        <f>TEXT(Table2[[#This Row],[Enrollment_date]],"Mmm")</f>
        <v>Jan</v>
      </c>
      <c r="L312" s="4" t="str">
        <f>TEXT(Table2[[#This Row],[Enrollment_date]],"Ddd")</f>
        <v>Mon</v>
      </c>
      <c r="M312" s="4" t="s">
        <v>34</v>
      </c>
      <c r="N312" t="s">
        <v>36</v>
      </c>
      <c r="O312" t="s">
        <v>38</v>
      </c>
      <c r="P312" s="8">
        <v>4</v>
      </c>
      <c r="Q312" s="6">
        <v>0.77083333333333337</v>
      </c>
      <c r="R312" s="6">
        <v>64.5</v>
      </c>
      <c r="S312" s="6" t="str">
        <f>IF(Table2[[#This Row],[Avg_score]]&gt;=79,"Distinction",IF(Table2[[#This Row],[Avg_score]]&gt;=60,"Pass","Fail"))</f>
        <v>Pass</v>
      </c>
      <c r="T312" t="s">
        <v>40</v>
      </c>
      <c r="U312">
        <f>IF(Table2[[#This Row],[Completed]]="Yes",1,0)</f>
        <v>0</v>
      </c>
      <c r="V312" t="s">
        <v>40</v>
      </c>
      <c r="W312" t="s">
        <v>40</v>
      </c>
      <c r="X312" s="4">
        <v>45838</v>
      </c>
    </row>
    <row r="313" spans="1:24" x14ac:dyDescent="0.3">
      <c r="A313">
        <v>312</v>
      </c>
      <c r="B313" s="8">
        <v>104</v>
      </c>
      <c r="C313">
        <v>3</v>
      </c>
      <c r="D313" t="s">
        <v>19</v>
      </c>
      <c r="E313" t="s">
        <v>23</v>
      </c>
      <c r="F313">
        <v>25</v>
      </c>
      <c r="G313" t="str">
        <f>IF(Table2[[#This Row],[Age]]&gt;=30,"Experienced",IF(Table2[[#This Row],[Age]]&gt;=25,"Mid Level", "Entry Level"))</f>
        <v>Mid Level</v>
      </c>
      <c r="H313" t="s">
        <v>29</v>
      </c>
      <c r="I313" t="s">
        <v>44</v>
      </c>
      <c r="J313" s="4">
        <v>45677</v>
      </c>
      <c r="K313" s="4" t="str">
        <f>TEXT(Table2[[#This Row],[Enrollment_date]],"Mmm")</f>
        <v>Jan</v>
      </c>
      <c r="L313" s="4" t="str">
        <f>TEXT(Table2[[#This Row],[Enrollment_date]],"Ddd")</f>
        <v>Mon</v>
      </c>
      <c r="M313" s="4" t="s">
        <v>34</v>
      </c>
      <c r="N313" t="s">
        <v>37</v>
      </c>
      <c r="O313" t="s">
        <v>38</v>
      </c>
      <c r="P313" s="8">
        <v>4</v>
      </c>
      <c r="Q313" s="6">
        <v>0.85416666666666663</v>
      </c>
      <c r="R313" s="6">
        <v>52.5</v>
      </c>
      <c r="S313" s="6" t="str">
        <f>IF(Table2[[#This Row],[Avg_score]]&gt;=79,"Distinction",IF(Table2[[#This Row],[Avg_score]]&gt;=60,"Pass","Fail"))</f>
        <v>Fail</v>
      </c>
      <c r="T313" t="s">
        <v>40</v>
      </c>
      <c r="U313">
        <f>IF(Table2[[#This Row],[Completed]]="Yes",1,0)</f>
        <v>0</v>
      </c>
      <c r="V313" t="s">
        <v>40</v>
      </c>
      <c r="W313" t="s">
        <v>40</v>
      </c>
      <c r="X313" s="4">
        <v>45838</v>
      </c>
    </row>
    <row r="314" spans="1:24" x14ac:dyDescent="0.3">
      <c r="A314">
        <v>313</v>
      </c>
      <c r="B314" s="8">
        <v>105</v>
      </c>
      <c r="C314">
        <v>1</v>
      </c>
      <c r="D314" t="s">
        <v>19</v>
      </c>
      <c r="E314" t="s">
        <v>23</v>
      </c>
      <c r="F314">
        <v>25</v>
      </c>
      <c r="G314" t="str">
        <f>IF(Table2[[#This Row],[Age]]&gt;=30,"Experienced",IF(Table2[[#This Row],[Age]]&gt;=25,"Mid Level", "Entry Level"))</f>
        <v>Mid Level</v>
      </c>
      <c r="H314" t="s">
        <v>29</v>
      </c>
      <c r="I314" t="s">
        <v>30</v>
      </c>
      <c r="J314" s="4">
        <v>45739</v>
      </c>
      <c r="K314" s="4" t="str">
        <f>TEXT(Table2[[#This Row],[Enrollment_date]],"Mmm")</f>
        <v>Mar</v>
      </c>
      <c r="L314" s="4" t="str">
        <f>TEXT(Table2[[#This Row],[Enrollment_date]],"Ddd")</f>
        <v>Sun</v>
      </c>
      <c r="M314" s="4" t="s">
        <v>34</v>
      </c>
      <c r="N314" t="s">
        <v>35</v>
      </c>
      <c r="O314" t="s">
        <v>38</v>
      </c>
      <c r="P314" s="8">
        <v>4</v>
      </c>
      <c r="Q314" s="6">
        <v>0.83333333333333337</v>
      </c>
      <c r="R314" s="6">
        <v>76.5</v>
      </c>
      <c r="S314" s="6" t="str">
        <f>IF(Table2[[#This Row],[Avg_score]]&gt;=79,"Distinction",IF(Table2[[#This Row],[Avg_score]]&gt;=60,"Pass","Fail"))</f>
        <v>Pass</v>
      </c>
      <c r="T314" t="s">
        <v>39</v>
      </c>
      <c r="U314">
        <f>IF(Table2[[#This Row],[Completed]]="Yes",1,0)</f>
        <v>1</v>
      </c>
      <c r="V314" t="s">
        <v>40</v>
      </c>
      <c r="W314" t="s">
        <v>40</v>
      </c>
      <c r="X314" s="4">
        <v>45838</v>
      </c>
    </row>
    <row r="315" spans="1:24" x14ac:dyDescent="0.3">
      <c r="A315">
        <v>314</v>
      </c>
      <c r="B315" s="8">
        <v>105</v>
      </c>
      <c r="C315">
        <v>2</v>
      </c>
      <c r="D315" t="s">
        <v>21</v>
      </c>
      <c r="E315" t="s">
        <v>23</v>
      </c>
      <c r="F315">
        <v>25</v>
      </c>
      <c r="G315" t="str">
        <f>IF(Table2[[#This Row],[Age]]&gt;=30,"Experienced",IF(Table2[[#This Row],[Age]]&gt;=25,"Mid Level", "Entry Level"))</f>
        <v>Mid Level</v>
      </c>
      <c r="H315" t="s">
        <v>29</v>
      </c>
      <c r="I315" t="s">
        <v>30</v>
      </c>
      <c r="J315" s="4">
        <v>45739</v>
      </c>
      <c r="K315" s="4" t="str">
        <f>TEXT(Table2[[#This Row],[Enrollment_date]],"Mmm")</f>
        <v>Mar</v>
      </c>
      <c r="L315" s="4" t="str">
        <f>TEXT(Table2[[#This Row],[Enrollment_date]],"Ddd")</f>
        <v>Sun</v>
      </c>
      <c r="M315" s="4" t="s">
        <v>34</v>
      </c>
      <c r="N315" t="s">
        <v>36</v>
      </c>
      <c r="O315" t="s">
        <v>38</v>
      </c>
      <c r="P315" s="8">
        <v>4</v>
      </c>
      <c r="Q315" s="6">
        <v>0.75</v>
      </c>
      <c r="R315" s="6">
        <v>94</v>
      </c>
      <c r="S315" s="6" t="str">
        <f>IF(Table2[[#This Row],[Avg_score]]&gt;=79,"Distinction",IF(Table2[[#This Row],[Avg_score]]&gt;=60,"Pass","Fail"))</f>
        <v>Distinction</v>
      </c>
      <c r="T315" t="s">
        <v>39</v>
      </c>
      <c r="U315">
        <f>IF(Table2[[#This Row],[Completed]]="Yes",1,0)</f>
        <v>1</v>
      </c>
      <c r="V315" t="s">
        <v>40</v>
      </c>
      <c r="W315" t="s">
        <v>40</v>
      </c>
      <c r="X315" s="4">
        <v>45838</v>
      </c>
    </row>
    <row r="316" spans="1:24" x14ac:dyDescent="0.3">
      <c r="A316">
        <v>315</v>
      </c>
      <c r="B316" s="8">
        <v>105</v>
      </c>
      <c r="C316">
        <v>3</v>
      </c>
      <c r="D316" t="s">
        <v>19</v>
      </c>
      <c r="E316" t="s">
        <v>23</v>
      </c>
      <c r="F316">
        <v>25</v>
      </c>
      <c r="G316" t="str">
        <f>IF(Table2[[#This Row],[Age]]&gt;=30,"Experienced",IF(Table2[[#This Row],[Age]]&gt;=25,"Mid Level", "Entry Level"))</f>
        <v>Mid Level</v>
      </c>
      <c r="H316" t="s">
        <v>29</v>
      </c>
      <c r="I316" t="s">
        <v>30</v>
      </c>
      <c r="J316" s="4">
        <v>45739</v>
      </c>
      <c r="K316" s="4" t="str">
        <f>TEXT(Table2[[#This Row],[Enrollment_date]],"Mmm")</f>
        <v>Mar</v>
      </c>
      <c r="L316" s="4" t="str">
        <f>TEXT(Table2[[#This Row],[Enrollment_date]],"Ddd")</f>
        <v>Sun</v>
      </c>
      <c r="M316" s="4" t="s">
        <v>34</v>
      </c>
      <c r="N316" t="s">
        <v>37</v>
      </c>
      <c r="O316" t="s">
        <v>38</v>
      </c>
      <c r="P316" s="8">
        <v>4</v>
      </c>
      <c r="Q316" s="6">
        <v>0.83333333333333337</v>
      </c>
      <c r="R316" s="6">
        <v>60.5</v>
      </c>
      <c r="S316" s="6" t="str">
        <f>IF(Table2[[#This Row],[Avg_score]]&gt;=79,"Distinction",IF(Table2[[#This Row],[Avg_score]]&gt;=60,"Pass","Fail"))</f>
        <v>Pass</v>
      </c>
      <c r="T316" t="s">
        <v>39</v>
      </c>
      <c r="U316">
        <f>IF(Table2[[#This Row],[Completed]]="Yes",1,0)</f>
        <v>1</v>
      </c>
      <c r="V316" t="s">
        <v>40</v>
      </c>
      <c r="W316" t="s">
        <v>40</v>
      </c>
      <c r="X316" s="4">
        <v>45838</v>
      </c>
    </row>
    <row r="317" spans="1:24" x14ac:dyDescent="0.3">
      <c r="A317">
        <v>316</v>
      </c>
      <c r="B317" s="8">
        <v>106</v>
      </c>
      <c r="C317">
        <v>1</v>
      </c>
      <c r="D317" t="s">
        <v>19</v>
      </c>
      <c r="E317" t="s">
        <v>22</v>
      </c>
      <c r="F317">
        <v>22</v>
      </c>
      <c r="G317" t="str">
        <f>IF(Table2[[#This Row],[Age]]&gt;=30,"Experienced",IF(Table2[[#This Row],[Age]]&gt;=25,"Mid Level", "Entry Level"))</f>
        <v>Entry Level</v>
      </c>
      <c r="H317" t="s">
        <v>28</v>
      </c>
      <c r="I317" t="s">
        <v>32</v>
      </c>
      <c r="J317" s="4">
        <v>45756</v>
      </c>
      <c r="K317" s="4" t="str">
        <f>TEXT(Table2[[#This Row],[Enrollment_date]],"Mmm")</f>
        <v>Apr</v>
      </c>
      <c r="L317" s="4" t="str">
        <f>TEXT(Table2[[#This Row],[Enrollment_date]],"Ddd")</f>
        <v>Wed</v>
      </c>
      <c r="M317" s="4" t="s">
        <v>34</v>
      </c>
      <c r="N317" t="s">
        <v>35</v>
      </c>
      <c r="O317" t="s">
        <v>38</v>
      </c>
      <c r="P317" s="8">
        <v>4</v>
      </c>
      <c r="Q317" s="6">
        <v>0.83333333333333337</v>
      </c>
      <c r="R317" s="6">
        <v>72.5</v>
      </c>
      <c r="S317" s="6" t="str">
        <f>IF(Table2[[#This Row],[Avg_score]]&gt;=79,"Distinction",IF(Table2[[#This Row],[Avg_score]]&gt;=60,"Pass","Fail"))</f>
        <v>Pass</v>
      </c>
      <c r="T317" t="s">
        <v>39</v>
      </c>
      <c r="U317">
        <f>IF(Table2[[#This Row],[Completed]]="Yes",1,0)</f>
        <v>1</v>
      </c>
      <c r="V317" t="s">
        <v>40</v>
      </c>
      <c r="W317" t="s">
        <v>40</v>
      </c>
      <c r="X317" s="4">
        <v>45838</v>
      </c>
    </row>
    <row r="318" spans="1:24" x14ac:dyDescent="0.3">
      <c r="A318">
        <v>317</v>
      </c>
      <c r="B318" s="8">
        <v>106</v>
      </c>
      <c r="C318">
        <v>2</v>
      </c>
      <c r="D318" t="s">
        <v>21</v>
      </c>
      <c r="E318" t="s">
        <v>22</v>
      </c>
      <c r="F318">
        <v>22</v>
      </c>
      <c r="G318" t="str">
        <f>IF(Table2[[#This Row],[Age]]&gt;=30,"Experienced",IF(Table2[[#This Row],[Age]]&gt;=25,"Mid Level", "Entry Level"))</f>
        <v>Entry Level</v>
      </c>
      <c r="H318" t="s">
        <v>28</v>
      </c>
      <c r="I318" t="s">
        <v>32</v>
      </c>
      <c r="J318" s="4">
        <v>45756</v>
      </c>
      <c r="K318" s="4" t="str">
        <f>TEXT(Table2[[#This Row],[Enrollment_date]],"Mmm")</f>
        <v>Apr</v>
      </c>
      <c r="L318" s="4" t="str">
        <f>TEXT(Table2[[#This Row],[Enrollment_date]],"Ddd")</f>
        <v>Wed</v>
      </c>
      <c r="M318" s="4" t="s">
        <v>34</v>
      </c>
      <c r="N318" t="s">
        <v>36</v>
      </c>
      <c r="O318" t="s">
        <v>38</v>
      </c>
      <c r="P318" s="8">
        <v>4</v>
      </c>
      <c r="Q318" s="6">
        <v>0.75</v>
      </c>
      <c r="R318" s="6">
        <v>71.5</v>
      </c>
      <c r="S318" s="6" t="str">
        <f>IF(Table2[[#This Row],[Avg_score]]&gt;=79,"Distinction",IF(Table2[[#This Row],[Avg_score]]&gt;=60,"Pass","Fail"))</f>
        <v>Pass</v>
      </c>
      <c r="T318" t="s">
        <v>39</v>
      </c>
      <c r="U318">
        <f>IF(Table2[[#This Row],[Completed]]="Yes",1,0)</f>
        <v>1</v>
      </c>
      <c r="V318" t="s">
        <v>40</v>
      </c>
      <c r="W318" t="s">
        <v>40</v>
      </c>
      <c r="X318" s="4">
        <v>45838</v>
      </c>
    </row>
    <row r="319" spans="1:24" x14ac:dyDescent="0.3">
      <c r="A319">
        <v>318</v>
      </c>
      <c r="B319" s="8">
        <v>106</v>
      </c>
      <c r="C319">
        <v>3</v>
      </c>
      <c r="D319" t="s">
        <v>19</v>
      </c>
      <c r="E319" t="s">
        <v>22</v>
      </c>
      <c r="F319">
        <v>22</v>
      </c>
      <c r="G319" t="str">
        <f>IF(Table2[[#This Row],[Age]]&gt;=30,"Experienced",IF(Table2[[#This Row],[Age]]&gt;=25,"Mid Level", "Entry Level"))</f>
        <v>Entry Level</v>
      </c>
      <c r="H319" t="s">
        <v>28</v>
      </c>
      <c r="I319" t="s">
        <v>32</v>
      </c>
      <c r="J319" s="4">
        <v>45756</v>
      </c>
      <c r="K319" s="4" t="str">
        <f>TEXT(Table2[[#This Row],[Enrollment_date]],"Mmm")</f>
        <v>Apr</v>
      </c>
      <c r="L319" s="4" t="str">
        <f>TEXT(Table2[[#This Row],[Enrollment_date]],"Ddd")</f>
        <v>Wed</v>
      </c>
      <c r="M319" s="4" t="s">
        <v>34</v>
      </c>
      <c r="N319" t="s">
        <v>37</v>
      </c>
      <c r="O319" t="s">
        <v>38</v>
      </c>
      <c r="P319" s="8">
        <v>4</v>
      </c>
      <c r="Q319" s="6">
        <v>0.79166666666666663</v>
      </c>
      <c r="R319" s="6">
        <v>53</v>
      </c>
      <c r="S319" s="6" t="str">
        <f>IF(Table2[[#This Row],[Avg_score]]&gt;=79,"Distinction",IF(Table2[[#This Row],[Avg_score]]&gt;=60,"Pass","Fail"))</f>
        <v>Fail</v>
      </c>
      <c r="T319" t="s">
        <v>39</v>
      </c>
      <c r="U319">
        <f>IF(Table2[[#This Row],[Completed]]="Yes",1,0)</f>
        <v>1</v>
      </c>
      <c r="V319" t="s">
        <v>40</v>
      </c>
      <c r="W319" t="s">
        <v>40</v>
      </c>
      <c r="X319" s="4">
        <v>45838</v>
      </c>
    </row>
    <row r="320" spans="1:24" x14ac:dyDescent="0.3">
      <c r="A320">
        <v>319</v>
      </c>
      <c r="B320" s="8">
        <v>107</v>
      </c>
      <c r="C320">
        <v>1</v>
      </c>
      <c r="D320" t="s">
        <v>21</v>
      </c>
      <c r="E320" t="s">
        <v>22</v>
      </c>
      <c r="F320">
        <v>24</v>
      </c>
      <c r="G320" t="str">
        <f>IF(Table2[[#This Row],[Age]]&gt;=30,"Experienced",IF(Table2[[#This Row],[Age]]&gt;=25,"Mid Level", "Entry Level"))</f>
        <v>Entry Level</v>
      </c>
      <c r="H320" t="s">
        <v>25</v>
      </c>
      <c r="I320" t="s">
        <v>44</v>
      </c>
      <c r="J320" s="4">
        <v>45762</v>
      </c>
      <c r="K320" s="4" t="str">
        <f>TEXT(Table2[[#This Row],[Enrollment_date]],"Mmm")</f>
        <v>Apr</v>
      </c>
      <c r="L320" s="4" t="str">
        <f>TEXT(Table2[[#This Row],[Enrollment_date]],"Ddd")</f>
        <v>Tue</v>
      </c>
      <c r="M320" s="4" t="s">
        <v>34</v>
      </c>
      <c r="N320" t="s">
        <v>35</v>
      </c>
      <c r="O320" t="s">
        <v>38</v>
      </c>
      <c r="P320" s="8">
        <v>4</v>
      </c>
      <c r="Q320" s="6">
        <v>0.89583333333333337</v>
      </c>
      <c r="R320" s="6">
        <v>56.5</v>
      </c>
      <c r="S320" s="6" t="str">
        <f>IF(Table2[[#This Row],[Avg_score]]&gt;=79,"Distinction",IF(Table2[[#This Row],[Avg_score]]&gt;=60,"Pass","Fail"))</f>
        <v>Fail</v>
      </c>
      <c r="T320" t="s">
        <v>40</v>
      </c>
      <c r="U320">
        <f>IF(Table2[[#This Row],[Completed]]="Yes",1,0)</f>
        <v>0</v>
      </c>
      <c r="V320" t="s">
        <v>40</v>
      </c>
      <c r="W320" t="s">
        <v>40</v>
      </c>
      <c r="X320" s="4">
        <v>45838</v>
      </c>
    </row>
    <row r="321" spans="1:24" x14ac:dyDescent="0.3">
      <c r="A321">
        <v>320</v>
      </c>
      <c r="B321" s="8">
        <v>107</v>
      </c>
      <c r="C321">
        <v>2</v>
      </c>
      <c r="D321" t="s">
        <v>20</v>
      </c>
      <c r="E321" t="s">
        <v>22</v>
      </c>
      <c r="F321">
        <v>24</v>
      </c>
      <c r="G321" t="str">
        <f>IF(Table2[[#This Row],[Age]]&gt;=30,"Experienced",IF(Table2[[#This Row],[Age]]&gt;=25,"Mid Level", "Entry Level"))</f>
        <v>Entry Level</v>
      </c>
      <c r="H321" t="s">
        <v>25</v>
      </c>
      <c r="I321" t="s">
        <v>44</v>
      </c>
      <c r="J321" s="4">
        <v>45762</v>
      </c>
      <c r="K321" s="4" t="str">
        <f>TEXT(Table2[[#This Row],[Enrollment_date]],"Mmm")</f>
        <v>Apr</v>
      </c>
      <c r="L321" s="4" t="str">
        <f>TEXT(Table2[[#This Row],[Enrollment_date]],"Ddd")</f>
        <v>Tue</v>
      </c>
      <c r="M321" s="4" t="s">
        <v>34</v>
      </c>
      <c r="N321" t="s">
        <v>36</v>
      </c>
      <c r="O321" t="s">
        <v>38</v>
      </c>
      <c r="P321" s="8">
        <v>4</v>
      </c>
      <c r="Q321" s="6">
        <v>0.79166666666666663</v>
      </c>
      <c r="R321" s="6">
        <v>88</v>
      </c>
      <c r="S321" s="6" t="str">
        <f>IF(Table2[[#This Row],[Avg_score]]&gt;=79,"Distinction",IF(Table2[[#This Row],[Avg_score]]&gt;=60,"Pass","Fail"))</f>
        <v>Distinction</v>
      </c>
      <c r="T321" t="s">
        <v>40</v>
      </c>
      <c r="U321">
        <f>IF(Table2[[#This Row],[Completed]]="Yes",1,0)</f>
        <v>0</v>
      </c>
      <c r="V321" t="s">
        <v>40</v>
      </c>
      <c r="W321" t="s">
        <v>40</v>
      </c>
      <c r="X321" s="4">
        <v>45838</v>
      </c>
    </row>
    <row r="322" spans="1:24" x14ac:dyDescent="0.3">
      <c r="A322">
        <v>321</v>
      </c>
      <c r="B322" s="8">
        <v>107</v>
      </c>
      <c r="C322">
        <v>3</v>
      </c>
      <c r="D322" t="s">
        <v>19</v>
      </c>
      <c r="E322" t="s">
        <v>22</v>
      </c>
      <c r="F322">
        <v>24</v>
      </c>
      <c r="G322" t="str">
        <f>IF(Table2[[#This Row],[Age]]&gt;=30,"Experienced",IF(Table2[[#This Row],[Age]]&gt;=25,"Mid Level", "Entry Level"))</f>
        <v>Entry Level</v>
      </c>
      <c r="H322" t="s">
        <v>25</v>
      </c>
      <c r="I322" t="s">
        <v>44</v>
      </c>
      <c r="J322" s="4">
        <v>45762</v>
      </c>
      <c r="K322" s="4" t="str">
        <f>TEXT(Table2[[#This Row],[Enrollment_date]],"Mmm")</f>
        <v>Apr</v>
      </c>
      <c r="L322" s="4" t="str">
        <f>TEXT(Table2[[#This Row],[Enrollment_date]],"Ddd")</f>
        <v>Tue</v>
      </c>
      <c r="M322" s="4" t="s">
        <v>34</v>
      </c>
      <c r="N322" t="s">
        <v>37</v>
      </c>
      <c r="O322" t="s">
        <v>38</v>
      </c>
      <c r="P322" s="8">
        <v>4</v>
      </c>
      <c r="Q322" s="6">
        <v>0.8125</v>
      </c>
      <c r="R322" s="6">
        <v>48.5</v>
      </c>
      <c r="S322" s="6" t="str">
        <f>IF(Table2[[#This Row],[Avg_score]]&gt;=79,"Distinction",IF(Table2[[#This Row],[Avg_score]]&gt;=60,"Pass","Fail"))</f>
        <v>Fail</v>
      </c>
      <c r="T322" t="s">
        <v>40</v>
      </c>
      <c r="U322">
        <f>IF(Table2[[#This Row],[Completed]]="Yes",1,0)</f>
        <v>0</v>
      </c>
      <c r="V322" t="s">
        <v>40</v>
      </c>
      <c r="W322" t="s">
        <v>40</v>
      </c>
      <c r="X322" s="4">
        <v>45838</v>
      </c>
    </row>
    <row r="323" spans="1:24" x14ac:dyDescent="0.3">
      <c r="A323">
        <v>322</v>
      </c>
      <c r="B323" s="8">
        <v>108</v>
      </c>
      <c r="C323">
        <v>1</v>
      </c>
      <c r="D323" t="s">
        <v>19</v>
      </c>
      <c r="E323" t="s">
        <v>23</v>
      </c>
      <c r="F323">
        <v>35</v>
      </c>
      <c r="G323" t="str">
        <f>IF(Table2[[#This Row],[Age]]&gt;=30,"Experienced",IF(Table2[[#This Row],[Age]]&gt;=25,"Mid Level", "Entry Level"))</f>
        <v>Experienced</v>
      </c>
      <c r="H323" t="s">
        <v>27</v>
      </c>
      <c r="I323" t="s">
        <v>44</v>
      </c>
      <c r="J323" s="4">
        <v>45673</v>
      </c>
      <c r="K323" s="4" t="str">
        <f>TEXT(Table2[[#This Row],[Enrollment_date]],"Mmm")</f>
        <v>Jan</v>
      </c>
      <c r="L323" s="4" t="str">
        <f>TEXT(Table2[[#This Row],[Enrollment_date]],"Ddd")</f>
        <v>Thu</v>
      </c>
      <c r="M323" s="4" t="s">
        <v>34</v>
      </c>
      <c r="N323" t="s">
        <v>35</v>
      </c>
      <c r="O323" t="s">
        <v>38</v>
      </c>
      <c r="P323" s="8">
        <v>4</v>
      </c>
      <c r="Q323" s="6">
        <v>0.75</v>
      </c>
      <c r="R323" s="6">
        <v>77.5</v>
      </c>
      <c r="S323" s="6" t="str">
        <f>IF(Table2[[#This Row],[Avg_score]]&gt;=79,"Distinction",IF(Table2[[#This Row],[Avg_score]]&gt;=60,"Pass","Fail"))</f>
        <v>Pass</v>
      </c>
      <c r="T323" t="s">
        <v>40</v>
      </c>
      <c r="U323">
        <f>IF(Table2[[#This Row],[Completed]]="Yes",1,0)</f>
        <v>0</v>
      </c>
      <c r="V323" t="s">
        <v>40</v>
      </c>
      <c r="W323" t="s">
        <v>40</v>
      </c>
      <c r="X323" s="4">
        <v>45838</v>
      </c>
    </row>
    <row r="324" spans="1:24" x14ac:dyDescent="0.3">
      <c r="A324">
        <v>323</v>
      </c>
      <c r="B324" s="8">
        <v>108</v>
      </c>
      <c r="C324">
        <v>2</v>
      </c>
      <c r="D324" t="s">
        <v>19</v>
      </c>
      <c r="E324" t="s">
        <v>23</v>
      </c>
      <c r="F324">
        <v>35</v>
      </c>
      <c r="G324" t="str">
        <f>IF(Table2[[#This Row],[Age]]&gt;=30,"Experienced",IF(Table2[[#This Row],[Age]]&gt;=25,"Mid Level", "Entry Level"))</f>
        <v>Experienced</v>
      </c>
      <c r="H324" t="s">
        <v>27</v>
      </c>
      <c r="I324" t="s">
        <v>44</v>
      </c>
      <c r="J324" s="4">
        <v>45673</v>
      </c>
      <c r="K324" s="4" t="str">
        <f>TEXT(Table2[[#This Row],[Enrollment_date]],"Mmm")</f>
        <v>Jan</v>
      </c>
      <c r="L324" s="4" t="str">
        <f>TEXT(Table2[[#This Row],[Enrollment_date]],"Ddd")</f>
        <v>Thu</v>
      </c>
      <c r="M324" s="4" t="s">
        <v>34</v>
      </c>
      <c r="N324" t="s">
        <v>36</v>
      </c>
      <c r="O324" t="s">
        <v>38</v>
      </c>
      <c r="P324" s="8">
        <v>4</v>
      </c>
      <c r="Q324" s="6">
        <v>0.875</v>
      </c>
      <c r="R324" s="6">
        <v>59</v>
      </c>
      <c r="S324" s="6" t="str">
        <f>IF(Table2[[#This Row],[Avg_score]]&gt;=79,"Distinction",IF(Table2[[#This Row],[Avg_score]]&gt;=60,"Pass","Fail"))</f>
        <v>Fail</v>
      </c>
      <c r="T324" t="s">
        <v>40</v>
      </c>
      <c r="U324">
        <f>IF(Table2[[#This Row],[Completed]]="Yes",1,0)</f>
        <v>0</v>
      </c>
      <c r="V324" t="s">
        <v>40</v>
      </c>
      <c r="W324" t="s">
        <v>40</v>
      </c>
      <c r="X324" s="4">
        <v>45838</v>
      </c>
    </row>
    <row r="325" spans="1:24" x14ac:dyDescent="0.3">
      <c r="A325">
        <v>324</v>
      </c>
      <c r="B325" s="8">
        <v>108</v>
      </c>
      <c r="C325">
        <v>3</v>
      </c>
      <c r="D325" t="s">
        <v>21</v>
      </c>
      <c r="E325" t="s">
        <v>23</v>
      </c>
      <c r="F325">
        <v>35</v>
      </c>
      <c r="G325" t="str">
        <f>IF(Table2[[#This Row],[Age]]&gt;=30,"Experienced",IF(Table2[[#This Row],[Age]]&gt;=25,"Mid Level", "Entry Level"))</f>
        <v>Experienced</v>
      </c>
      <c r="H325" t="s">
        <v>27</v>
      </c>
      <c r="I325" t="s">
        <v>44</v>
      </c>
      <c r="J325" s="4">
        <v>45673</v>
      </c>
      <c r="K325" s="4" t="str">
        <f>TEXT(Table2[[#This Row],[Enrollment_date]],"Mmm")</f>
        <v>Jan</v>
      </c>
      <c r="L325" s="4" t="str">
        <f>TEXT(Table2[[#This Row],[Enrollment_date]],"Ddd")</f>
        <v>Thu</v>
      </c>
      <c r="M325" s="4" t="s">
        <v>34</v>
      </c>
      <c r="N325" t="s">
        <v>37</v>
      </c>
      <c r="O325" t="s">
        <v>38</v>
      </c>
      <c r="P325" s="8">
        <v>4</v>
      </c>
      <c r="Q325" s="6">
        <v>0.875</v>
      </c>
      <c r="R325" s="6">
        <v>87.5</v>
      </c>
      <c r="S325" s="6" t="str">
        <f>IF(Table2[[#This Row],[Avg_score]]&gt;=79,"Distinction",IF(Table2[[#This Row],[Avg_score]]&gt;=60,"Pass","Fail"))</f>
        <v>Distinction</v>
      </c>
      <c r="T325" t="s">
        <v>40</v>
      </c>
      <c r="U325">
        <f>IF(Table2[[#This Row],[Completed]]="Yes",1,0)</f>
        <v>0</v>
      </c>
      <c r="V325" t="s">
        <v>40</v>
      </c>
      <c r="W325" t="s">
        <v>40</v>
      </c>
      <c r="X325" s="4">
        <v>45838</v>
      </c>
    </row>
    <row r="326" spans="1:24" x14ac:dyDescent="0.3">
      <c r="A326">
        <v>325</v>
      </c>
      <c r="B326" s="8">
        <v>109</v>
      </c>
      <c r="C326">
        <v>1</v>
      </c>
      <c r="D326" t="s">
        <v>19</v>
      </c>
      <c r="E326" t="s">
        <v>22</v>
      </c>
      <c r="F326">
        <v>31</v>
      </c>
      <c r="G326" t="str">
        <f>IF(Table2[[#This Row],[Age]]&gt;=30,"Experienced",IF(Table2[[#This Row],[Age]]&gt;=25,"Mid Level", "Entry Level"))</f>
        <v>Experienced</v>
      </c>
      <c r="H326" t="s">
        <v>27</v>
      </c>
      <c r="I326" t="s">
        <v>68</v>
      </c>
      <c r="J326" s="4">
        <v>45805</v>
      </c>
      <c r="K326" s="4" t="str">
        <f>TEXT(Table2[[#This Row],[Enrollment_date]],"Mmm")</f>
        <v>May</v>
      </c>
      <c r="L326" s="4" t="str">
        <f>TEXT(Table2[[#This Row],[Enrollment_date]],"Ddd")</f>
        <v>Wed</v>
      </c>
      <c r="M326" s="4" t="s">
        <v>34</v>
      </c>
      <c r="N326" t="s">
        <v>35</v>
      </c>
      <c r="O326" t="s">
        <v>38</v>
      </c>
      <c r="P326" s="8">
        <v>4</v>
      </c>
      <c r="Q326" s="6">
        <v>0.85416666666666663</v>
      </c>
      <c r="R326" s="6">
        <v>85.5</v>
      </c>
      <c r="S326" s="6" t="str">
        <f>IF(Table2[[#This Row],[Avg_score]]&gt;=79,"Distinction",IF(Table2[[#This Row],[Avg_score]]&gt;=60,"Pass","Fail"))</f>
        <v>Distinction</v>
      </c>
      <c r="T326" t="s">
        <v>40</v>
      </c>
      <c r="U326">
        <f>IF(Table2[[#This Row],[Completed]]="Yes",1,0)</f>
        <v>0</v>
      </c>
      <c r="V326" t="s">
        <v>40</v>
      </c>
      <c r="W326" t="s">
        <v>40</v>
      </c>
      <c r="X326" s="4">
        <v>45838</v>
      </c>
    </row>
    <row r="327" spans="1:24" x14ac:dyDescent="0.3">
      <c r="A327">
        <v>326</v>
      </c>
      <c r="B327" s="8">
        <v>109</v>
      </c>
      <c r="C327">
        <v>2</v>
      </c>
      <c r="D327" t="s">
        <v>21</v>
      </c>
      <c r="E327" t="s">
        <v>22</v>
      </c>
      <c r="F327">
        <v>31</v>
      </c>
      <c r="G327" t="str">
        <f>IF(Table2[[#This Row],[Age]]&gt;=30,"Experienced",IF(Table2[[#This Row],[Age]]&gt;=25,"Mid Level", "Entry Level"))</f>
        <v>Experienced</v>
      </c>
      <c r="H327" t="s">
        <v>27</v>
      </c>
      <c r="I327" t="s">
        <v>68</v>
      </c>
      <c r="J327" s="4">
        <v>45805</v>
      </c>
      <c r="K327" s="4" t="str">
        <f>TEXT(Table2[[#This Row],[Enrollment_date]],"Mmm")</f>
        <v>May</v>
      </c>
      <c r="L327" s="4" t="str">
        <f>TEXT(Table2[[#This Row],[Enrollment_date]],"Ddd")</f>
        <v>Wed</v>
      </c>
      <c r="M327" s="4" t="s">
        <v>34</v>
      </c>
      <c r="N327" t="s">
        <v>36</v>
      </c>
      <c r="O327" t="s">
        <v>38</v>
      </c>
      <c r="P327" s="8">
        <v>4</v>
      </c>
      <c r="Q327" s="6">
        <v>0.83333333333333337</v>
      </c>
      <c r="R327" s="6">
        <v>58</v>
      </c>
      <c r="S327" s="6" t="str">
        <f>IF(Table2[[#This Row],[Avg_score]]&gt;=79,"Distinction",IF(Table2[[#This Row],[Avg_score]]&gt;=60,"Pass","Fail"))</f>
        <v>Fail</v>
      </c>
      <c r="T327" t="s">
        <v>40</v>
      </c>
      <c r="U327">
        <f>IF(Table2[[#This Row],[Completed]]="Yes",1,0)</f>
        <v>0</v>
      </c>
      <c r="V327" t="s">
        <v>40</v>
      </c>
      <c r="W327" t="s">
        <v>40</v>
      </c>
      <c r="X327" s="4">
        <v>45838</v>
      </c>
    </row>
    <row r="328" spans="1:24" x14ac:dyDescent="0.3">
      <c r="A328">
        <v>327</v>
      </c>
      <c r="B328" s="8">
        <v>109</v>
      </c>
      <c r="C328">
        <v>3</v>
      </c>
      <c r="D328" t="s">
        <v>19</v>
      </c>
      <c r="E328" t="s">
        <v>22</v>
      </c>
      <c r="F328">
        <v>31</v>
      </c>
      <c r="G328" t="str">
        <f>IF(Table2[[#This Row],[Age]]&gt;=30,"Experienced",IF(Table2[[#This Row],[Age]]&gt;=25,"Mid Level", "Entry Level"))</f>
        <v>Experienced</v>
      </c>
      <c r="H328" t="s">
        <v>27</v>
      </c>
      <c r="I328" t="s">
        <v>68</v>
      </c>
      <c r="J328" s="4">
        <v>45805</v>
      </c>
      <c r="K328" s="4" t="str">
        <f>TEXT(Table2[[#This Row],[Enrollment_date]],"Mmm")</f>
        <v>May</v>
      </c>
      <c r="L328" s="4" t="str">
        <f>TEXT(Table2[[#This Row],[Enrollment_date]],"Ddd")</f>
        <v>Wed</v>
      </c>
      <c r="M328" s="4" t="s">
        <v>34</v>
      </c>
      <c r="N328" t="s">
        <v>37</v>
      </c>
      <c r="O328" t="s">
        <v>38</v>
      </c>
      <c r="P328" s="8">
        <v>4</v>
      </c>
      <c r="Q328" s="6">
        <v>0.85416666666666663</v>
      </c>
      <c r="R328" s="6">
        <v>63</v>
      </c>
      <c r="S328" s="6" t="str">
        <f>IF(Table2[[#This Row],[Avg_score]]&gt;=79,"Distinction",IF(Table2[[#This Row],[Avg_score]]&gt;=60,"Pass","Fail"))</f>
        <v>Pass</v>
      </c>
      <c r="T328" t="s">
        <v>40</v>
      </c>
      <c r="U328">
        <f>IF(Table2[[#This Row],[Completed]]="Yes",1,0)</f>
        <v>0</v>
      </c>
      <c r="V328" t="s">
        <v>40</v>
      </c>
      <c r="W328" t="s">
        <v>40</v>
      </c>
      <c r="X328" s="4">
        <v>45838</v>
      </c>
    </row>
    <row r="329" spans="1:24" x14ac:dyDescent="0.3">
      <c r="A329">
        <v>328</v>
      </c>
      <c r="B329" s="8">
        <v>110</v>
      </c>
      <c r="C329">
        <v>1</v>
      </c>
      <c r="D329" t="s">
        <v>20</v>
      </c>
      <c r="E329" t="s">
        <v>23</v>
      </c>
      <c r="F329">
        <v>33</v>
      </c>
      <c r="G329" t="str">
        <f>IF(Table2[[#This Row],[Age]]&gt;=30,"Experienced",IF(Table2[[#This Row],[Age]]&gt;=25,"Mid Level", "Entry Level"))</f>
        <v>Experienced</v>
      </c>
      <c r="H329" t="s">
        <v>25</v>
      </c>
      <c r="I329" t="s">
        <v>30</v>
      </c>
      <c r="J329" s="4">
        <v>45734</v>
      </c>
      <c r="K329" s="4" t="str">
        <f>TEXT(Table2[[#This Row],[Enrollment_date]],"Mmm")</f>
        <v>Mar</v>
      </c>
      <c r="L329" s="4" t="str">
        <f>TEXT(Table2[[#This Row],[Enrollment_date]],"Ddd")</f>
        <v>Tue</v>
      </c>
      <c r="M329" s="4" t="s">
        <v>34</v>
      </c>
      <c r="N329" t="s">
        <v>35</v>
      </c>
      <c r="O329" t="s">
        <v>38</v>
      </c>
      <c r="P329" s="8">
        <v>4</v>
      </c>
      <c r="Q329" s="6">
        <v>0.85416666666666663</v>
      </c>
      <c r="R329" s="6">
        <v>59</v>
      </c>
      <c r="S329" s="6" t="str">
        <f>IF(Table2[[#This Row],[Avg_score]]&gt;=79,"Distinction",IF(Table2[[#This Row],[Avg_score]]&gt;=60,"Pass","Fail"))</f>
        <v>Fail</v>
      </c>
      <c r="T329" t="s">
        <v>39</v>
      </c>
      <c r="U329">
        <f>IF(Table2[[#This Row],[Completed]]="Yes",1,0)</f>
        <v>1</v>
      </c>
      <c r="V329" t="s">
        <v>39</v>
      </c>
      <c r="W329" t="s">
        <v>40</v>
      </c>
      <c r="X329" s="4">
        <v>45838</v>
      </c>
    </row>
    <row r="330" spans="1:24" x14ac:dyDescent="0.3">
      <c r="A330">
        <v>329</v>
      </c>
      <c r="B330" s="8">
        <v>110</v>
      </c>
      <c r="C330">
        <v>2</v>
      </c>
      <c r="D330" t="s">
        <v>19</v>
      </c>
      <c r="E330" t="s">
        <v>23</v>
      </c>
      <c r="F330">
        <v>33</v>
      </c>
      <c r="G330" t="str">
        <f>IF(Table2[[#This Row],[Age]]&gt;=30,"Experienced",IF(Table2[[#This Row],[Age]]&gt;=25,"Mid Level", "Entry Level"))</f>
        <v>Experienced</v>
      </c>
      <c r="H330" t="s">
        <v>25</v>
      </c>
      <c r="I330" t="s">
        <v>30</v>
      </c>
      <c r="J330" s="4">
        <v>45734</v>
      </c>
      <c r="K330" s="4" t="str">
        <f>TEXT(Table2[[#This Row],[Enrollment_date]],"Mmm")</f>
        <v>Mar</v>
      </c>
      <c r="L330" s="4" t="str">
        <f>TEXT(Table2[[#This Row],[Enrollment_date]],"Ddd")</f>
        <v>Tue</v>
      </c>
      <c r="M330" s="4" t="s">
        <v>34</v>
      </c>
      <c r="N330" t="s">
        <v>36</v>
      </c>
      <c r="O330" t="s">
        <v>38</v>
      </c>
      <c r="P330" s="8">
        <v>4</v>
      </c>
      <c r="Q330" s="6">
        <v>0.91666666666666663</v>
      </c>
      <c r="R330" s="6">
        <v>63</v>
      </c>
      <c r="S330" s="6" t="str">
        <f>IF(Table2[[#This Row],[Avg_score]]&gt;=79,"Distinction",IF(Table2[[#This Row],[Avg_score]]&gt;=60,"Pass","Fail"))</f>
        <v>Pass</v>
      </c>
      <c r="T330" t="s">
        <v>39</v>
      </c>
      <c r="U330">
        <f>IF(Table2[[#This Row],[Completed]]="Yes",1,0)</f>
        <v>1</v>
      </c>
      <c r="V330" t="s">
        <v>39</v>
      </c>
      <c r="W330" t="s">
        <v>40</v>
      </c>
      <c r="X330" s="4">
        <v>45838</v>
      </c>
    </row>
    <row r="331" spans="1:24" x14ac:dyDescent="0.3">
      <c r="A331">
        <v>330</v>
      </c>
      <c r="B331" s="8">
        <v>110</v>
      </c>
      <c r="C331">
        <v>3</v>
      </c>
      <c r="D331" t="s">
        <v>19</v>
      </c>
      <c r="E331" t="s">
        <v>23</v>
      </c>
      <c r="F331">
        <v>33</v>
      </c>
      <c r="G331" t="str">
        <f>IF(Table2[[#This Row],[Age]]&gt;=30,"Experienced",IF(Table2[[#This Row],[Age]]&gt;=25,"Mid Level", "Entry Level"))</f>
        <v>Experienced</v>
      </c>
      <c r="H331" t="s">
        <v>25</v>
      </c>
      <c r="I331" t="s">
        <v>30</v>
      </c>
      <c r="J331" s="4">
        <v>45734</v>
      </c>
      <c r="K331" s="4" t="str">
        <f>TEXT(Table2[[#This Row],[Enrollment_date]],"Mmm")</f>
        <v>Mar</v>
      </c>
      <c r="L331" s="4" t="str">
        <f>TEXT(Table2[[#This Row],[Enrollment_date]],"Ddd")</f>
        <v>Tue</v>
      </c>
      <c r="M331" s="4" t="s">
        <v>34</v>
      </c>
      <c r="N331" t="s">
        <v>37</v>
      </c>
      <c r="O331" t="s">
        <v>38</v>
      </c>
      <c r="P331" s="8">
        <v>4</v>
      </c>
      <c r="Q331" s="6">
        <v>0.89583333333333337</v>
      </c>
      <c r="R331" s="6">
        <v>77.5</v>
      </c>
      <c r="S331" s="6" t="str">
        <f>IF(Table2[[#This Row],[Avg_score]]&gt;=79,"Distinction",IF(Table2[[#This Row],[Avg_score]]&gt;=60,"Pass","Fail"))</f>
        <v>Pass</v>
      </c>
      <c r="T331" t="s">
        <v>39</v>
      </c>
      <c r="U331">
        <f>IF(Table2[[#This Row],[Completed]]="Yes",1,0)</f>
        <v>1</v>
      </c>
      <c r="V331" t="s">
        <v>39</v>
      </c>
      <c r="W331" t="s">
        <v>40</v>
      </c>
      <c r="X331" s="4">
        <v>45838</v>
      </c>
    </row>
    <row r="332" spans="1:24" x14ac:dyDescent="0.3">
      <c r="A332">
        <v>331</v>
      </c>
      <c r="B332" s="8">
        <v>111</v>
      </c>
      <c r="C332">
        <v>1</v>
      </c>
      <c r="D332" t="s">
        <v>19</v>
      </c>
      <c r="E332" t="s">
        <v>23</v>
      </c>
      <c r="F332">
        <v>31</v>
      </c>
      <c r="G332" t="str">
        <f>IF(Table2[[#This Row],[Age]]&gt;=30,"Experienced",IF(Table2[[#This Row],[Age]]&gt;=25,"Mid Level", "Entry Level"))</f>
        <v>Experienced</v>
      </c>
      <c r="H332" t="s">
        <v>26</v>
      </c>
      <c r="I332" t="s">
        <v>32</v>
      </c>
      <c r="J332" s="4">
        <v>45782</v>
      </c>
      <c r="K332" s="4" t="str">
        <f>TEXT(Table2[[#This Row],[Enrollment_date]],"Mmm")</f>
        <v>May</v>
      </c>
      <c r="L332" s="4" t="str">
        <f>TEXT(Table2[[#This Row],[Enrollment_date]],"Ddd")</f>
        <v>Mon</v>
      </c>
      <c r="M332" s="4" t="s">
        <v>34</v>
      </c>
      <c r="N332" t="s">
        <v>35</v>
      </c>
      <c r="O332" t="s">
        <v>38</v>
      </c>
      <c r="P332" s="8">
        <v>4</v>
      </c>
      <c r="Q332" s="6">
        <v>0.8125</v>
      </c>
      <c r="R332" s="6">
        <v>75.5</v>
      </c>
      <c r="S332" s="6" t="str">
        <f>IF(Table2[[#This Row],[Avg_score]]&gt;=79,"Distinction",IF(Table2[[#This Row],[Avg_score]]&gt;=60,"Pass","Fail"))</f>
        <v>Pass</v>
      </c>
      <c r="T332" t="s">
        <v>39</v>
      </c>
      <c r="U332">
        <f>IF(Table2[[#This Row],[Completed]]="Yes",1,0)</f>
        <v>1</v>
      </c>
      <c r="V332" t="s">
        <v>40</v>
      </c>
      <c r="W332" t="s">
        <v>40</v>
      </c>
      <c r="X332" s="4">
        <v>45838</v>
      </c>
    </row>
    <row r="333" spans="1:24" x14ac:dyDescent="0.3">
      <c r="A333">
        <v>332</v>
      </c>
      <c r="B333" s="8">
        <v>111</v>
      </c>
      <c r="C333">
        <v>2</v>
      </c>
      <c r="D333" t="s">
        <v>19</v>
      </c>
      <c r="E333" t="s">
        <v>23</v>
      </c>
      <c r="F333">
        <v>31</v>
      </c>
      <c r="G333" t="str">
        <f>IF(Table2[[#This Row],[Age]]&gt;=30,"Experienced",IF(Table2[[#This Row],[Age]]&gt;=25,"Mid Level", "Entry Level"))</f>
        <v>Experienced</v>
      </c>
      <c r="H333" t="s">
        <v>26</v>
      </c>
      <c r="I333" t="s">
        <v>32</v>
      </c>
      <c r="J333" s="4">
        <v>45782</v>
      </c>
      <c r="K333" s="4" t="str">
        <f>TEXT(Table2[[#This Row],[Enrollment_date]],"Mmm")</f>
        <v>May</v>
      </c>
      <c r="L333" s="4" t="str">
        <f>TEXT(Table2[[#This Row],[Enrollment_date]],"Ddd")</f>
        <v>Mon</v>
      </c>
      <c r="M333" s="4" t="s">
        <v>34</v>
      </c>
      <c r="N333" t="s">
        <v>36</v>
      </c>
      <c r="O333" t="s">
        <v>38</v>
      </c>
      <c r="P333" s="8">
        <v>4</v>
      </c>
      <c r="Q333" s="6">
        <v>0.72916666666666663</v>
      </c>
      <c r="R333" s="6">
        <v>48</v>
      </c>
      <c r="S333" s="6" t="str">
        <f>IF(Table2[[#This Row],[Avg_score]]&gt;=79,"Distinction",IF(Table2[[#This Row],[Avg_score]]&gt;=60,"Pass","Fail"))</f>
        <v>Fail</v>
      </c>
      <c r="T333" t="s">
        <v>39</v>
      </c>
      <c r="U333">
        <f>IF(Table2[[#This Row],[Completed]]="Yes",1,0)</f>
        <v>1</v>
      </c>
      <c r="V333" t="s">
        <v>40</v>
      </c>
      <c r="W333" t="s">
        <v>40</v>
      </c>
      <c r="X333" s="4">
        <v>45838</v>
      </c>
    </row>
    <row r="334" spans="1:24" x14ac:dyDescent="0.3">
      <c r="A334">
        <v>333</v>
      </c>
      <c r="B334" s="8">
        <v>111</v>
      </c>
      <c r="C334">
        <v>3</v>
      </c>
      <c r="D334" t="s">
        <v>21</v>
      </c>
      <c r="E334" t="s">
        <v>23</v>
      </c>
      <c r="F334">
        <v>31</v>
      </c>
      <c r="G334" t="str">
        <f>IF(Table2[[#This Row],[Age]]&gt;=30,"Experienced",IF(Table2[[#This Row],[Age]]&gt;=25,"Mid Level", "Entry Level"))</f>
        <v>Experienced</v>
      </c>
      <c r="H334" t="s">
        <v>26</v>
      </c>
      <c r="I334" t="s">
        <v>32</v>
      </c>
      <c r="J334" s="4">
        <v>45782</v>
      </c>
      <c r="K334" s="4" t="str">
        <f>TEXT(Table2[[#This Row],[Enrollment_date]],"Mmm")</f>
        <v>May</v>
      </c>
      <c r="L334" s="4" t="str">
        <f>TEXT(Table2[[#This Row],[Enrollment_date]],"Ddd")</f>
        <v>Mon</v>
      </c>
      <c r="M334" s="4" t="s">
        <v>34</v>
      </c>
      <c r="N334" t="s">
        <v>37</v>
      </c>
      <c r="O334" t="s">
        <v>38</v>
      </c>
      <c r="P334" s="8">
        <v>4</v>
      </c>
      <c r="Q334" s="6">
        <v>0.83333333333333337</v>
      </c>
      <c r="R334" s="6">
        <v>86.5</v>
      </c>
      <c r="S334" s="6" t="str">
        <f>IF(Table2[[#This Row],[Avg_score]]&gt;=79,"Distinction",IF(Table2[[#This Row],[Avg_score]]&gt;=60,"Pass","Fail"))</f>
        <v>Distinction</v>
      </c>
      <c r="T334" t="s">
        <v>39</v>
      </c>
      <c r="U334">
        <f>IF(Table2[[#This Row],[Completed]]="Yes",1,0)</f>
        <v>1</v>
      </c>
      <c r="V334" t="s">
        <v>40</v>
      </c>
      <c r="W334" t="s">
        <v>40</v>
      </c>
      <c r="X334" s="4">
        <v>45838</v>
      </c>
    </row>
    <row r="335" spans="1:24" x14ac:dyDescent="0.3">
      <c r="A335">
        <v>334</v>
      </c>
      <c r="B335" s="8">
        <v>112</v>
      </c>
      <c r="C335">
        <v>1</v>
      </c>
      <c r="D335" t="s">
        <v>20</v>
      </c>
      <c r="E335" t="s">
        <v>22</v>
      </c>
      <c r="F335">
        <v>26</v>
      </c>
      <c r="G335" t="str">
        <f>IF(Table2[[#This Row],[Age]]&gt;=30,"Experienced",IF(Table2[[#This Row],[Age]]&gt;=25,"Mid Level", "Entry Level"))</f>
        <v>Mid Level</v>
      </c>
      <c r="H335" t="s">
        <v>27</v>
      </c>
      <c r="I335" t="s">
        <v>44</v>
      </c>
      <c r="J335" s="4">
        <v>45665</v>
      </c>
      <c r="K335" s="4" t="str">
        <f>TEXT(Table2[[#This Row],[Enrollment_date]],"Mmm")</f>
        <v>Jan</v>
      </c>
      <c r="L335" s="4" t="str">
        <f>TEXT(Table2[[#This Row],[Enrollment_date]],"Ddd")</f>
        <v>Wed</v>
      </c>
      <c r="M335" s="4" t="s">
        <v>34</v>
      </c>
      <c r="N335" t="s">
        <v>35</v>
      </c>
      <c r="O335" t="s">
        <v>38</v>
      </c>
      <c r="P335" s="8">
        <v>4</v>
      </c>
      <c r="Q335" s="6">
        <v>0.83333333333333337</v>
      </c>
      <c r="R335" s="6">
        <v>58</v>
      </c>
      <c r="S335" s="6" t="str">
        <f>IF(Table2[[#This Row],[Avg_score]]&gt;=79,"Distinction",IF(Table2[[#This Row],[Avg_score]]&gt;=60,"Pass","Fail"))</f>
        <v>Fail</v>
      </c>
      <c r="T335" t="s">
        <v>39</v>
      </c>
      <c r="U335">
        <f>IF(Table2[[#This Row],[Completed]]="Yes",1,0)</f>
        <v>1</v>
      </c>
      <c r="V335" t="s">
        <v>39</v>
      </c>
      <c r="W335" t="s">
        <v>40</v>
      </c>
      <c r="X335" s="4">
        <v>45838</v>
      </c>
    </row>
    <row r="336" spans="1:24" x14ac:dyDescent="0.3">
      <c r="A336">
        <v>335</v>
      </c>
      <c r="B336" s="8">
        <v>112</v>
      </c>
      <c r="C336">
        <v>2</v>
      </c>
      <c r="D336" t="s">
        <v>19</v>
      </c>
      <c r="E336" t="s">
        <v>22</v>
      </c>
      <c r="F336">
        <v>26</v>
      </c>
      <c r="G336" t="str">
        <f>IF(Table2[[#This Row],[Age]]&gt;=30,"Experienced",IF(Table2[[#This Row],[Age]]&gt;=25,"Mid Level", "Entry Level"))</f>
        <v>Mid Level</v>
      </c>
      <c r="H336" t="s">
        <v>27</v>
      </c>
      <c r="I336" t="s">
        <v>44</v>
      </c>
      <c r="J336" s="4">
        <v>45665</v>
      </c>
      <c r="K336" s="4" t="str">
        <f>TEXT(Table2[[#This Row],[Enrollment_date]],"Mmm")</f>
        <v>Jan</v>
      </c>
      <c r="L336" s="4" t="str">
        <f>TEXT(Table2[[#This Row],[Enrollment_date]],"Ddd")</f>
        <v>Wed</v>
      </c>
      <c r="M336" s="4" t="s">
        <v>34</v>
      </c>
      <c r="N336" t="s">
        <v>36</v>
      </c>
      <c r="O336" t="s">
        <v>38</v>
      </c>
      <c r="P336" s="8">
        <v>4</v>
      </c>
      <c r="Q336" s="6">
        <v>0.8125</v>
      </c>
      <c r="R336" s="6">
        <v>65.5</v>
      </c>
      <c r="S336" s="6" t="str">
        <f>IF(Table2[[#This Row],[Avg_score]]&gt;=79,"Distinction",IF(Table2[[#This Row],[Avg_score]]&gt;=60,"Pass","Fail"))</f>
        <v>Pass</v>
      </c>
      <c r="T336" t="s">
        <v>39</v>
      </c>
      <c r="U336">
        <f>IF(Table2[[#This Row],[Completed]]="Yes",1,0)</f>
        <v>1</v>
      </c>
      <c r="V336" t="s">
        <v>39</v>
      </c>
      <c r="W336" t="s">
        <v>40</v>
      </c>
      <c r="X336" s="4">
        <v>45838</v>
      </c>
    </row>
    <row r="337" spans="1:24" x14ac:dyDescent="0.3">
      <c r="A337">
        <v>336</v>
      </c>
      <c r="B337" s="8">
        <v>112</v>
      </c>
      <c r="C337">
        <v>3</v>
      </c>
      <c r="D337" t="s">
        <v>21</v>
      </c>
      <c r="E337" t="s">
        <v>22</v>
      </c>
      <c r="F337">
        <v>26</v>
      </c>
      <c r="G337" t="str">
        <f>IF(Table2[[#This Row],[Age]]&gt;=30,"Experienced",IF(Table2[[#This Row],[Age]]&gt;=25,"Mid Level", "Entry Level"))</f>
        <v>Mid Level</v>
      </c>
      <c r="H337" t="s">
        <v>27</v>
      </c>
      <c r="I337" t="s">
        <v>44</v>
      </c>
      <c r="J337" s="4">
        <v>45665</v>
      </c>
      <c r="K337" s="4" t="str">
        <f>TEXT(Table2[[#This Row],[Enrollment_date]],"Mmm")</f>
        <v>Jan</v>
      </c>
      <c r="L337" s="4" t="str">
        <f>TEXT(Table2[[#This Row],[Enrollment_date]],"Ddd")</f>
        <v>Wed</v>
      </c>
      <c r="M337" s="4" t="s">
        <v>34</v>
      </c>
      <c r="N337" t="s">
        <v>37</v>
      </c>
      <c r="O337" t="s">
        <v>38</v>
      </c>
      <c r="P337" s="8">
        <v>4</v>
      </c>
      <c r="Q337" s="6">
        <v>0.79166666666666663</v>
      </c>
      <c r="R337" s="6">
        <v>80.5</v>
      </c>
      <c r="S337" s="6" t="str">
        <f>IF(Table2[[#This Row],[Avg_score]]&gt;=79,"Distinction",IF(Table2[[#This Row],[Avg_score]]&gt;=60,"Pass","Fail"))</f>
        <v>Distinction</v>
      </c>
      <c r="T337" t="s">
        <v>39</v>
      </c>
      <c r="U337">
        <f>IF(Table2[[#This Row],[Completed]]="Yes",1,0)</f>
        <v>1</v>
      </c>
      <c r="V337" t="s">
        <v>39</v>
      </c>
      <c r="W337" t="s">
        <v>40</v>
      </c>
      <c r="X337" s="4">
        <v>45838</v>
      </c>
    </row>
    <row r="338" spans="1:24" x14ac:dyDescent="0.3">
      <c r="A338">
        <v>337</v>
      </c>
      <c r="B338" s="8">
        <v>113</v>
      </c>
      <c r="C338">
        <v>1</v>
      </c>
      <c r="D338" t="s">
        <v>19</v>
      </c>
      <c r="E338" t="s">
        <v>23</v>
      </c>
      <c r="F338">
        <v>28</v>
      </c>
      <c r="G338" t="str">
        <f>IF(Table2[[#This Row],[Age]]&gt;=30,"Experienced",IF(Table2[[#This Row],[Age]]&gt;=25,"Mid Level", "Entry Level"))</f>
        <v>Mid Level</v>
      </c>
      <c r="H338" t="s">
        <v>24</v>
      </c>
      <c r="I338" t="s">
        <v>44</v>
      </c>
      <c r="J338" s="4">
        <v>45700</v>
      </c>
      <c r="K338" s="4" t="str">
        <f>TEXT(Table2[[#This Row],[Enrollment_date]],"Mmm")</f>
        <v>Feb</v>
      </c>
      <c r="L338" s="4" t="str">
        <f>TEXT(Table2[[#This Row],[Enrollment_date]],"Ddd")</f>
        <v>Wed</v>
      </c>
      <c r="M338" s="4" t="s">
        <v>34</v>
      </c>
      <c r="N338" t="s">
        <v>35</v>
      </c>
      <c r="O338" t="s">
        <v>38</v>
      </c>
      <c r="P338" s="8">
        <v>4</v>
      </c>
      <c r="Q338" s="6">
        <v>0.83333333333333337</v>
      </c>
      <c r="R338" s="6">
        <v>71.5</v>
      </c>
      <c r="S338" s="6" t="str">
        <f>IF(Table2[[#This Row],[Avg_score]]&gt;=79,"Distinction",IF(Table2[[#This Row],[Avg_score]]&gt;=60,"Pass","Fail"))</f>
        <v>Pass</v>
      </c>
      <c r="T338" t="s">
        <v>39</v>
      </c>
      <c r="U338">
        <f>IF(Table2[[#This Row],[Completed]]="Yes",1,0)</f>
        <v>1</v>
      </c>
      <c r="V338" t="s">
        <v>39</v>
      </c>
      <c r="W338" t="s">
        <v>40</v>
      </c>
      <c r="X338" s="4">
        <v>45838</v>
      </c>
    </row>
    <row r="339" spans="1:24" x14ac:dyDescent="0.3">
      <c r="A339">
        <v>338</v>
      </c>
      <c r="B339" s="8">
        <v>113</v>
      </c>
      <c r="C339">
        <v>2</v>
      </c>
      <c r="D339" t="s">
        <v>21</v>
      </c>
      <c r="E339" t="s">
        <v>23</v>
      </c>
      <c r="F339">
        <v>28</v>
      </c>
      <c r="G339" t="str">
        <f>IF(Table2[[#This Row],[Age]]&gt;=30,"Experienced",IF(Table2[[#This Row],[Age]]&gt;=25,"Mid Level", "Entry Level"))</f>
        <v>Mid Level</v>
      </c>
      <c r="H339" t="s">
        <v>24</v>
      </c>
      <c r="I339" t="s">
        <v>44</v>
      </c>
      <c r="J339" s="4">
        <v>45700</v>
      </c>
      <c r="K339" s="4" t="str">
        <f>TEXT(Table2[[#This Row],[Enrollment_date]],"Mmm")</f>
        <v>Feb</v>
      </c>
      <c r="L339" s="4" t="str">
        <f>TEXT(Table2[[#This Row],[Enrollment_date]],"Ddd")</f>
        <v>Wed</v>
      </c>
      <c r="M339" s="4" t="s">
        <v>34</v>
      </c>
      <c r="N339" t="s">
        <v>36</v>
      </c>
      <c r="O339" t="s">
        <v>38</v>
      </c>
      <c r="P339" s="8">
        <v>4</v>
      </c>
      <c r="Q339" s="6">
        <v>0.89583333333333337</v>
      </c>
      <c r="R339" s="6">
        <v>77.5</v>
      </c>
      <c r="S339" s="6" t="str">
        <f>IF(Table2[[#This Row],[Avg_score]]&gt;=79,"Distinction",IF(Table2[[#This Row],[Avg_score]]&gt;=60,"Pass","Fail"))</f>
        <v>Pass</v>
      </c>
      <c r="T339" t="s">
        <v>39</v>
      </c>
      <c r="U339">
        <f>IF(Table2[[#This Row],[Completed]]="Yes",1,0)</f>
        <v>1</v>
      </c>
      <c r="V339" t="s">
        <v>39</v>
      </c>
      <c r="W339" t="s">
        <v>40</v>
      </c>
      <c r="X339" s="4">
        <v>45838</v>
      </c>
    </row>
    <row r="340" spans="1:24" x14ac:dyDescent="0.3">
      <c r="A340">
        <v>339</v>
      </c>
      <c r="B340" s="8">
        <v>113</v>
      </c>
      <c r="C340">
        <v>3</v>
      </c>
      <c r="D340" t="s">
        <v>19</v>
      </c>
      <c r="E340" t="s">
        <v>23</v>
      </c>
      <c r="F340">
        <v>28</v>
      </c>
      <c r="G340" t="str">
        <f>IF(Table2[[#This Row],[Age]]&gt;=30,"Experienced",IF(Table2[[#This Row],[Age]]&gt;=25,"Mid Level", "Entry Level"))</f>
        <v>Mid Level</v>
      </c>
      <c r="H340" t="s">
        <v>24</v>
      </c>
      <c r="I340" t="s">
        <v>44</v>
      </c>
      <c r="J340" s="4">
        <v>45700</v>
      </c>
      <c r="K340" s="4" t="str">
        <f>TEXT(Table2[[#This Row],[Enrollment_date]],"Mmm")</f>
        <v>Feb</v>
      </c>
      <c r="L340" s="4" t="str">
        <f>TEXT(Table2[[#This Row],[Enrollment_date]],"Ddd")</f>
        <v>Wed</v>
      </c>
      <c r="M340" s="4" t="s">
        <v>34</v>
      </c>
      <c r="N340" t="s">
        <v>37</v>
      </c>
      <c r="O340" t="s">
        <v>38</v>
      </c>
      <c r="P340" s="8">
        <v>4</v>
      </c>
      <c r="Q340" s="6">
        <v>0.875</v>
      </c>
      <c r="R340" s="6">
        <v>96</v>
      </c>
      <c r="S340" s="6" t="str">
        <f>IF(Table2[[#This Row],[Avg_score]]&gt;=79,"Distinction",IF(Table2[[#This Row],[Avg_score]]&gt;=60,"Pass","Fail"))</f>
        <v>Distinction</v>
      </c>
      <c r="T340" t="s">
        <v>39</v>
      </c>
      <c r="U340">
        <f>IF(Table2[[#This Row],[Completed]]="Yes",1,0)</f>
        <v>1</v>
      </c>
      <c r="V340" t="s">
        <v>39</v>
      </c>
      <c r="W340" t="s">
        <v>40</v>
      </c>
      <c r="X340" s="4">
        <v>45838</v>
      </c>
    </row>
    <row r="341" spans="1:24" x14ac:dyDescent="0.3">
      <c r="A341">
        <v>340</v>
      </c>
      <c r="B341" s="8">
        <v>114</v>
      </c>
      <c r="C341">
        <v>1</v>
      </c>
      <c r="D341" t="s">
        <v>21</v>
      </c>
      <c r="E341" t="s">
        <v>23</v>
      </c>
      <c r="F341">
        <v>22</v>
      </c>
      <c r="G341" t="str">
        <f>IF(Table2[[#This Row],[Age]]&gt;=30,"Experienced",IF(Table2[[#This Row],[Age]]&gt;=25,"Mid Level", "Entry Level"))</f>
        <v>Entry Level</v>
      </c>
      <c r="H341" t="s">
        <v>26</v>
      </c>
      <c r="I341" t="s">
        <v>68</v>
      </c>
      <c r="J341" s="4">
        <v>45758</v>
      </c>
      <c r="K341" s="4" t="str">
        <f>TEXT(Table2[[#This Row],[Enrollment_date]],"Mmm")</f>
        <v>Apr</v>
      </c>
      <c r="L341" s="4" t="str">
        <f>TEXT(Table2[[#This Row],[Enrollment_date]],"Ddd")</f>
        <v>Fri</v>
      </c>
      <c r="M341" s="4" t="s">
        <v>34</v>
      </c>
      <c r="N341" t="s">
        <v>35</v>
      </c>
      <c r="O341" t="s">
        <v>38</v>
      </c>
      <c r="P341" s="8">
        <v>4</v>
      </c>
      <c r="Q341" s="6">
        <v>0.875</v>
      </c>
      <c r="R341" s="6">
        <v>72</v>
      </c>
      <c r="S341" s="6" t="str">
        <f>IF(Table2[[#This Row],[Avg_score]]&gt;=79,"Distinction",IF(Table2[[#This Row],[Avg_score]]&gt;=60,"Pass","Fail"))</f>
        <v>Pass</v>
      </c>
      <c r="T341" t="s">
        <v>39</v>
      </c>
      <c r="U341">
        <f>IF(Table2[[#This Row],[Completed]]="Yes",1,0)</f>
        <v>1</v>
      </c>
      <c r="V341" t="s">
        <v>40</v>
      </c>
      <c r="W341" t="s">
        <v>39</v>
      </c>
      <c r="X341" s="4">
        <v>45838</v>
      </c>
    </row>
    <row r="342" spans="1:24" x14ac:dyDescent="0.3">
      <c r="A342">
        <v>341</v>
      </c>
      <c r="B342" s="8">
        <v>114</v>
      </c>
      <c r="C342">
        <v>2</v>
      </c>
      <c r="D342" t="s">
        <v>19</v>
      </c>
      <c r="E342" t="s">
        <v>23</v>
      </c>
      <c r="F342">
        <v>22</v>
      </c>
      <c r="G342" t="str">
        <f>IF(Table2[[#This Row],[Age]]&gt;=30,"Experienced",IF(Table2[[#This Row],[Age]]&gt;=25,"Mid Level", "Entry Level"))</f>
        <v>Entry Level</v>
      </c>
      <c r="H342" t="s">
        <v>26</v>
      </c>
      <c r="I342" t="s">
        <v>68</v>
      </c>
      <c r="J342" s="4">
        <v>45758</v>
      </c>
      <c r="K342" s="4" t="str">
        <f>TEXT(Table2[[#This Row],[Enrollment_date]],"Mmm")</f>
        <v>Apr</v>
      </c>
      <c r="L342" s="4" t="str">
        <f>TEXT(Table2[[#This Row],[Enrollment_date]],"Ddd")</f>
        <v>Fri</v>
      </c>
      <c r="M342" s="4" t="s">
        <v>34</v>
      </c>
      <c r="N342" t="s">
        <v>36</v>
      </c>
      <c r="O342" t="s">
        <v>38</v>
      </c>
      <c r="P342" s="8">
        <v>4</v>
      </c>
      <c r="Q342" s="6">
        <v>0.77083333333333337</v>
      </c>
      <c r="R342" s="6">
        <v>49</v>
      </c>
      <c r="S342" s="6" t="str">
        <f>IF(Table2[[#This Row],[Avg_score]]&gt;=79,"Distinction",IF(Table2[[#This Row],[Avg_score]]&gt;=60,"Pass","Fail"))</f>
        <v>Fail</v>
      </c>
      <c r="T342" t="s">
        <v>39</v>
      </c>
      <c r="U342">
        <f>IF(Table2[[#This Row],[Completed]]="Yes",1,0)</f>
        <v>1</v>
      </c>
      <c r="V342" t="s">
        <v>40</v>
      </c>
      <c r="W342" t="s">
        <v>39</v>
      </c>
      <c r="X342" s="4">
        <v>45838</v>
      </c>
    </row>
    <row r="343" spans="1:24" x14ac:dyDescent="0.3">
      <c r="A343">
        <v>342</v>
      </c>
      <c r="B343" s="8">
        <v>114</v>
      </c>
      <c r="C343">
        <v>3</v>
      </c>
      <c r="D343" t="s">
        <v>19</v>
      </c>
      <c r="E343" t="s">
        <v>23</v>
      </c>
      <c r="F343">
        <v>22</v>
      </c>
      <c r="G343" t="str">
        <f>IF(Table2[[#This Row],[Age]]&gt;=30,"Experienced",IF(Table2[[#This Row],[Age]]&gt;=25,"Mid Level", "Entry Level"))</f>
        <v>Entry Level</v>
      </c>
      <c r="H343" t="s">
        <v>26</v>
      </c>
      <c r="I343" t="s">
        <v>68</v>
      </c>
      <c r="J343" s="4">
        <v>45758</v>
      </c>
      <c r="K343" s="4" t="str">
        <f>TEXT(Table2[[#This Row],[Enrollment_date]],"Mmm")</f>
        <v>Apr</v>
      </c>
      <c r="L343" s="4" t="str">
        <f>TEXT(Table2[[#This Row],[Enrollment_date]],"Ddd")</f>
        <v>Fri</v>
      </c>
      <c r="M343" s="4" t="s">
        <v>34</v>
      </c>
      <c r="N343" t="s">
        <v>37</v>
      </c>
      <c r="O343" t="s">
        <v>38</v>
      </c>
      <c r="P343" s="8">
        <v>4</v>
      </c>
      <c r="Q343" s="6">
        <v>0.85416666666666663</v>
      </c>
      <c r="R343" s="6">
        <v>78</v>
      </c>
      <c r="S343" s="6" t="str">
        <f>IF(Table2[[#This Row],[Avg_score]]&gt;=79,"Distinction",IF(Table2[[#This Row],[Avg_score]]&gt;=60,"Pass","Fail"))</f>
        <v>Pass</v>
      </c>
      <c r="T343" t="s">
        <v>39</v>
      </c>
      <c r="U343">
        <f>IF(Table2[[#This Row],[Completed]]="Yes",1,0)</f>
        <v>1</v>
      </c>
      <c r="V343" t="s">
        <v>40</v>
      </c>
      <c r="W343" t="s">
        <v>39</v>
      </c>
      <c r="X343" s="4">
        <v>45838</v>
      </c>
    </row>
    <row r="344" spans="1:24" x14ac:dyDescent="0.3">
      <c r="A344">
        <v>343</v>
      </c>
      <c r="B344" s="8">
        <v>115</v>
      </c>
      <c r="C344">
        <v>1</v>
      </c>
      <c r="D344" t="s">
        <v>19</v>
      </c>
      <c r="E344" t="s">
        <v>22</v>
      </c>
      <c r="F344">
        <v>20</v>
      </c>
      <c r="G344" t="str">
        <f>IF(Table2[[#This Row],[Age]]&gt;=30,"Experienced",IF(Table2[[#This Row],[Age]]&gt;=25,"Mid Level", "Entry Level"))</f>
        <v>Entry Level</v>
      </c>
      <c r="H344" t="s">
        <v>24</v>
      </c>
      <c r="I344" t="s">
        <v>44</v>
      </c>
      <c r="J344" s="4">
        <v>45692</v>
      </c>
      <c r="K344" s="4" t="str">
        <f>TEXT(Table2[[#This Row],[Enrollment_date]],"Mmm")</f>
        <v>Feb</v>
      </c>
      <c r="L344" s="4" t="str">
        <f>TEXT(Table2[[#This Row],[Enrollment_date]],"Ddd")</f>
        <v>Tue</v>
      </c>
      <c r="M344" s="4" t="s">
        <v>34</v>
      </c>
      <c r="N344" t="s">
        <v>35</v>
      </c>
      <c r="O344" t="s">
        <v>38</v>
      </c>
      <c r="P344" s="8">
        <v>4</v>
      </c>
      <c r="Q344" s="6">
        <v>0.77083333333333337</v>
      </c>
      <c r="R344" s="6">
        <v>76</v>
      </c>
      <c r="S344" s="6" t="str">
        <f>IF(Table2[[#This Row],[Avg_score]]&gt;=79,"Distinction",IF(Table2[[#This Row],[Avg_score]]&gt;=60,"Pass","Fail"))</f>
        <v>Pass</v>
      </c>
      <c r="T344" t="s">
        <v>39</v>
      </c>
      <c r="U344">
        <f>IF(Table2[[#This Row],[Completed]]="Yes",1,0)</f>
        <v>1</v>
      </c>
      <c r="V344" t="s">
        <v>40</v>
      </c>
      <c r="W344" t="s">
        <v>39</v>
      </c>
      <c r="X344" s="4">
        <v>45838</v>
      </c>
    </row>
    <row r="345" spans="1:24" x14ac:dyDescent="0.3">
      <c r="A345">
        <v>344</v>
      </c>
      <c r="B345" s="8">
        <v>115</v>
      </c>
      <c r="C345">
        <v>2</v>
      </c>
      <c r="D345" t="s">
        <v>19</v>
      </c>
      <c r="E345" t="s">
        <v>22</v>
      </c>
      <c r="F345">
        <v>20</v>
      </c>
      <c r="G345" t="str">
        <f>IF(Table2[[#This Row],[Age]]&gt;=30,"Experienced",IF(Table2[[#This Row],[Age]]&gt;=25,"Mid Level", "Entry Level"))</f>
        <v>Entry Level</v>
      </c>
      <c r="H345" t="s">
        <v>24</v>
      </c>
      <c r="I345" t="s">
        <v>44</v>
      </c>
      <c r="J345" s="4">
        <v>45692</v>
      </c>
      <c r="K345" s="4" t="str">
        <f>TEXT(Table2[[#This Row],[Enrollment_date]],"Mmm")</f>
        <v>Feb</v>
      </c>
      <c r="L345" s="4" t="str">
        <f>TEXT(Table2[[#This Row],[Enrollment_date]],"Ddd")</f>
        <v>Tue</v>
      </c>
      <c r="M345" s="4" t="s">
        <v>34</v>
      </c>
      <c r="N345" t="s">
        <v>36</v>
      </c>
      <c r="O345" t="s">
        <v>38</v>
      </c>
      <c r="P345" s="8">
        <v>4</v>
      </c>
      <c r="Q345" s="6">
        <v>0.8125</v>
      </c>
      <c r="R345" s="6">
        <v>82.5</v>
      </c>
      <c r="S345" s="6" t="str">
        <f>IF(Table2[[#This Row],[Avg_score]]&gt;=79,"Distinction",IF(Table2[[#This Row],[Avg_score]]&gt;=60,"Pass","Fail"))</f>
        <v>Distinction</v>
      </c>
      <c r="T345" t="s">
        <v>39</v>
      </c>
      <c r="U345">
        <f>IF(Table2[[#This Row],[Completed]]="Yes",1,0)</f>
        <v>1</v>
      </c>
      <c r="V345" t="s">
        <v>40</v>
      </c>
      <c r="W345" t="s">
        <v>39</v>
      </c>
      <c r="X345" s="4">
        <v>45838</v>
      </c>
    </row>
    <row r="346" spans="1:24" x14ac:dyDescent="0.3">
      <c r="A346">
        <v>345</v>
      </c>
      <c r="B346" s="8">
        <v>115</v>
      </c>
      <c r="C346">
        <v>3</v>
      </c>
      <c r="D346" t="s">
        <v>19</v>
      </c>
      <c r="E346" t="s">
        <v>22</v>
      </c>
      <c r="F346">
        <v>20</v>
      </c>
      <c r="G346" t="str">
        <f>IF(Table2[[#This Row],[Age]]&gt;=30,"Experienced",IF(Table2[[#This Row],[Age]]&gt;=25,"Mid Level", "Entry Level"))</f>
        <v>Entry Level</v>
      </c>
      <c r="H346" t="s">
        <v>24</v>
      </c>
      <c r="I346" t="s">
        <v>44</v>
      </c>
      <c r="J346" s="4">
        <v>45692</v>
      </c>
      <c r="K346" s="4" t="str">
        <f>TEXT(Table2[[#This Row],[Enrollment_date]],"Mmm")</f>
        <v>Feb</v>
      </c>
      <c r="L346" s="4" t="str">
        <f>TEXT(Table2[[#This Row],[Enrollment_date]],"Ddd")</f>
        <v>Tue</v>
      </c>
      <c r="M346" s="4" t="s">
        <v>34</v>
      </c>
      <c r="N346" t="s">
        <v>37</v>
      </c>
      <c r="O346" t="s">
        <v>38</v>
      </c>
      <c r="P346" s="8">
        <v>4</v>
      </c>
      <c r="Q346" s="6">
        <v>0.83333333333333337</v>
      </c>
      <c r="R346" s="6">
        <v>87.5</v>
      </c>
      <c r="S346" s="6" t="str">
        <f>IF(Table2[[#This Row],[Avg_score]]&gt;=79,"Distinction",IF(Table2[[#This Row],[Avg_score]]&gt;=60,"Pass","Fail"))</f>
        <v>Distinction</v>
      </c>
      <c r="T346" t="s">
        <v>39</v>
      </c>
      <c r="U346">
        <f>IF(Table2[[#This Row],[Completed]]="Yes",1,0)</f>
        <v>1</v>
      </c>
      <c r="V346" t="s">
        <v>40</v>
      </c>
      <c r="W346" t="s">
        <v>39</v>
      </c>
      <c r="X346" s="4">
        <v>45838</v>
      </c>
    </row>
    <row r="347" spans="1:24" x14ac:dyDescent="0.3">
      <c r="A347">
        <v>346</v>
      </c>
      <c r="B347" s="8">
        <v>116</v>
      </c>
      <c r="C347">
        <v>1</v>
      </c>
      <c r="D347" t="s">
        <v>19</v>
      </c>
      <c r="E347" t="s">
        <v>23</v>
      </c>
      <c r="F347">
        <v>23</v>
      </c>
      <c r="G347" t="str">
        <f>IF(Table2[[#This Row],[Age]]&gt;=30,"Experienced",IF(Table2[[#This Row],[Age]]&gt;=25,"Mid Level", "Entry Level"))</f>
        <v>Entry Level</v>
      </c>
      <c r="H347" t="s">
        <v>25</v>
      </c>
      <c r="I347" t="s">
        <v>30</v>
      </c>
      <c r="J347" s="4">
        <v>45755</v>
      </c>
      <c r="K347" s="4" t="str">
        <f>TEXT(Table2[[#This Row],[Enrollment_date]],"Mmm")</f>
        <v>Apr</v>
      </c>
      <c r="L347" s="4" t="str">
        <f>TEXT(Table2[[#This Row],[Enrollment_date]],"Ddd")</f>
        <v>Tue</v>
      </c>
      <c r="M347" s="4" t="s">
        <v>34</v>
      </c>
      <c r="N347" t="s">
        <v>35</v>
      </c>
      <c r="O347" t="s">
        <v>38</v>
      </c>
      <c r="P347" s="8">
        <v>4</v>
      </c>
      <c r="Q347" s="6">
        <v>0.8125</v>
      </c>
      <c r="R347" s="6">
        <v>80</v>
      </c>
      <c r="S347" s="6" t="str">
        <f>IF(Table2[[#This Row],[Avg_score]]&gt;=79,"Distinction",IF(Table2[[#This Row],[Avg_score]]&gt;=60,"Pass","Fail"))</f>
        <v>Distinction</v>
      </c>
      <c r="T347" t="s">
        <v>40</v>
      </c>
      <c r="U347">
        <f>IF(Table2[[#This Row],[Completed]]="Yes",1,0)</f>
        <v>0</v>
      </c>
      <c r="V347" t="s">
        <v>40</v>
      </c>
      <c r="W347" t="s">
        <v>40</v>
      </c>
      <c r="X347" s="4">
        <v>45838</v>
      </c>
    </row>
    <row r="348" spans="1:24" x14ac:dyDescent="0.3">
      <c r="A348">
        <v>347</v>
      </c>
      <c r="B348" s="8">
        <v>116</v>
      </c>
      <c r="C348">
        <v>2</v>
      </c>
      <c r="D348" t="s">
        <v>19</v>
      </c>
      <c r="E348" t="s">
        <v>23</v>
      </c>
      <c r="F348">
        <v>23</v>
      </c>
      <c r="G348" t="str">
        <f>IF(Table2[[#This Row],[Age]]&gt;=30,"Experienced",IF(Table2[[#This Row],[Age]]&gt;=25,"Mid Level", "Entry Level"))</f>
        <v>Entry Level</v>
      </c>
      <c r="H348" t="s">
        <v>25</v>
      </c>
      <c r="I348" t="s">
        <v>30</v>
      </c>
      <c r="J348" s="4">
        <v>45755</v>
      </c>
      <c r="K348" s="4" t="str">
        <f>TEXT(Table2[[#This Row],[Enrollment_date]],"Mmm")</f>
        <v>Apr</v>
      </c>
      <c r="L348" s="4" t="str">
        <f>TEXT(Table2[[#This Row],[Enrollment_date]],"Ddd")</f>
        <v>Tue</v>
      </c>
      <c r="M348" s="4" t="s">
        <v>34</v>
      </c>
      <c r="N348" t="s">
        <v>36</v>
      </c>
      <c r="O348" t="s">
        <v>38</v>
      </c>
      <c r="P348" s="8">
        <v>4</v>
      </c>
      <c r="Q348" s="6">
        <v>0.85416666666666663</v>
      </c>
      <c r="R348" s="6">
        <v>76</v>
      </c>
      <c r="S348" s="6" t="str">
        <f>IF(Table2[[#This Row],[Avg_score]]&gt;=79,"Distinction",IF(Table2[[#This Row],[Avg_score]]&gt;=60,"Pass","Fail"))</f>
        <v>Pass</v>
      </c>
      <c r="T348" t="s">
        <v>40</v>
      </c>
      <c r="U348">
        <f>IF(Table2[[#This Row],[Completed]]="Yes",1,0)</f>
        <v>0</v>
      </c>
      <c r="V348" t="s">
        <v>40</v>
      </c>
      <c r="W348" t="s">
        <v>40</v>
      </c>
      <c r="X348" s="4">
        <v>45838</v>
      </c>
    </row>
    <row r="349" spans="1:24" x14ac:dyDescent="0.3">
      <c r="A349">
        <v>348</v>
      </c>
      <c r="B349" s="8">
        <v>116</v>
      </c>
      <c r="C349">
        <v>3</v>
      </c>
      <c r="D349" t="s">
        <v>19</v>
      </c>
      <c r="E349" t="s">
        <v>23</v>
      </c>
      <c r="F349">
        <v>23</v>
      </c>
      <c r="G349" t="str">
        <f>IF(Table2[[#This Row],[Age]]&gt;=30,"Experienced",IF(Table2[[#This Row],[Age]]&gt;=25,"Mid Level", "Entry Level"))</f>
        <v>Entry Level</v>
      </c>
      <c r="H349" t="s">
        <v>25</v>
      </c>
      <c r="I349" t="s">
        <v>30</v>
      </c>
      <c r="J349" s="4">
        <v>45755</v>
      </c>
      <c r="K349" s="4" t="str">
        <f>TEXT(Table2[[#This Row],[Enrollment_date]],"Mmm")</f>
        <v>Apr</v>
      </c>
      <c r="L349" s="4" t="str">
        <f>TEXT(Table2[[#This Row],[Enrollment_date]],"Ddd")</f>
        <v>Tue</v>
      </c>
      <c r="M349" s="4" t="s">
        <v>34</v>
      </c>
      <c r="N349" t="s">
        <v>37</v>
      </c>
      <c r="O349" t="s">
        <v>38</v>
      </c>
      <c r="P349" s="8">
        <v>4</v>
      </c>
      <c r="Q349" s="6">
        <v>0.83333333333333337</v>
      </c>
      <c r="R349" s="6">
        <v>75.5</v>
      </c>
      <c r="S349" s="6" t="str">
        <f>IF(Table2[[#This Row],[Avg_score]]&gt;=79,"Distinction",IF(Table2[[#This Row],[Avg_score]]&gt;=60,"Pass","Fail"))</f>
        <v>Pass</v>
      </c>
      <c r="T349" t="s">
        <v>40</v>
      </c>
      <c r="U349">
        <f>IF(Table2[[#This Row],[Completed]]="Yes",1,0)</f>
        <v>0</v>
      </c>
      <c r="V349" t="s">
        <v>40</v>
      </c>
      <c r="W349" t="s">
        <v>40</v>
      </c>
      <c r="X349" s="4">
        <v>45838</v>
      </c>
    </row>
    <row r="350" spans="1:24" x14ac:dyDescent="0.3">
      <c r="A350">
        <v>349</v>
      </c>
      <c r="B350" s="8">
        <v>117</v>
      </c>
      <c r="C350">
        <v>1</v>
      </c>
      <c r="D350" t="s">
        <v>19</v>
      </c>
      <c r="E350" t="s">
        <v>23</v>
      </c>
      <c r="F350">
        <v>24</v>
      </c>
      <c r="G350" t="str">
        <f>IF(Table2[[#This Row],[Age]]&gt;=30,"Experienced",IF(Table2[[#This Row],[Age]]&gt;=25,"Mid Level", "Entry Level"))</f>
        <v>Entry Level</v>
      </c>
      <c r="H350" t="s">
        <v>27</v>
      </c>
      <c r="I350" t="s">
        <v>30</v>
      </c>
      <c r="J350" s="4">
        <v>45744</v>
      </c>
      <c r="K350" s="4" t="str">
        <f>TEXT(Table2[[#This Row],[Enrollment_date]],"Mmm")</f>
        <v>Mar</v>
      </c>
      <c r="L350" s="4" t="str">
        <f>TEXT(Table2[[#This Row],[Enrollment_date]],"Ddd")</f>
        <v>Fri</v>
      </c>
      <c r="M350" s="4" t="s">
        <v>34</v>
      </c>
      <c r="N350" t="s">
        <v>35</v>
      </c>
      <c r="O350" t="s">
        <v>38</v>
      </c>
      <c r="P350" s="8">
        <v>4</v>
      </c>
      <c r="Q350" s="6">
        <v>0.8125</v>
      </c>
      <c r="R350" s="6">
        <v>59</v>
      </c>
      <c r="S350" s="6" t="str">
        <f>IF(Table2[[#This Row],[Avg_score]]&gt;=79,"Distinction",IF(Table2[[#This Row],[Avg_score]]&gt;=60,"Pass","Fail"))</f>
        <v>Fail</v>
      </c>
      <c r="T350" t="s">
        <v>40</v>
      </c>
      <c r="U350">
        <f>IF(Table2[[#This Row],[Completed]]="Yes",1,0)</f>
        <v>0</v>
      </c>
      <c r="V350" t="s">
        <v>40</v>
      </c>
      <c r="W350" t="s">
        <v>40</v>
      </c>
      <c r="X350" s="4">
        <v>45838</v>
      </c>
    </row>
    <row r="351" spans="1:24" x14ac:dyDescent="0.3">
      <c r="A351">
        <v>350</v>
      </c>
      <c r="B351" s="8">
        <v>117</v>
      </c>
      <c r="C351">
        <v>2</v>
      </c>
      <c r="D351" t="s">
        <v>19</v>
      </c>
      <c r="E351" t="s">
        <v>23</v>
      </c>
      <c r="F351">
        <v>24</v>
      </c>
      <c r="G351" t="str">
        <f>IF(Table2[[#This Row],[Age]]&gt;=30,"Experienced",IF(Table2[[#This Row],[Age]]&gt;=25,"Mid Level", "Entry Level"))</f>
        <v>Entry Level</v>
      </c>
      <c r="H351" t="s">
        <v>27</v>
      </c>
      <c r="I351" t="s">
        <v>30</v>
      </c>
      <c r="J351" s="4">
        <v>45744</v>
      </c>
      <c r="K351" s="4" t="str">
        <f>TEXT(Table2[[#This Row],[Enrollment_date]],"Mmm")</f>
        <v>Mar</v>
      </c>
      <c r="L351" s="4" t="str">
        <f>TEXT(Table2[[#This Row],[Enrollment_date]],"Ddd")</f>
        <v>Fri</v>
      </c>
      <c r="M351" s="4" t="s">
        <v>34</v>
      </c>
      <c r="N351" t="s">
        <v>36</v>
      </c>
      <c r="O351" t="s">
        <v>38</v>
      </c>
      <c r="P351" s="8">
        <v>4</v>
      </c>
      <c r="Q351" s="6">
        <v>0.8125</v>
      </c>
      <c r="R351" s="6">
        <v>83.5</v>
      </c>
      <c r="S351" s="6" t="str">
        <f>IF(Table2[[#This Row],[Avg_score]]&gt;=79,"Distinction",IF(Table2[[#This Row],[Avg_score]]&gt;=60,"Pass","Fail"))</f>
        <v>Distinction</v>
      </c>
      <c r="T351" t="s">
        <v>40</v>
      </c>
      <c r="U351">
        <f>IF(Table2[[#This Row],[Completed]]="Yes",1,0)</f>
        <v>0</v>
      </c>
      <c r="V351" t="s">
        <v>40</v>
      </c>
      <c r="W351" t="s">
        <v>40</v>
      </c>
      <c r="X351" s="4">
        <v>45838</v>
      </c>
    </row>
    <row r="352" spans="1:24" x14ac:dyDescent="0.3">
      <c r="A352">
        <v>351</v>
      </c>
      <c r="B352" s="8">
        <v>117</v>
      </c>
      <c r="C352">
        <v>3</v>
      </c>
      <c r="D352" t="s">
        <v>19</v>
      </c>
      <c r="E352" t="s">
        <v>23</v>
      </c>
      <c r="F352">
        <v>24</v>
      </c>
      <c r="G352" t="str">
        <f>IF(Table2[[#This Row],[Age]]&gt;=30,"Experienced",IF(Table2[[#This Row],[Age]]&gt;=25,"Mid Level", "Entry Level"))</f>
        <v>Entry Level</v>
      </c>
      <c r="H352" t="s">
        <v>27</v>
      </c>
      <c r="I352" t="s">
        <v>30</v>
      </c>
      <c r="J352" s="4">
        <v>45744</v>
      </c>
      <c r="K352" s="4" t="str">
        <f>TEXT(Table2[[#This Row],[Enrollment_date]],"Mmm")</f>
        <v>Mar</v>
      </c>
      <c r="L352" s="4" t="str">
        <f>TEXT(Table2[[#This Row],[Enrollment_date]],"Ddd")</f>
        <v>Fri</v>
      </c>
      <c r="M352" s="4" t="s">
        <v>34</v>
      </c>
      <c r="N352" t="s">
        <v>37</v>
      </c>
      <c r="O352" t="s">
        <v>38</v>
      </c>
      <c r="P352" s="8">
        <v>4</v>
      </c>
      <c r="Q352" s="6">
        <v>0.75</v>
      </c>
      <c r="R352" s="6">
        <v>65</v>
      </c>
      <c r="S352" s="6" t="str">
        <f>IF(Table2[[#This Row],[Avg_score]]&gt;=79,"Distinction",IF(Table2[[#This Row],[Avg_score]]&gt;=60,"Pass","Fail"))</f>
        <v>Pass</v>
      </c>
      <c r="T352" t="s">
        <v>40</v>
      </c>
      <c r="U352">
        <f>IF(Table2[[#This Row],[Completed]]="Yes",1,0)</f>
        <v>0</v>
      </c>
      <c r="V352" t="s">
        <v>40</v>
      </c>
      <c r="W352" t="s">
        <v>40</v>
      </c>
      <c r="X352" s="4">
        <v>45838</v>
      </c>
    </row>
    <row r="353" spans="1:24" x14ac:dyDescent="0.3">
      <c r="A353">
        <v>352</v>
      </c>
      <c r="B353" s="8">
        <v>118</v>
      </c>
      <c r="C353">
        <v>1</v>
      </c>
      <c r="D353" t="s">
        <v>19</v>
      </c>
      <c r="E353" t="s">
        <v>23</v>
      </c>
      <c r="F353">
        <v>26</v>
      </c>
      <c r="G353" t="str">
        <f>IF(Table2[[#This Row],[Age]]&gt;=30,"Experienced",IF(Table2[[#This Row],[Age]]&gt;=25,"Mid Level", "Entry Level"))</f>
        <v>Mid Level</v>
      </c>
      <c r="H353" t="s">
        <v>27</v>
      </c>
      <c r="I353" t="s">
        <v>30</v>
      </c>
      <c r="J353" s="4">
        <v>45678</v>
      </c>
      <c r="K353" s="4" t="str">
        <f>TEXT(Table2[[#This Row],[Enrollment_date]],"Mmm")</f>
        <v>Jan</v>
      </c>
      <c r="L353" s="4" t="str">
        <f>TEXT(Table2[[#This Row],[Enrollment_date]],"Ddd")</f>
        <v>Tue</v>
      </c>
      <c r="M353" s="4" t="s">
        <v>34</v>
      </c>
      <c r="N353" t="s">
        <v>35</v>
      </c>
      <c r="O353" t="s">
        <v>38</v>
      </c>
      <c r="P353" s="8">
        <v>4</v>
      </c>
      <c r="Q353" s="6">
        <v>0.79166666666666663</v>
      </c>
      <c r="R353" s="6">
        <v>62.5</v>
      </c>
      <c r="S353" s="6" t="str">
        <f>IF(Table2[[#This Row],[Avg_score]]&gt;=79,"Distinction",IF(Table2[[#This Row],[Avg_score]]&gt;=60,"Pass","Fail"))</f>
        <v>Pass</v>
      </c>
      <c r="T353" t="s">
        <v>40</v>
      </c>
      <c r="U353">
        <f>IF(Table2[[#This Row],[Completed]]="Yes",1,0)</f>
        <v>0</v>
      </c>
      <c r="V353" t="s">
        <v>40</v>
      </c>
      <c r="W353" t="s">
        <v>40</v>
      </c>
      <c r="X353" s="4">
        <v>45838</v>
      </c>
    </row>
    <row r="354" spans="1:24" x14ac:dyDescent="0.3">
      <c r="A354">
        <v>353</v>
      </c>
      <c r="B354" s="8">
        <v>118</v>
      </c>
      <c r="C354">
        <v>2</v>
      </c>
      <c r="D354" t="s">
        <v>19</v>
      </c>
      <c r="E354" t="s">
        <v>23</v>
      </c>
      <c r="F354">
        <v>26</v>
      </c>
      <c r="G354" t="str">
        <f>IF(Table2[[#This Row],[Age]]&gt;=30,"Experienced",IF(Table2[[#This Row],[Age]]&gt;=25,"Mid Level", "Entry Level"))</f>
        <v>Mid Level</v>
      </c>
      <c r="H354" t="s">
        <v>27</v>
      </c>
      <c r="I354" t="s">
        <v>30</v>
      </c>
      <c r="J354" s="4">
        <v>45678</v>
      </c>
      <c r="K354" s="4" t="str">
        <f>TEXT(Table2[[#This Row],[Enrollment_date]],"Mmm")</f>
        <v>Jan</v>
      </c>
      <c r="L354" s="4" t="str">
        <f>TEXT(Table2[[#This Row],[Enrollment_date]],"Ddd")</f>
        <v>Tue</v>
      </c>
      <c r="M354" s="4" t="s">
        <v>34</v>
      </c>
      <c r="N354" t="s">
        <v>36</v>
      </c>
      <c r="O354" t="s">
        <v>38</v>
      </c>
      <c r="P354" s="8">
        <v>4</v>
      </c>
      <c r="Q354" s="6">
        <v>0.91666666666666663</v>
      </c>
      <c r="R354" s="6">
        <v>67</v>
      </c>
      <c r="S354" s="6" t="str">
        <f>IF(Table2[[#This Row],[Avg_score]]&gt;=79,"Distinction",IF(Table2[[#This Row],[Avg_score]]&gt;=60,"Pass","Fail"))</f>
        <v>Pass</v>
      </c>
      <c r="T354" t="s">
        <v>40</v>
      </c>
      <c r="U354">
        <f>IF(Table2[[#This Row],[Completed]]="Yes",1,0)</f>
        <v>0</v>
      </c>
      <c r="V354" t="s">
        <v>40</v>
      </c>
      <c r="W354" t="s">
        <v>40</v>
      </c>
      <c r="X354" s="4">
        <v>45838</v>
      </c>
    </row>
    <row r="355" spans="1:24" x14ac:dyDescent="0.3">
      <c r="A355">
        <v>354</v>
      </c>
      <c r="B355" s="8">
        <v>118</v>
      </c>
      <c r="C355">
        <v>3</v>
      </c>
      <c r="D355" t="s">
        <v>20</v>
      </c>
      <c r="E355" t="s">
        <v>23</v>
      </c>
      <c r="F355">
        <v>26</v>
      </c>
      <c r="G355" t="str">
        <f>IF(Table2[[#This Row],[Age]]&gt;=30,"Experienced",IF(Table2[[#This Row],[Age]]&gt;=25,"Mid Level", "Entry Level"))</f>
        <v>Mid Level</v>
      </c>
      <c r="H355" t="s">
        <v>27</v>
      </c>
      <c r="I355" t="s">
        <v>30</v>
      </c>
      <c r="J355" s="4">
        <v>45678</v>
      </c>
      <c r="K355" s="4" t="str">
        <f>TEXT(Table2[[#This Row],[Enrollment_date]],"Mmm")</f>
        <v>Jan</v>
      </c>
      <c r="L355" s="4" t="str">
        <f>TEXT(Table2[[#This Row],[Enrollment_date]],"Ddd")</f>
        <v>Tue</v>
      </c>
      <c r="M355" s="4" t="s">
        <v>34</v>
      </c>
      <c r="N355" t="s">
        <v>37</v>
      </c>
      <c r="O355" t="s">
        <v>38</v>
      </c>
      <c r="P355" s="8">
        <v>4</v>
      </c>
      <c r="Q355" s="6">
        <v>0.875</v>
      </c>
      <c r="R355" s="6">
        <v>73.5</v>
      </c>
      <c r="S355" s="6" t="str">
        <f>IF(Table2[[#This Row],[Avg_score]]&gt;=79,"Distinction",IF(Table2[[#This Row],[Avg_score]]&gt;=60,"Pass","Fail"))</f>
        <v>Pass</v>
      </c>
      <c r="T355" t="s">
        <v>40</v>
      </c>
      <c r="U355">
        <f>IF(Table2[[#This Row],[Completed]]="Yes",1,0)</f>
        <v>0</v>
      </c>
      <c r="V355" t="s">
        <v>40</v>
      </c>
      <c r="W355" t="s">
        <v>40</v>
      </c>
      <c r="X355" s="4">
        <v>45838</v>
      </c>
    </row>
    <row r="356" spans="1:24" x14ac:dyDescent="0.3">
      <c r="A356">
        <v>355</v>
      </c>
      <c r="B356" s="8">
        <v>119</v>
      </c>
      <c r="C356">
        <v>1</v>
      </c>
      <c r="D356" t="s">
        <v>19</v>
      </c>
      <c r="E356" t="s">
        <v>23</v>
      </c>
      <c r="F356">
        <v>18</v>
      </c>
      <c r="G356" t="str">
        <f>IF(Table2[[#This Row],[Age]]&gt;=30,"Experienced",IF(Table2[[#This Row],[Age]]&gt;=25,"Mid Level", "Entry Level"))</f>
        <v>Entry Level</v>
      </c>
      <c r="H356" t="s">
        <v>24</v>
      </c>
      <c r="I356" t="s">
        <v>68</v>
      </c>
      <c r="J356" s="4">
        <v>45747</v>
      </c>
      <c r="K356" s="4" t="str">
        <f>TEXT(Table2[[#This Row],[Enrollment_date]],"Mmm")</f>
        <v>Mar</v>
      </c>
      <c r="L356" s="4" t="str">
        <f>TEXT(Table2[[#This Row],[Enrollment_date]],"Ddd")</f>
        <v>Mon</v>
      </c>
      <c r="M356" s="4" t="s">
        <v>34</v>
      </c>
      <c r="N356" t="s">
        <v>35</v>
      </c>
      <c r="O356" t="s">
        <v>38</v>
      </c>
      <c r="P356" s="8">
        <v>4</v>
      </c>
      <c r="Q356" s="6">
        <v>0.85416666666666663</v>
      </c>
      <c r="R356" s="6">
        <v>98</v>
      </c>
      <c r="S356" s="6" t="str">
        <f>IF(Table2[[#This Row],[Avg_score]]&gt;=79,"Distinction",IF(Table2[[#This Row],[Avg_score]]&gt;=60,"Pass","Fail"))</f>
        <v>Distinction</v>
      </c>
      <c r="T356" t="s">
        <v>39</v>
      </c>
      <c r="U356">
        <f>IF(Table2[[#This Row],[Completed]]="Yes",1,0)</f>
        <v>1</v>
      </c>
      <c r="V356" t="s">
        <v>39</v>
      </c>
      <c r="W356" t="s">
        <v>40</v>
      </c>
      <c r="X356" s="4">
        <v>45838</v>
      </c>
    </row>
    <row r="357" spans="1:24" x14ac:dyDescent="0.3">
      <c r="A357">
        <v>356</v>
      </c>
      <c r="B357" s="8">
        <v>119</v>
      </c>
      <c r="C357">
        <v>2</v>
      </c>
      <c r="D357" t="s">
        <v>21</v>
      </c>
      <c r="E357" t="s">
        <v>23</v>
      </c>
      <c r="F357">
        <v>18</v>
      </c>
      <c r="G357" t="str">
        <f>IF(Table2[[#This Row],[Age]]&gt;=30,"Experienced",IF(Table2[[#This Row],[Age]]&gt;=25,"Mid Level", "Entry Level"))</f>
        <v>Entry Level</v>
      </c>
      <c r="H357" t="s">
        <v>24</v>
      </c>
      <c r="I357" t="s">
        <v>68</v>
      </c>
      <c r="J357" s="4">
        <v>45747</v>
      </c>
      <c r="K357" s="4" t="str">
        <f>TEXT(Table2[[#This Row],[Enrollment_date]],"Mmm")</f>
        <v>Mar</v>
      </c>
      <c r="L357" s="4" t="str">
        <f>TEXT(Table2[[#This Row],[Enrollment_date]],"Ddd")</f>
        <v>Mon</v>
      </c>
      <c r="M357" s="4" t="s">
        <v>34</v>
      </c>
      <c r="N357" t="s">
        <v>36</v>
      </c>
      <c r="O357" t="s">
        <v>38</v>
      </c>
      <c r="P357" s="8">
        <v>4</v>
      </c>
      <c r="Q357" s="6">
        <v>0.79166666666666663</v>
      </c>
      <c r="R357" s="6">
        <v>60.5</v>
      </c>
      <c r="S357" s="6" t="str">
        <f>IF(Table2[[#This Row],[Avg_score]]&gt;=79,"Distinction",IF(Table2[[#This Row],[Avg_score]]&gt;=60,"Pass","Fail"))</f>
        <v>Pass</v>
      </c>
      <c r="T357" t="s">
        <v>39</v>
      </c>
      <c r="U357">
        <f>IF(Table2[[#This Row],[Completed]]="Yes",1,0)</f>
        <v>1</v>
      </c>
      <c r="V357" t="s">
        <v>39</v>
      </c>
      <c r="W357" t="s">
        <v>40</v>
      </c>
      <c r="X357" s="4">
        <v>45838</v>
      </c>
    </row>
    <row r="358" spans="1:24" x14ac:dyDescent="0.3">
      <c r="A358">
        <v>357</v>
      </c>
      <c r="B358" s="8">
        <v>119</v>
      </c>
      <c r="C358">
        <v>3</v>
      </c>
      <c r="D358" t="s">
        <v>19</v>
      </c>
      <c r="E358" t="s">
        <v>23</v>
      </c>
      <c r="F358">
        <v>18</v>
      </c>
      <c r="G358" t="str">
        <f>IF(Table2[[#This Row],[Age]]&gt;=30,"Experienced",IF(Table2[[#This Row],[Age]]&gt;=25,"Mid Level", "Entry Level"))</f>
        <v>Entry Level</v>
      </c>
      <c r="H358" t="s">
        <v>24</v>
      </c>
      <c r="I358" t="s">
        <v>68</v>
      </c>
      <c r="J358" s="4">
        <v>45747</v>
      </c>
      <c r="K358" s="4" t="str">
        <f>TEXT(Table2[[#This Row],[Enrollment_date]],"Mmm")</f>
        <v>Mar</v>
      </c>
      <c r="L358" s="4" t="str">
        <f>TEXT(Table2[[#This Row],[Enrollment_date]],"Ddd")</f>
        <v>Mon</v>
      </c>
      <c r="M358" s="4" t="s">
        <v>34</v>
      </c>
      <c r="N358" t="s">
        <v>37</v>
      </c>
      <c r="O358" t="s">
        <v>38</v>
      </c>
      <c r="P358" s="8">
        <v>4</v>
      </c>
      <c r="Q358" s="6">
        <v>0.72916666666666663</v>
      </c>
      <c r="R358" s="6">
        <v>52.5</v>
      </c>
      <c r="S358" s="6" t="str">
        <f>IF(Table2[[#This Row],[Avg_score]]&gt;=79,"Distinction",IF(Table2[[#This Row],[Avg_score]]&gt;=60,"Pass","Fail"))</f>
        <v>Fail</v>
      </c>
      <c r="T358" t="s">
        <v>39</v>
      </c>
      <c r="U358">
        <f>IF(Table2[[#This Row],[Completed]]="Yes",1,0)</f>
        <v>1</v>
      </c>
      <c r="V358" t="s">
        <v>39</v>
      </c>
      <c r="W358" t="s">
        <v>40</v>
      </c>
      <c r="X358" s="4">
        <v>45838</v>
      </c>
    </row>
    <row r="359" spans="1:24" x14ac:dyDescent="0.3">
      <c r="A359">
        <v>358</v>
      </c>
      <c r="B359" s="8">
        <v>120</v>
      </c>
      <c r="C359">
        <v>1</v>
      </c>
      <c r="D359" t="s">
        <v>21</v>
      </c>
      <c r="E359" t="s">
        <v>22</v>
      </c>
      <c r="F359">
        <v>20</v>
      </c>
      <c r="G359" t="str">
        <f>IF(Table2[[#This Row],[Age]]&gt;=30,"Experienced",IF(Table2[[#This Row],[Age]]&gt;=25,"Mid Level", "Entry Level"))</f>
        <v>Entry Level</v>
      </c>
      <c r="H359" t="s">
        <v>24</v>
      </c>
      <c r="I359" t="s">
        <v>68</v>
      </c>
      <c r="J359" s="4">
        <v>45665</v>
      </c>
      <c r="K359" s="4" t="str">
        <f>TEXT(Table2[[#This Row],[Enrollment_date]],"Mmm")</f>
        <v>Jan</v>
      </c>
      <c r="L359" s="4" t="str">
        <f>TEXT(Table2[[#This Row],[Enrollment_date]],"Ddd")</f>
        <v>Wed</v>
      </c>
      <c r="M359" s="4" t="s">
        <v>34</v>
      </c>
      <c r="N359" t="s">
        <v>35</v>
      </c>
      <c r="O359" t="s">
        <v>38</v>
      </c>
      <c r="P359" s="8">
        <v>4</v>
      </c>
      <c r="Q359" s="6">
        <v>0.77083333333333337</v>
      </c>
      <c r="R359" s="6">
        <v>77</v>
      </c>
      <c r="S359" s="6" t="str">
        <f>IF(Table2[[#This Row],[Avg_score]]&gt;=79,"Distinction",IF(Table2[[#This Row],[Avg_score]]&gt;=60,"Pass","Fail"))</f>
        <v>Pass</v>
      </c>
      <c r="T359" t="s">
        <v>39</v>
      </c>
      <c r="U359">
        <f>IF(Table2[[#This Row],[Completed]]="Yes",1,0)</f>
        <v>1</v>
      </c>
      <c r="V359" t="s">
        <v>40</v>
      </c>
      <c r="W359" t="s">
        <v>40</v>
      </c>
      <c r="X359" s="4">
        <v>45838</v>
      </c>
    </row>
    <row r="360" spans="1:24" x14ac:dyDescent="0.3">
      <c r="A360">
        <v>359</v>
      </c>
      <c r="B360" s="8">
        <v>120</v>
      </c>
      <c r="C360">
        <v>2</v>
      </c>
      <c r="D360" t="s">
        <v>20</v>
      </c>
      <c r="E360" t="s">
        <v>22</v>
      </c>
      <c r="F360">
        <v>20</v>
      </c>
      <c r="G360" t="str">
        <f>IF(Table2[[#This Row],[Age]]&gt;=30,"Experienced",IF(Table2[[#This Row],[Age]]&gt;=25,"Mid Level", "Entry Level"))</f>
        <v>Entry Level</v>
      </c>
      <c r="H360" t="s">
        <v>24</v>
      </c>
      <c r="I360" t="s">
        <v>68</v>
      </c>
      <c r="J360" s="4">
        <v>45665</v>
      </c>
      <c r="K360" s="4" t="str">
        <f>TEXT(Table2[[#This Row],[Enrollment_date]],"Mmm")</f>
        <v>Jan</v>
      </c>
      <c r="L360" s="4" t="str">
        <f>TEXT(Table2[[#This Row],[Enrollment_date]],"Ddd")</f>
        <v>Wed</v>
      </c>
      <c r="M360" s="4" t="s">
        <v>34</v>
      </c>
      <c r="N360" t="s">
        <v>36</v>
      </c>
      <c r="O360" t="s">
        <v>38</v>
      </c>
      <c r="P360" s="8">
        <v>4</v>
      </c>
      <c r="Q360" s="6">
        <v>0.875</v>
      </c>
      <c r="R360" s="6">
        <v>62.5</v>
      </c>
      <c r="S360" s="6" t="str">
        <f>IF(Table2[[#This Row],[Avg_score]]&gt;=79,"Distinction",IF(Table2[[#This Row],[Avg_score]]&gt;=60,"Pass","Fail"))</f>
        <v>Pass</v>
      </c>
      <c r="T360" t="s">
        <v>39</v>
      </c>
      <c r="U360">
        <f>IF(Table2[[#This Row],[Completed]]="Yes",1,0)</f>
        <v>1</v>
      </c>
      <c r="V360" t="s">
        <v>40</v>
      </c>
      <c r="W360" t="s">
        <v>40</v>
      </c>
      <c r="X360" s="4">
        <v>45838</v>
      </c>
    </row>
    <row r="361" spans="1:24" x14ac:dyDescent="0.3">
      <c r="A361">
        <v>360</v>
      </c>
      <c r="B361" s="8">
        <v>120</v>
      </c>
      <c r="C361">
        <v>3</v>
      </c>
      <c r="D361" t="s">
        <v>19</v>
      </c>
      <c r="E361" t="s">
        <v>22</v>
      </c>
      <c r="F361">
        <v>20</v>
      </c>
      <c r="G361" t="str">
        <f>IF(Table2[[#This Row],[Age]]&gt;=30,"Experienced",IF(Table2[[#This Row],[Age]]&gt;=25,"Mid Level", "Entry Level"))</f>
        <v>Entry Level</v>
      </c>
      <c r="H361" t="s">
        <v>24</v>
      </c>
      <c r="I361" t="s">
        <v>68</v>
      </c>
      <c r="J361" s="4">
        <v>45665</v>
      </c>
      <c r="K361" s="4" t="str">
        <f>TEXT(Table2[[#This Row],[Enrollment_date]],"Mmm")</f>
        <v>Jan</v>
      </c>
      <c r="L361" s="4" t="str">
        <f>TEXT(Table2[[#This Row],[Enrollment_date]],"Ddd")</f>
        <v>Wed</v>
      </c>
      <c r="M361" s="4" t="s">
        <v>34</v>
      </c>
      <c r="N361" t="s">
        <v>37</v>
      </c>
      <c r="O361" t="s">
        <v>38</v>
      </c>
      <c r="P361" s="8">
        <v>4</v>
      </c>
      <c r="Q361" s="6">
        <v>0.75</v>
      </c>
      <c r="R361" s="6">
        <v>48.5</v>
      </c>
      <c r="S361" s="6" t="str">
        <f>IF(Table2[[#This Row],[Avg_score]]&gt;=79,"Distinction",IF(Table2[[#This Row],[Avg_score]]&gt;=60,"Pass","Fail"))</f>
        <v>Fail</v>
      </c>
      <c r="T361" t="s">
        <v>39</v>
      </c>
      <c r="U361">
        <f>IF(Table2[[#This Row],[Completed]]="Yes",1,0)</f>
        <v>1</v>
      </c>
      <c r="V361" t="s">
        <v>40</v>
      </c>
      <c r="W361" t="s">
        <v>40</v>
      </c>
      <c r="X361" s="4">
        <v>45838</v>
      </c>
    </row>
    <row r="362" spans="1:24" x14ac:dyDescent="0.3">
      <c r="A362">
        <v>361</v>
      </c>
      <c r="B362" s="8">
        <v>121</v>
      </c>
      <c r="C362">
        <v>1</v>
      </c>
      <c r="D362" t="s">
        <v>19</v>
      </c>
      <c r="E362" t="s">
        <v>22</v>
      </c>
      <c r="F362">
        <v>24</v>
      </c>
      <c r="G362" t="str">
        <f>IF(Table2[[#This Row],[Age]]&gt;=30,"Experienced",IF(Table2[[#This Row],[Age]]&gt;=25,"Mid Level", "Entry Level"))</f>
        <v>Entry Level</v>
      </c>
      <c r="H362" t="s">
        <v>25</v>
      </c>
      <c r="I362" t="s">
        <v>32</v>
      </c>
      <c r="J362" s="4">
        <v>45719</v>
      </c>
      <c r="K362" s="4" t="str">
        <f>TEXT(Table2[[#This Row],[Enrollment_date]],"Mmm")</f>
        <v>Mar</v>
      </c>
      <c r="L362" s="4" t="str">
        <f>TEXT(Table2[[#This Row],[Enrollment_date]],"Ddd")</f>
        <v>Mon</v>
      </c>
      <c r="M362" s="4" t="s">
        <v>34</v>
      </c>
      <c r="N362" t="s">
        <v>35</v>
      </c>
      <c r="O362" t="s">
        <v>38</v>
      </c>
      <c r="P362" s="8">
        <v>4</v>
      </c>
      <c r="Q362" s="6">
        <v>0.83333333333333337</v>
      </c>
      <c r="R362" s="6">
        <v>74</v>
      </c>
      <c r="S362" s="6" t="str">
        <f>IF(Table2[[#This Row],[Avg_score]]&gt;=79,"Distinction",IF(Table2[[#This Row],[Avg_score]]&gt;=60,"Pass","Fail"))</f>
        <v>Pass</v>
      </c>
      <c r="T362" t="s">
        <v>39</v>
      </c>
      <c r="U362">
        <f>IF(Table2[[#This Row],[Completed]]="Yes",1,0)</f>
        <v>1</v>
      </c>
      <c r="V362" t="s">
        <v>40</v>
      </c>
      <c r="W362" t="s">
        <v>40</v>
      </c>
      <c r="X362" s="4">
        <v>45838</v>
      </c>
    </row>
    <row r="363" spans="1:24" x14ac:dyDescent="0.3">
      <c r="A363">
        <v>362</v>
      </c>
      <c r="B363" s="8">
        <v>121</v>
      </c>
      <c r="C363">
        <v>2</v>
      </c>
      <c r="D363" t="s">
        <v>19</v>
      </c>
      <c r="E363" t="s">
        <v>22</v>
      </c>
      <c r="F363">
        <v>24</v>
      </c>
      <c r="G363" t="str">
        <f>IF(Table2[[#This Row],[Age]]&gt;=30,"Experienced",IF(Table2[[#This Row],[Age]]&gt;=25,"Mid Level", "Entry Level"))</f>
        <v>Entry Level</v>
      </c>
      <c r="H363" t="s">
        <v>25</v>
      </c>
      <c r="I363" t="s">
        <v>32</v>
      </c>
      <c r="J363" s="4">
        <v>45719</v>
      </c>
      <c r="K363" s="4" t="str">
        <f>TEXT(Table2[[#This Row],[Enrollment_date]],"Mmm")</f>
        <v>Mar</v>
      </c>
      <c r="L363" s="4" t="str">
        <f>TEXT(Table2[[#This Row],[Enrollment_date]],"Ddd")</f>
        <v>Mon</v>
      </c>
      <c r="M363" s="4" t="s">
        <v>34</v>
      </c>
      <c r="N363" t="s">
        <v>36</v>
      </c>
      <c r="O363" t="s">
        <v>38</v>
      </c>
      <c r="P363" s="8">
        <v>4</v>
      </c>
      <c r="Q363" s="6">
        <v>0.89583333333333337</v>
      </c>
      <c r="R363" s="6">
        <v>69.5</v>
      </c>
      <c r="S363" s="6" t="str">
        <f>IF(Table2[[#This Row],[Avg_score]]&gt;=79,"Distinction",IF(Table2[[#This Row],[Avg_score]]&gt;=60,"Pass","Fail"))</f>
        <v>Pass</v>
      </c>
      <c r="T363" t="s">
        <v>39</v>
      </c>
      <c r="U363">
        <f>IF(Table2[[#This Row],[Completed]]="Yes",1,0)</f>
        <v>1</v>
      </c>
      <c r="V363" t="s">
        <v>40</v>
      </c>
      <c r="W363" t="s">
        <v>40</v>
      </c>
      <c r="X363" s="4">
        <v>45838</v>
      </c>
    </row>
    <row r="364" spans="1:24" x14ac:dyDescent="0.3">
      <c r="A364">
        <v>363</v>
      </c>
      <c r="B364" s="8">
        <v>121</v>
      </c>
      <c r="C364">
        <v>3</v>
      </c>
      <c r="D364" t="s">
        <v>19</v>
      </c>
      <c r="E364" t="s">
        <v>22</v>
      </c>
      <c r="F364">
        <v>24</v>
      </c>
      <c r="G364" t="str">
        <f>IF(Table2[[#This Row],[Age]]&gt;=30,"Experienced",IF(Table2[[#This Row],[Age]]&gt;=25,"Mid Level", "Entry Level"))</f>
        <v>Entry Level</v>
      </c>
      <c r="H364" t="s">
        <v>25</v>
      </c>
      <c r="I364" t="s">
        <v>32</v>
      </c>
      <c r="J364" s="4">
        <v>45719</v>
      </c>
      <c r="K364" s="4" t="str">
        <f>TEXT(Table2[[#This Row],[Enrollment_date]],"Mmm")</f>
        <v>Mar</v>
      </c>
      <c r="L364" s="4" t="str">
        <f>TEXT(Table2[[#This Row],[Enrollment_date]],"Ddd")</f>
        <v>Mon</v>
      </c>
      <c r="M364" s="4" t="s">
        <v>34</v>
      </c>
      <c r="N364" t="s">
        <v>37</v>
      </c>
      <c r="O364" t="s">
        <v>38</v>
      </c>
      <c r="P364" s="8">
        <v>4</v>
      </c>
      <c r="Q364" s="6">
        <v>0.8125</v>
      </c>
      <c r="R364" s="6">
        <v>76</v>
      </c>
      <c r="S364" s="6" t="str">
        <f>IF(Table2[[#This Row],[Avg_score]]&gt;=79,"Distinction",IF(Table2[[#This Row],[Avg_score]]&gt;=60,"Pass","Fail"))</f>
        <v>Pass</v>
      </c>
      <c r="T364" t="s">
        <v>39</v>
      </c>
      <c r="U364">
        <f>IF(Table2[[#This Row],[Completed]]="Yes",1,0)</f>
        <v>1</v>
      </c>
      <c r="V364" t="s">
        <v>40</v>
      </c>
      <c r="W364" t="s">
        <v>40</v>
      </c>
      <c r="X364" s="4">
        <v>45838</v>
      </c>
    </row>
    <row r="365" spans="1:24" x14ac:dyDescent="0.3">
      <c r="A365">
        <v>364</v>
      </c>
      <c r="B365" s="8">
        <v>122</v>
      </c>
      <c r="C365">
        <v>1</v>
      </c>
      <c r="D365" t="s">
        <v>19</v>
      </c>
      <c r="E365" t="s">
        <v>22</v>
      </c>
      <c r="F365">
        <v>33</v>
      </c>
      <c r="G365" t="str">
        <f>IF(Table2[[#This Row],[Age]]&gt;=30,"Experienced",IF(Table2[[#This Row],[Age]]&gt;=25,"Mid Level", "Entry Level"))</f>
        <v>Experienced</v>
      </c>
      <c r="H365" t="s">
        <v>24</v>
      </c>
      <c r="I365" t="s">
        <v>68</v>
      </c>
      <c r="J365" s="4">
        <v>45802</v>
      </c>
      <c r="K365" s="4" t="str">
        <f>TEXT(Table2[[#This Row],[Enrollment_date]],"Mmm")</f>
        <v>May</v>
      </c>
      <c r="L365" s="4" t="str">
        <f>TEXT(Table2[[#This Row],[Enrollment_date]],"Ddd")</f>
        <v>Sun</v>
      </c>
      <c r="M365" s="4" t="s">
        <v>34</v>
      </c>
      <c r="N365" t="s">
        <v>35</v>
      </c>
      <c r="O365" t="s">
        <v>38</v>
      </c>
      <c r="P365" s="8">
        <v>4</v>
      </c>
      <c r="Q365" s="6">
        <v>0.79166666666666663</v>
      </c>
      <c r="R365" s="6">
        <v>74</v>
      </c>
      <c r="S365" s="6" t="str">
        <f>IF(Table2[[#This Row],[Avg_score]]&gt;=79,"Distinction",IF(Table2[[#This Row],[Avg_score]]&gt;=60,"Pass","Fail"))</f>
        <v>Pass</v>
      </c>
      <c r="T365" t="s">
        <v>39</v>
      </c>
      <c r="U365">
        <f>IF(Table2[[#This Row],[Completed]]="Yes",1,0)</f>
        <v>1</v>
      </c>
      <c r="V365" t="s">
        <v>39</v>
      </c>
      <c r="W365" t="s">
        <v>40</v>
      </c>
      <c r="X365" s="4">
        <v>45838</v>
      </c>
    </row>
    <row r="366" spans="1:24" x14ac:dyDescent="0.3">
      <c r="A366">
        <v>365</v>
      </c>
      <c r="B366" s="8">
        <v>122</v>
      </c>
      <c r="C366">
        <v>2</v>
      </c>
      <c r="D366" t="s">
        <v>21</v>
      </c>
      <c r="E366" t="s">
        <v>22</v>
      </c>
      <c r="F366">
        <v>33</v>
      </c>
      <c r="G366" t="str">
        <f>IF(Table2[[#This Row],[Age]]&gt;=30,"Experienced",IF(Table2[[#This Row],[Age]]&gt;=25,"Mid Level", "Entry Level"))</f>
        <v>Experienced</v>
      </c>
      <c r="H366" t="s">
        <v>24</v>
      </c>
      <c r="I366" t="s">
        <v>68</v>
      </c>
      <c r="J366" s="4">
        <v>45802</v>
      </c>
      <c r="K366" s="4" t="str">
        <f>TEXT(Table2[[#This Row],[Enrollment_date]],"Mmm")</f>
        <v>May</v>
      </c>
      <c r="L366" s="4" t="str">
        <f>TEXT(Table2[[#This Row],[Enrollment_date]],"Ddd")</f>
        <v>Sun</v>
      </c>
      <c r="M366" s="4" t="s">
        <v>34</v>
      </c>
      <c r="N366" t="s">
        <v>36</v>
      </c>
      <c r="O366" t="s">
        <v>38</v>
      </c>
      <c r="P366" s="8">
        <v>4</v>
      </c>
      <c r="Q366" s="6">
        <v>0.83333333333333337</v>
      </c>
      <c r="R366" s="6">
        <v>81</v>
      </c>
      <c r="S366" s="6" t="str">
        <f>IF(Table2[[#This Row],[Avg_score]]&gt;=79,"Distinction",IF(Table2[[#This Row],[Avg_score]]&gt;=60,"Pass","Fail"))</f>
        <v>Distinction</v>
      </c>
      <c r="T366" t="s">
        <v>39</v>
      </c>
      <c r="U366">
        <f>IF(Table2[[#This Row],[Completed]]="Yes",1,0)</f>
        <v>1</v>
      </c>
      <c r="V366" t="s">
        <v>39</v>
      </c>
      <c r="W366" t="s">
        <v>40</v>
      </c>
      <c r="X366" s="4">
        <v>45838</v>
      </c>
    </row>
    <row r="367" spans="1:24" x14ac:dyDescent="0.3">
      <c r="A367">
        <v>366</v>
      </c>
      <c r="B367" s="8">
        <v>122</v>
      </c>
      <c r="C367">
        <v>3</v>
      </c>
      <c r="D367" t="s">
        <v>19</v>
      </c>
      <c r="E367" t="s">
        <v>22</v>
      </c>
      <c r="F367">
        <v>33</v>
      </c>
      <c r="G367" t="str">
        <f>IF(Table2[[#This Row],[Age]]&gt;=30,"Experienced",IF(Table2[[#This Row],[Age]]&gt;=25,"Mid Level", "Entry Level"))</f>
        <v>Experienced</v>
      </c>
      <c r="H367" t="s">
        <v>24</v>
      </c>
      <c r="I367" t="s">
        <v>68</v>
      </c>
      <c r="J367" s="4">
        <v>45802</v>
      </c>
      <c r="K367" s="4" t="str">
        <f>TEXT(Table2[[#This Row],[Enrollment_date]],"Mmm")</f>
        <v>May</v>
      </c>
      <c r="L367" s="4" t="str">
        <f>TEXT(Table2[[#This Row],[Enrollment_date]],"Ddd")</f>
        <v>Sun</v>
      </c>
      <c r="M367" s="4" t="s">
        <v>34</v>
      </c>
      <c r="N367" t="s">
        <v>37</v>
      </c>
      <c r="O367" t="s">
        <v>38</v>
      </c>
      <c r="P367" s="8">
        <v>4</v>
      </c>
      <c r="Q367" s="6">
        <v>0.85416666666666663</v>
      </c>
      <c r="R367" s="6">
        <v>53</v>
      </c>
      <c r="S367" s="6" t="str">
        <f>IF(Table2[[#This Row],[Avg_score]]&gt;=79,"Distinction",IF(Table2[[#This Row],[Avg_score]]&gt;=60,"Pass","Fail"))</f>
        <v>Fail</v>
      </c>
      <c r="T367" t="s">
        <v>39</v>
      </c>
      <c r="U367">
        <f>IF(Table2[[#This Row],[Completed]]="Yes",1,0)</f>
        <v>1</v>
      </c>
      <c r="V367" t="s">
        <v>39</v>
      </c>
      <c r="W367" t="s">
        <v>40</v>
      </c>
      <c r="X367" s="4">
        <v>45838</v>
      </c>
    </row>
    <row r="368" spans="1:24" x14ac:dyDescent="0.3">
      <c r="A368">
        <v>367</v>
      </c>
      <c r="B368" s="8">
        <v>123</v>
      </c>
      <c r="C368">
        <v>1</v>
      </c>
      <c r="D368" t="s">
        <v>19</v>
      </c>
      <c r="E368" t="s">
        <v>22</v>
      </c>
      <c r="F368">
        <v>32</v>
      </c>
      <c r="G368" t="str">
        <f>IF(Table2[[#This Row],[Age]]&gt;=30,"Experienced",IF(Table2[[#This Row],[Age]]&gt;=25,"Mid Level", "Entry Level"))</f>
        <v>Experienced</v>
      </c>
      <c r="H368" t="s">
        <v>24</v>
      </c>
      <c r="I368" t="s">
        <v>30</v>
      </c>
      <c r="J368" s="4">
        <v>45752</v>
      </c>
      <c r="K368" s="4" t="str">
        <f>TEXT(Table2[[#This Row],[Enrollment_date]],"Mmm")</f>
        <v>Apr</v>
      </c>
      <c r="L368" s="4" t="str">
        <f>TEXT(Table2[[#This Row],[Enrollment_date]],"Ddd")</f>
        <v>Sat</v>
      </c>
      <c r="M368" s="4" t="s">
        <v>34</v>
      </c>
      <c r="N368" t="s">
        <v>35</v>
      </c>
      <c r="O368" t="s">
        <v>38</v>
      </c>
      <c r="P368" s="8">
        <v>4</v>
      </c>
      <c r="Q368" s="6">
        <v>0.79166666666666663</v>
      </c>
      <c r="R368" s="6">
        <v>59</v>
      </c>
      <c r="S368" s="6" t="str">
        <f>IF(Table2[[#This Row],[Avg_score]]&gt;=79,"Distinction",IF(Table2[[#This Row],[Avg_score]]&gt;=60,"Pass","Fail"))</f>
        <v>Fail</v>
      </c>
      <c r="T368" t="s">
        <v>40</v>
      </c>
      <c r="U368">
        <f>IF(Table2[[#This Row],[Completed]]="Yes",1,0)</f>
        <v>0</v>
      </c>
      <c r="V368" t="s">
        <v>40</v>
      </c>
      <c r="W368" t="s">
        <v>40</v>
      </c>
      <c r="X368" s="4">
        <v>45838</v>
      </c>
    </row>
    <row r="369" spans="1:24" x14ac:dyDescent="0.3">
      <c r="A369">
        <v>368</v>
      </c>
      <c r="B369" s="8">
        <v>123</v>
      </c>
      <c r="C369">
        <v>2</v>
      </c>
      <c r="D369" t="s">
        <v>19</v>
      </c>
      <c r="E369" t="s">
        <v>22</v>
      </c>
      <c r="F369">
        <v>32</v>
      </c>
      <c r="G369" t="str">
        <f>IF(Table2[[#This Row],[Age]]&gt;=30,"Experienced",IF(Table2[[#This Row],[Age]]&gt;=25,"Mid Level", "Entry Level"))</f>
        <v>Experienced</v>
      </c>
      <c r="H369" t="s">
        <v>24</v>
      </c>
      <c r="I369" t="s">
        <v>30</v>
      </c>
      <c r="J369" s="4">
        <v>45752</v>
      </c>
      <c r="K369" s="4" t="str">
        <f>TEXT(Table2[[#This Row],[Enrollment_date]],"Mmm")</f>
        <v>Apr</v>
      </c>
      <c r="L369" s="4" t="str">
        <f>TEXT(Table2[[#This Row],[Enrollment_date]],"Ddd")</f>
        <v>Sat</v>
      </c>
      <c r="M369" s="4" t="s">
        <v>34</v>
      </c>
      <c r="N369" t="s">
        <v>36</v>
      </c>
      <c r="O369" t="s">
        <v>38</v>
      </c>
      <c r="P369" s="8">
        <v>4</v>
      </c>
      <c r="Q369" s="6">
        <v>0.875</v>
      </c>
      <c r="R369" s="6">
        <v>59</v>
      </c>
      <c r="S369" s="6" t="str">
        <f>IF(Table2[[#This Row],[Avg_score]]&gt;=79,"Distinction",IF(Table2[[#This Row],[Avg_score]]&gt;=60,"Pass","Fail"))</f>
        <v>Fail</v>
      </c>
      <c r="T369" t="s">
        <v>40</v>
      </c>
      <c r="U369">
        <f>IF(Table2[[#This Row],[Completed]]="Yes",1,0)</f>
        <v>0</v>
      </c>
      <c r="V369" t="s">
        <v>40</v>
      </c>
      <c r="W369" t="s">
        <v>40</v>
      </c>
      <c r="X369" s="4">
        <v>45838</v>
      </c>
    </row>
    <row r="370" spans="1:24" x14ac:dyDescent="0.3">
      <c r="A370">
        <v>369</v>
      </c>
      <c r="B370" s="8">
        <v>123</v>
      </c>
      <c r="C370">
        <v>3</v>
      </c>
      <c r="D370" t="s">
        <v>19</v>
      </c>
      <c r="E370" t="s">
        <v>22</v>
      </c>
      <c r="F370">
        <v>32</v>
      </c>
      <c r="G370" t="str">
        <f>IF(Table2[[#This Row],[Age]]&gt;=30,"Experienced",IF(Table2[[#This Row],[Age]]&gt;=25,"Mid Level", "Entry Level"))</f>
        <v>Experienced</v>
      </c>
      <c r="H370" t="s">
        <v>24</v>
      </c>
      <c r="I370" t="s">
        <v>30</v>
      </c>
      <c r="J370" s="4">
        <v>45752</v>
      </c>
      <c r="K370" s="4" t="str">
        <f>TEXT(Table2[[#This Row],[Enrollment_date]],"Mmm")</f>
        <v>Apr</v>
      </c>
      <c r="L370" s="4" t="str">
        <f>TEXT(Table2[[#This Row],[Enrollment_date]],"Ddd")</f>
        <v>Sat</v>
      </c>
      <c r="M370" s="4" t="s">
        <v>34</v>
      </c>
      <c r="N370" t="s">
        <v>37</v>
      </c>
      <c r="O370" t="s">
        <v>38</v>
      </c>
      <c r="P370" s="8">
        <v>4</v>
      </c>
      <c r="Q370" s="6">
        <v>0.91666666666666663</v>
      </c>
      <c r="R370" s="6">
        <v>72.5</v>
      </c>
      <c r="S370" s="6" t="str">
        <f>IF(Table2[[#This Row],[Avg_score]]&gt;=79,"Distinction",IF(Table2[[#This Row],[Avg_score]]&gt;=60,"Pass","Fail"))</f>
        <v>Pass</v>
      </c>
      <c r="T370" t="s">
        <v>40</v>
      </c>
      <c r="U370">
        <f>IF(Table2[[#This Row],[Completed]]="Yes",1,0)</f>
        <v>0</v>
      </c>
      <c r="V370" t="s">
        <v>40</v>
      </c>
      <c r="W370" t="s">
        <v>40</v>
      </c>
      <c r="X370" s="4">
        <v>45838</v>
      </c>
    </row>
    <row r="371" spans="1:24" x14ac:dyDescent="0.3">
      <c r="A371">
        <v>370</v>
      </c>
      <c r="B371" s="8">
        <v>124</v>
      </c>
      <c r="C371">
        <v>1</v>
      </c>
      <c r="D371" t="s">
        <v>19</v>
      </c>
      <c r="E371" t="s">
        <v>22</v>
      </c>
      <c r="F371">
        <v>21</v>
      </c>
      <c r="G371" t="str">
        <f>IF(Table2[[#This Row],[Age]]&gt;=30,"Experienced",IF(Table2[[#This Row],[Age]]&gt;=25,"Mid Level", "Entry Level"))</f>
        <v>Entry Level</v>
      </c>
      <c r="H371" t="s">
        <v>28</v>
      </c>
      <c r="I371" t="s">
        <v>30</v>
      </c>
      <c r="J371" s="4">
        <v>45685</v>
      </c>
      <c r="K371" s="4" t="str">
        <f>TEXT(Table2[[#This Row],[Enrollment_date]],"Mmm")</f>
        <v>Jan</v>
      </c>
      <c r="L371" s="4" t="str">
        <f>TEXT(Table2[[#This Row],[Enrollment_date]],"Ddd")</f>
        <v>Tue</v>
      </c>
      <c r="M371" s="4" t="s">
        <v>34</v>
      </c>
      <c r="N371" t="s">
        <v>35</v>
      </c>
      <c r="O371" t="s">
        <v>38</v>
      </c>
      <c r="P371" s="8">
        <v>4</v>
      </c>
      <c r="Q371" s="6">
        <v>0.85416666666666663</v>
      </c>
      <c r="R371" s="6">
        <v>52</v>
      </c>
      <c r="S371" s="6" t="str">
        <f>IF(Table2[[#This Row],[Avg_score]]&gt;=79,"Distinction",IF(Table2[[#This Row],[Avg_score]]&gt;=60,"Pass","Fail"))</f>
        <v>Fail</v>
      </c>
      <c r="T371" t="s">
        <v>39</v>
      </c>
      <c r="U371">
        <f>IF(Table2[[#This Row],[Completed]]="Yes",1,0)</f>
        <v>1</v>
      </c>
      <c r="V371" t="s">
        <v>39</v>
      </c>
      <c r="W371" t="s">
        <v>40</v>
      </c>
      <c r="X371" s="4">
        <v>45838</v>
      </c>
    </row>
    <row r="372" spans="1:24" x14ac:dyDescent="0.3">
      <c r="A372">
        <v>371</v>
      </c>
      <c r="B372" s="8">
        <v>124</v>
      </c>
      <c r="C372">
        <v>2</v>
      </c>
      <c r="D372" t="s">
        <v>20</v>
      </c>
      <c r="E372" t="s">
        <v>22</v>
      </c>
      <c r="F372">
        <v>21</v>
      </c>
      <c r="G372" t="str">
        <f>IF(Table2[[#This Row],[Age]]&gt;=30,"Experienced",IF(Table2[[#This Row],[Age]]&gt;=25,"Mid Level", "Entry Level"))</f>
        <v>Entry Level</v>
      </c>
      <c r="H372" t="s">
        <v>28</v>
      </c>
      <c r="I372" t="s">
        <v>30</v>
      </c>
      <c r="J372" s="4">
        <v>45685</v>
      </c>
      <c r="K372" s="4" t="str">
        <f>TEXT(Table2[[#This Row],[Enrollment_date]],"Mmm")</f>
        <v>Jan</v>
      </c>
      <c r="L372" s="4" t="str">
        <f>TEXT(Table2[[#This Row],[Enrollment_date]],"Ddd")</f>
        <v>Tue</v>
      </c>
      <c r="M372" s="4" t="s">
        <v>34</v>
      </c>
      <c r="N372" t="s">
        <v>36</v>
      </c>
      <c r="O372" t="s">
        <v>38</v>
      </c>
      <c r="P372" s="8">
        <v>4</v>
      </c>
      <c r="Q372" s="6">
        <v>0.72916666666666663</v>
      </c>
      <c r="R372" s="6">
        <v>61</v>
      </c>
      <c r="S372" s="6" t="str">
        <f>IF(Table2[[#This Row],[Avg_score]]&gt;=79,"Distinction",IF(Table2[[#This Row],[Avg_score]]&gt;=60,"Pass","Fail"))</f>
        <v>Pass</v>
      </c>
      <c r="T372" t="s">
        <v>39</v>
      </c>
      <c r="U372">
        <f>IF(Table2[[#This Row],[Completed]]="Yes",1,0)</f>
        <v>1</v>
      </c>
      <c r="V372" t="s">
        <v>39</v>
      </c>
      <c r="W372" t="s">
        <v>40</v>
      </c>
      <c r="X372" s="4">
        <v>45838</v>
      </c>
    </row>
    <row r="373" spans="1:24" x14ac:dyDescent="0.3">
      <c r="A373">
        <v>372</v>
      </c>
      <c r="B373" s="8">
        <v>124</v>
      </c>
      <c r="C373">
        <v>3</v>
      </c>
      <c r="D373" t="s">
        <v>19</v>
      </c>
      <c r="E373" t="s">
        <v>22</v>
      </c>
      <c r="F373">
        <v>21</v>
      </c>
      <c r="G373" t="str">
        <f>IF(Table2[[#This Row],[Age]]&gt;=30,"Experienced",IF(Table2[[#This Row],[Age]]&gt;=25,"Mid Level", "Entry Level"))</f>
        <v>Entry Level</v>
      </c>
      <c r="H373" t="s">
        <v>28</v>
      </c>
      <c r="I373" t="s">
        <v>30</v>
      </c>
      <c r="J373" s="4">
        <v>45685</v>
      </c>
      <c r="K373" s="4" t="str">
        <f>TEXT(Table2[[#This Row],[Enrollment_date]],"Mmm")</f>
        <v>Jan</v>
      </c>
      <c r="L373" s="4" t="str">
        <f>TEXT(Table2[[#This Row],[Enrollment_date]],"Ddd")</f>
        <v>Tue</v>
      </c>
      <c r="M373" s="4" t="s">
        <v>34</v>
      </c>
      <c r="N373" t="s">
        <v>37</v>
      </c>
      <c r="O373" t="s">
        <v>38</v>
      </c>
      <c r="P373" s="8">
        <v>4</v>
      </c>
      <c r="Q373" s="6">
        <v>0.91666666666666663</v>
      </c>
      <c r="R373" s="6">
        <v>61</v>
      </c>
      <c r="S373" s="6" t="str">
        <f>IF(Table2[[#This Row],[Avg_score]]&gt;=79,"Distinction",IF(Table2[[#This Row],[Avg_score]]&gt;=60,"Pass","Fail"))</f>
        <v>Pass</v>
      </c>
      <c r="T373" t="s">
        <v>39</v>
      </c>
      <c r="U373">
        <f>IF(Table2[[#This Row],[Completed]]="Yes",1,0)</f>
        <v>1</v>
      </c>
      <c r="V373" t="s">
        <v>39</v>
      </c>
      <c r="W373" t="s">
        <v>40</v>
      </c>
      <c r="X373" s="4">
        <v>45838</v>
      </c>
    </row>
    <row r="374" spans="1:24" x14ac:dyDescent="0.3">
      <c r="A374">
        <v>373</v>
      </c>
      <c r="B374" s="8">
        <v>125</v>
      </c>
      <c r="C374">
        <v>1</v>
      </c>
      <c r="D374" t="s">
        <v>21</v>
      </c>
      <c r="E374" t="s">
        <v>22</v>
      </c>
      <c r="F374">
        <v>27</v>
      </c>
      <c r="G374" t="str">
        <f>IF(Table2[[#This Row],[Age]]&gt;=30,"Experienced",IF(Table2[[#This Row],[Age]]&gt;=25,"Mid Level", "Entry Level"))</f>
        <v>Mid Level</v>
      </c>
      <c r="H374" t="s">
        <v>26</v>
      </c>
      <c r="I374" t="s">
        <v>44</v>
      </c>
      <c r="J374" s="4">
        <v>45759</v>
      </c>
      <c r="K374" s="4" t="str">
        <f>TEXT(Table2[[#This Row],[Enrollment_date]],"Mmm")</f>
        <v>Apr</v>
      </c>
      <c r="L374" s="4" t="str">
        <f>TEXT(Table2[[#This Row],[Enrollment_date]],"Ddd")</f>
        <v>Sat</v>
      </c>
      <c r="M374" s="4" t="s">
        <v>34</v>
      </c>
      <c r="N374" t="s">
        <v>35</v>
      </c>
      <c r="O374" t="s">
        <v>38</v>
      </c>
      <c r="P374" s="8">
        <v>4</v>
      </c>
      <c r="Q374" s="6">
        <v>0.8125</v>
      </c>
      <c r="R374" s="6">
        <v>66.5</v>
      </c>
      <c r="S374" s="6" t="str">
        <f>IF(Table2[[#This Row],[Avg_score]]&gt;=79,"Distinction",IF(Table2[[#This Row],[Avg_score]]&gt;=60,"Pass","Fail"))</f>
        <v>Pass</v>
      </c>
      <c r="T374" t="s">
        <v>39</v>
      </c>
      <c r="U374">
        <f>IF(Table2[[#This Row],[Completed]]="Yes",1,0)</f>
        <v>1</v>
      </c>
      <c r="V374" t="s">
        <v>39</v>
      </c>
      <c r="W374" t="s">
        <v>40</v>
      </c>
      <c r="X374" s="4">
        <v>45838</v>
      </c>
    </row>
    <row r="375" spans="1:24" x14ac:dyDescent="0.3">
      <c r="A375">
        <v>374</v>
      </c>
      <c r="B375" s="8">
        <v>125</v>
      </c>
      <c r="C375">
        <v>2</v>
      </c>
      <c r="D375" t="s">
        <v>21</v>
      </c>
      <c r="E375" t="s">
        <v>22</v>
      </c>
      <c r="F375">
        <v>27</v>
      </c>
      <c r="G375" t="str">
        <f>IF(Table2[[#This Row],[Age]]&gt;=30,"Experienced",IF(Table2[[#This Row],[Age]]&gt;=25,"Mid Level", "Entry Level"))</f>
        <v>Mid Level</v>
      </c>
      <c r="H375" t="s">
        <v>26</v>
      </c>
      <c r="I375" t="s">
        <v>44</v>
      </c>
      <c r="J375" s="4">
        <v>45759</v>
      </c>
      <c r="K375" s="4" t="str">
        <f>TEXT(Table2[[#This Row],[Enrollment_date]],"Mmm")</f>
        <v>Apr</v>
      </c>
      <c r="L375" s="4" t="str">
        <f>TEXT(Table2[[#This Row],[Enrollment_date]],"Ddd")</f>
        <v>Sat</v>
      </c>
      <c r="M375" s="4" t="s">
        <v>34</v>
      </c>
      <c r="N375" t="s">
        <v>36</v>
      </c>
      <c r="O375" t="s">
        <v>38</v>
      </c>
      <c r="P375" s="8">
        <v>4</v>
      </c>
      <c r="Q375" s="6">
        <v>0.72916666666666663</v>
      </c>
      <c r="R375" s="6">
        <v>67.5</v>
      </c>
      <c r="S375" s="6" t="str">
        <f>IF(Table2[[#This Row],[Avg_score]]&gt;=79,"Distinction",IF(Table2[[#This Row],[Avg_score]]&gt;=60,"Pass","Fail"))</f>
        <v>Pass</v>
      </c>
      <c r="T375" t="s">
        <v>39</v>
      </c>
      <c r="U375">
        <f>IF(Table2[[#This Row],[Completed]]="Yes",1,0)</f>
        <v>1</v>
      </c>
      <c r="V375" t="s">
        <v>39</v>
      </c>
      <c r="W375" t="s">
        <v>40</v>
      </c>
      <c r="X375" s="4">
        <v>45838</v>
      </c>
    </row>
    <row r="376" spans="1:24" x14ac:dyDescent="0.3">
      <c r="A376">
        <v>375</v>
      </c>
      <c r="B376" s="8">
        <v>125</v>
      </c>
      <c r="C376">
        <v>3</v>
      </c>
      <c r="D376" t="s">
        <v>19</v>
      </c>
      <c r="E376" t="s">
        <v>22</v>
      </c>
      <c r="F376">
        <v>27</v>
      </c>
      <c r="G376" t="str">
        <f>IF(Table2[[#This Row],[Age]]&gt;=30,"Experienced",IF(Table2[[#This Row],[Age]]&gt;=25,"Mid Level", "Entry Level"))</f>
        <v>Mid Level</v>
      </c>
      <c r="H376" t="s">
        <v>26</v>
      </c>
      <c r="I376" t="s">
        <v>44</v>
      </c>
      <c r="J376" s="4">
        <v>45759</v>
      </c>
      <c r="K376" s="4" t="str">
        <f>TEXT(Table2[[#This Row],[Enrollment_date]],"Mmm")</f>
        <v>Apr</v>
      </c>
      <c r="L376" s="4" t="str">
        <f>TEXT(Table2[[#This Row],[Enrollment_date]],"Ddd")</f>
        <v>Sat</v>
      </c>
      <c r="M376" s="4" t="s">
        <v>34</v>
      </c>
      <c r="N376" t="s">
        <v>37</v>
      </c>
      <c r="O376" t="s">
        <v>38</v>
      </c>
      <c r="P376" s="8">
        <v>4</v>
      </c>
      <c r="Q376" s="6">
        <v>0.8125</v>
      </c>
      <c r="R376" s="6">
        <v>62</v>
      </c>
      <c r="S376" s="6" t="str">
        <f>IF(Table2[[#This Row],[Avg_score]]&gt;=79,"Distinction",IF(Table2[[#This Row],[Avg_score]]&gt;=60,"Pass","Fail"))</f>
        <v>Pass</v>
      </c>
      <c r="T376" t="s">
        <v>39</v>
      </c>
      <c r="U376">
        <f>IF(Table2[[#This Row],[Completed]]="Yes",1,0)</f>
        <v>1</v>
      </c>
      <c r="V376" t="s">
        <v>39</v>
      </c>
      <c r="W376" t="s">
        <v>40</v>
      </c>
      <c r="X376" s="4">
        <v>45838</v>
      </c>
    </row>
    <row r="377" spans="1:24" x14ac:dyDescent="0.3">
      <c r="A377">
        <v>376</v>
      </c>
      <c r="B377" s="8">
        <v>126</v>
      </c>
      <c r="C377">
        <v>1</v>
      </c>
      <c r="D377" t="s">
        <v>21</v>
      </c>
      <c r="E377" t="s">
        <v>22</v>
      </c>
      <c r="F377">
        <v>20</v>
      </c>
      <c r="G377" t="str">
        <f>IF(Table2[[#This Row],[Age]]&gt;=30,"Experienced",IF(Table2[[#This Row],[Age]]&gt;=25,"Mid Level", "Entry Level"))</f>
        <v>Entry Level</v>
      </c>
      <c r="H377" t="s">
        <v>26</v>
      </c>
      <c r="I377" t="s">
        <v>32</v>
      </c>
      <c r="J377" s="4">
        <v>45684</v>
      </c>
      <c r="K377" s="4" t="str">
        <f>TEXT(Table2[[#This Row],[Enrollment_date]],"Mmm")</f>
        <v>Jan</v>
      </c>
      <c r="L377" s="4" t="str">
        <f>TEXT(Table2[[#This Row],[Enrollment_date]],"Ddd")</f>
        <v>Mon</v>
      </c>
      <c r="M377" s="4" t="s">
        <v>34</v>
      </c>
      <c r="N377" t="s">
        <v>35</v>
      </c>
      <c r="O377" t="s">
        <v>38</v>
      </c>
      <c r="P377" s="8">
        <v>4</v>
      </c>
      <c r="Q377" s="6">
        <v>0.72916666666666663</v>
      </c>
      <c r="R377" s="6">
        <v>85.5</v>
      </c>
      <c r="S377" s="6" t="str">
        <f>IF(Table2[[#This Row],[Avg_score]]&gt;=79,"Distinction",IF(Table2[[#This Row],[Avg_score]]&gt;=60,"Pass","Fail"))</f>
        <v>Distinction</v>
      </c>
      <c r="T377" t="s">
        <v>39</v>
      </c>
      <c r="U377">
        <f>IF(Table2[[#This Row],[Completed]]="Yes",1,0)</f>
        <v>1</v>
      </c>
      <c r="V377" t="s">
        <v>39</v>
      </c>
      <c r="W377" t="s">
        <v>39</v>
      </c>
      <c r="X377" s="4">
        <v>45838</v>
      </c>
    </row>
    <row r="378" spans="1:24" x14ac:dyDescent="0.3">
      <c r="A378">
        <v>377</v>
      </c>
      <c r="B378" s="8">
        <v>126</v>
      </c>
      <c r="C378">
        <v>2</v>
      </c>
      <c r="D378" t="s">
        <v>21</v>
      </c>
      <c r="E378" t="s">
        <v>22</v>
      </c>
      <c r="F378">
        <v>20</v>
      </c>
      <c r="G378" t="str">
        <f>IF(Table2[[#This Row],[Age]]&gt;=30,"Experienced",IF(Table2[[#This Row],[Age]]&gt;=25,"Mid Level", "Entry Level"))</f>
        <v>Entry Level</v>
      </c>
      <c r="H378" t="s">
        <v>26</v>
      </c>
      <c r="I378" t="s">
        <v>32</v>
      </c>
      <c r="J378" s="4">
        <v>45684</v>
      </c>
      <c r="K378" s="4" t="str">
        <f>TEXT(Table2[[#This Row],[Enrollment_date]],"Mmm")</f>
        <v>Jan</v>
      </c>
      <c r="L378" s="4" t="str">
        <f>TEXT(Table2[[#This Row],[Enrollment_date]],"Ddd")</f>
        <v>Mon</v>
      </c>
      <c r="M378" s="4" t="s">
        <v>34</v>
      </c>
      <c r="N378" t="s">
        <v>36</v>
      </c>
      <c r="O378" t="s">
        <v>38</v>
      </c>
      <c r="P378" s="8">
        <v>4</v>
      </c>
      <c r="Q378" s="6">
        <v>0.85416666666666663</v>
      </c>
      <c r="R378" s="6">
        <v>60</v>
      </c>
      <c r="S378" s="6" t="str">
        <f>IF(Table2[[#This Row],[Avg_score]]&gt;=79,"Distinction",IF(Table2[[#This Row],[Avg_score]]&gt;=60,"Pass","Fail"))</f>
        <v>Pass</v>
      </c>
      <c r="T378" t="s">
        <v>39</v>
      </c>
      <c r="U378">
        <f>IF(Table2[[#This Row],[Completed]]="Yes",1,0)</f>
        <v>1</v>
      </c>
      <c r="V378" t="s">
        <v>39</v>
      </c>
      <c r="W378" t="s">
        <v>39</v>
      </c>
      <c r="X378" s="4">
        <v>45838</v>
      </c>
    </row>
    <row r="379" spans="1:24" x14ac:dyDescent="0.3">
      <c r="A379">
        <v>378</v>
      </c>
      <c r="B379" s="8">
        <v>126</v>
      </c>
      <c r="C379">
        <v>3</v>
      </c>
      <c r="D379" t="s">
        <v>19</v>
      </c>
      <c r="E379" t="s">
        <v>22</v>
      </c>
      <c r="F379">
        <v>20</v>
      </c>
      <c r="G379" t="str">
        <f>IF(Table2[[#This Row],[Age]]&gt;=30,"Experienced",IF(Table2[[#This Row],[Age]]&gt;=25,"Mid Level", "Entry Level"))</f>
        <v>Entry Level</v>
      </c>
      <c r="H379" t="s">
        <v>26</v>
      </c>
      <c r="I379" t="s">
        <v>32</v>
      </c>
      <c r="J379" s="4">
        <v>45684</v>
      </c>
      <c r="K379" s="4" t="str">
        <f>TEXT(Table2[[#This Row],[Enrollment_date]],"Mmm")</f>
        <v>Jan</v>
      </c>
      <c r="L379" s="4" t="str">
        <f>TEXT(Table2[[#This Row],[Enrollment_date]],"Ddd")</f>
        <v>Mon</v>
      </c>
      <c r="M379" s="4" t="s">
        <v>34</v>
      </c>
      <c r="N379" t="s">
        <v>37</v>
      </c>
      <c r="O379" t="s">
        <v>38</v>
      </c>
      <c r="P379" s="8">
        <v>4</v>
      </c>
      <c r="Q379" s="6">
        <v>0.77083333333333337</v>
      </c>
      <c r="R379" s="6">
        <v>60.5</v>
      </c>
      <c r="S379" s="6" t="str">
        <f>IF(Table2[[#This Row],[Avg_score]]&gt;=79,"Distinction",IF(Table2[[#This Row],[Avg_score]]&gt;=60,"Pass","Fail"))</f>
        <v>Pass</v>
      </c>
      <c r="T379" t="s">
        <v>39</v>
      </c>
      <c r="U379">
        <f>IF(Table2[[#This Row],[Completed]]="Yes",1,0)</f>
        <v>1</v>
      </c>
      <c r="V379" t="s">
        <v>39</v>
      </c>
      <c r="W379" t="s">
        <v>39</v>
      </c>
      <c r="X379" s="4">
        <v>45838</v>
      </c>
    </row>
    <row r="380" spans="1:24" x14ac:dyDescent="0.3">
      <c r="A380">
        <v>379</v>
      </c>
      <c r="B380" s="8">
        <v>127</v>
      </c>
      <c r="C380">
        <v>1</v>
      </c>
      <c r="D380" t="s">
        <v>19</v>
      </c>
      <c r="E380" t="s">
        <v>23</v>
      </c>
      <c r="F380">
        <v>21</v>
      </c>
      <c r="G380" t="str">
        <f>IF(Table2[[#This Row],[Age]]&gt;=30,"Experienced",IF(Table2[[#This Row],[Age]]&gt;=25,"Mid Level", "Entry Level"))</f>
        <v>Entry Level</v>
      </c>
      <c r="H380" t="s">
        <v>26</v>
      </c>
      <c r="I380" t="s">
        <v>68</v>
      </c>
      <c r="J380" s="4">
        <v>45746</v>
      </c>
      <c r="K380" s="4" t="str">
        <f>TEXT(Table2[[#This Row],[Enrollment_date]],"Mmm")</f>
        <v>Mar</v>
      </c>
      <c r="L380" s="4" t="str">
        <f>TEXT(Table2[[#This Row],[Enrollment_date]],"Ddd")</f>
        <v>Sun</v>
      </c>
      <c r="M380" s="4" t="s">
        <v>34</v>
      </c>
      <c r="N380" t="s">
        <v>35</v>
      </c>
      <c r="O380" t="s">
        <v>38</v>
      </c>
      <c r="P380" s="8">
        <v>4</v>
      </c>
      <c r="Q380" s="6">
        <v>0.91666666666666663</v>
      </c>
      <c r="R380" s="6">
        <v>60</v>
      </c>
      <c r="S380" s="6" t="str">
        <f>IF(Table2[[#This Row],[Avg_score]]&gt;=79,"Distinction",IF(Table2[[#This Row],[Avg_score]]&gt;=60,"Pass","Fail"))</f>
        <v>Pass</v>
      </c>
      <c r="T380" t="s">
        <v>40</v>
      </c>
      <c r="U380">
        <f>IF(Table2[[#This Row],[Completed]]="Yes",1,0)</f>
        <v>0</v>
      </c>
      <c r="V380" t="s">
        <v>40</v>
      </c>
      <c r="W380" t="s">
        <v>40</v>
      </c>
      <c r="X380" s="4">
        <v>45838</v>
      </c>
    </row>
    <row r="381" spans="1:24" x14ac:dyDescent="0.3">
      <c r="A381">
        <v>380</v>
      </c>
      <c r="B381" s="8">
        <v>127</v>
      </c>
      <c r="C381">
        <v>2</v>
      </c>
      <c r="D381" t="s">
        <v>19</v>
      </c>
      <c r="E381" t="s">
        <v>23</v>
      </c>
      <c r="F381">
        <v>21</v>
      </c>
      <c r="G381" t="str">
        <f>IF(Table2[[#This Row],[Age]]&gt;=30,"Experienced",IF(Table2[[#This Row],[Age]]&gt;=25,"Mid Level", "Entry Level"))</f>
        <v>Entry Level</v>
      </c>
      <c r="H381" t="s">
        <v>26</v>
      </c>
      <c r="I381" t="s">
        <v>68</v>
      </c>
      <c r="J381" s="4">
        <v>45746</v>
      </c>
      <c r="K381" s="4" t="str">
        <f>TEXT(Table2[[#This Row],[Enrollment_date]],"Mmm")</f>
        <v>Mar</v>
      </c>
      <c r="L381" s="4" t="str">
        <f>TEXT(Table2[[#This Row],[Enrollment_date]],"Ddd")</f>
        <v>Sun</v>
      </c>
      <c r="M381" s="4" t="s">
        <v>34</v>
      </c>
      <c r="N381" t="s">
        <v>36</v>
      </c>
      <c r="O381" t="s">
        <v>38</v>
      </c>
      <c r="P381" s="8">
        <v>4</v>
      </c>
      <c r="Q381" s="6">
        <v>0.83333333333333337</v>
      </c>
      <c r="R381" s="6">
        <v>93</v>
      </c>
      <c r="S381" s="6" t="str">
        <f>IF(Table2[[#This Row],[Avg_score]]&gt;=79,"Distinction",IF(Table2[[#This Row],[Avg_score]]&gt;=60,"Pass","Fail"))</f>
        <v>Distinction</v>
      </c>
      <c r="T381" t="s">
        <v>40</v>
      </c>
      <c r="U381">
        <f>IF(Table2[[#This Row],[Completed]]="Yes",1,0)</f>
        <v>0</v>
      </c>
      <c r="V381" t="s">
        <v>40</v>
      </c>
      <c r="W381" t="s">
        <v>40</v>
      </c>
      <c r="X381" s="4">
        <v>45838</v>
      </c>
    </row>
    <row r="382" spans="1:24" x14ac:dyDescent="0.3">
      <c r="A382">
        <v>381</v>
      </c>
      <c r="B382" s="8">
        <v>127</v>
      </c>
      <c r="C382">
        <v>3</v>
      </c>
      <c r="D382" t="s">
        <v>19</v>
      </c>
      <c r="E382" t="s">
        <v>23</v>
      </c>
      <c r="F382">
        <v>21</v>
      </c>
      <c r="G382" t="str">
        <f>IF(Table2[[#This Row],[Age]]&gt;=30,"Experienced",IF(Table2[[#This Row],[Age]]&gt;=25,"Mid Level", "Entry Level"))</f>
        <v>Entry Level</v>
      </c>
      <c r="H382" t="s">
        <v>26</v>
      </c>
      <c r="I382" t="s">
        <v>68</v>
      </c>
      <c r="J382" s="4">
        <v>45746</v>
      </c>
      <c r="K382" s="4" t="str">
        <f>TEXT(Table2[[#This Row],[Enrollment_date]],"Mmm")</f>
        <v>Mar</v>
      </c>
      <c r="L382" s="4" t="str">
        <f>TEXT(Table2[[#This Row],[Enrollment_date]],"Ddd")</f>
        <v>Sun</v>
      </c>
      <c r="M382" s="4" t="s">
        <v>34</v>
      </c>
      <c r="N382" t="s">
        <v>37</v>
      </c>
      <c r="O382" t="s">
        <v>38</v>
      </c>
      <c r="P382" s="8">
        <v>4</v>
      </c>
      <c r="Q382" s="6">
        <v>0.85416666666666663</v>
      </c>
      <c r="R382" s="6">
        <v>68</v>
      </c>
      <c r="S382" s="6" t="str">
        <f>IF(Table2[[#This Row],[Avg_score]]&gt;=79,"Distinction",IF(Table2[[#This Row],[Avg_score]]&gt;=60,"Pass","Fail"))</f>
        <v>Pass</v>
      </c>
      <c r="T382" t="s">
        <v>40</v>
      </c>
      <c r="U382">
        <f>IF(Table2[[#This Row],[Completed]]="Yes",1,0)</f>
        <v>0</v>
      </c>
      <c r="V382" t="s">
        <v>40</v>
      </c>
      <c r="W382" t="s">
        <v>40</v>
      </c>
      <c r="X382" s="4">
        <v>45838</v>
      </c>
    </row>
    <row r="383" spans="1:24" x14ac:dyDescent="0.3">
      <c r="A383">
        <v>382</v>
      </c>
      <c r="B383" s="8">
        <v>128</v>
      </c>
      <c r="C383">
        <v>1</v>
      </c>
      <c r="D383" t="s">
        <v>19</v>
      </c>
      <c r="E383" t="s">
        <v>23</v>
      </c>
      <c r="F383">
        <v>29</v>
      </c>
      <c r="G383" t="str">
        <f>IF(Table2[[#This Row],[Age]]&gt;=30,"Experienced",IF(Table2[[#This Row],[Age]]&gt;=25,"Mid Level", "Entry Level"))</f>
        <v>Mid Level</v>
      </c>
      <c r="H383" t="s">
        <v>25</v>
      </c>
      <c r="I383" t="s">
        <v>30</v>
      </c>
      <c r="J383" s="4">
        <v>45661</v>
      </c>
      <c r="K383" s="4" t="str">
        <f>TEXT(Table2[[#This Row],[Enrollment_date]],"Mmm")</f>
        <v>Jan</v>
      </c>
      <c r="L383" s="4" t="str">
        <f>TEXT(Table2[[#This Row],[Enrollment_date]],"Ddd")</f>
        <v>Sat</v>
      </c>
      <c r="M383" s="4" t="s">
        <v>34</v>
      </c>
      <c r="N383" t="s">
        <v>35</v>
      </c>
      <c r="O383" t="s">
        <v>38</v>
      </c>
      <c r="P383" s="8">
        <v>4</v>
      </c>
      <c r="Q383" s="6">
        <v>0.89583333333333337</v>
      </c>
      <c r="R383" s="6">
        <v>58</v>
      </c>
      <c r="S383" s="6" t="str">
        <f>IF(Table2[[#This Row],[Avg_score]]&gt;=79,"Distinction",IF(Table2[[#This Row],[Avg_score]]&gt;=60,"Pass","Fail"))</f>
        <v>Fail</v>
      </c>
      <c r="T383" t="s">
        <v>40</v>
      </c>
      <c r="U383">
        <f>IF(Table2[[#This Row],[Completed]]="Yes",1,0)</f>
        <v>0</v>
      </c>
      <c r="V383" t="s">
        <v>40</v>
      </c>
      <c r="W383" t="s">
        <v>40</v>
      </c>
      <c r="X383" s="4">
        <v>45838</v>
      </c>
    </row>
    <row r="384" spans="1:24" x14ac:dyDescent="0.3">
      <c r="A384">
        <v>383</v>
      </c>
      <c r="B384" s="8">
        <v>128</v>
      </c>
      <c r="C384">
        <v>2</v>
      </c>
      <c r="D384" t="s">
        <v>19</v>
      </c>
      <c r="E384" t="s">
        <v>23</v>
      </c>
      <c r="F384">
        <v>29</v>
      </c>
      <c r="G384" t="str">
        <f>IF(Table2[[#This Row],[Age]]&gt;=30,"Experienced",IF(Table2[[#This Row],[Age]]&gt;=25,"Mid Level", "Entry Level"))</f>
        <v>Mid Level</v>
      </c>
      <c r="H384" t="s">
        <v>25</v>
      </c>
      <c r="I384" t="s">
        <v>30</v>
      </c>
      <c r="J384" s="4">
        <v>45661</v>
      </c>
      <c r="K384" s="4" t="str">
        <f>TEXT(Table2[[#This Row],[Enrollment_date]],"Mmm")</f>
        <v>Jan</v>
      </c>
      <c r="L384" s="4" t="str">
        <f>TEXT(Table2[[#This Row],[Enrollment_date]],"Ddd")</f>
        <v>Sat</v>
      </c>
      <c r="M384" s="4" t="s">
        <v>34</v>
      </c>
      <c r="N384" t="s">
        <v>36</v>
      </c>
      <c r="O384" t="s">
        <v>38</v>
      </c>
      <c r="P384" s="8">
        <v>4</v>
      </c>
      <c r="Q384" s="6">
        <v>0.83333333333333337</v>
      </c>
      <c r="R384" s="6">
        <v>75</v>
      </c>
      <c r="S384" s="6" t="str">
        <f>IF(Table2[[#This Row],[Avg_score]]&gt;=79,"Distinction",IF(Table2[[#This Row],[Avg_score]]&gt;=60,"Pass","Fail"))</f>
        <v>Pass</v>
      </c>
      <c r="T384" t="s">
        <v>40</v>
      </c>
      <c r="U384">
        <f>IF(Table2[[#This Row],[Completed]]="Yes",1,0)</f>
        <v>0</v>
      </c>
      <c r="V384" t="s">
        <v>40</v>
      </c>
      <c r="W384" t="s">
        <v>40</v>
      </c>
      <c r="X384" s="4">
        <v>45838</v>
      </c>
    </row>
    <row r="385" spans="1:24" x14ac:dyDescent="0.3">
      <c r="A385">
        <v>384</v>
      </c>
      <c r="B385" s="8">
        <v>128</v>
      </c>
      <c r="C385">
        <v>3</v>
      </c>
      <c r="D385" t="s">
        <v>19</v>
      </c>
      <c r="E385" t="s">
        <v>23</v>
      </c>
      <c r="F385">
        <v>29</v>
      </c>
      <c r="G385" t="str">
        <f>IF(Table2[[#This Row],[Age]]&gt;=30,"Experienced",IF(Table2[[#This Row],[Age]]&gt;=25,"Mid Level", "Entry Level"))</f>
        <v>Mid Level</v>
      </c>
      <c r="H385" t="s">
        <v>25</v>
      </c>
      <c r="I385" t="s">
        <v>30</v>
      </c>
      <c r="J385" s="4">
        <v>45661</v>
      </c>
      <c r="K385" s="4" t="str">
        <f>TEXT(Table2[[#This Row],[Enrollment_date]],"Mmm")</f>
        <v>Jan</v>
      </c>
      <c r="L385" s="4" t="str">
        <f>TEXT(Table2[[#This Row],[Enrollment_date]],"Ddd")</f>
        <v>Sat</v>
      </c>
      <c r="M385" s="4" t="s">
        <v>34</v>
      </c>
      <c r="N385" t="s">
        <v>37</v>
      </c>
      <c r="O385" t="s">
        <v>38</v>
      </c>
      <c r="P385" s="8">
        <v>4</v>
      </c>
      <c r="Q385" s="6">
        <v>0.85416666666666663</v>
      </c>
      <c r="R385" s="6">
        <v>54.5</v>
      </c>
      <c r="S385" s="6" t="str">
        <f>IF(Table2[[#This Row],[Avg_score]]&gt;=79,"Distinction",IF(Table2[[#This Row],[Avg_score]]&gt;=60,"Pass","Fail"))</f>
        <v>Fail</v>
      </c>
      <c r="T385" t="s">
        <v>40</v>
      </c>
      <c r="U385">
        <f>IF(Table2[[#This Row],[Completed]]="Yes",1,0)</f>
        <v>0</v>
      </c>
      <c r="V385" t="s">
        <v>40</v>
      </c>
      <c r="W385" t="s">
        <v>40</v>
      </c>
      <c r="X385" s="4">
        <v>45838</v>
      </c>
    </row>
    <row r="386" spans="1:24" x14ac:dyDescent="0.3">
      <c r="A386">
        <v>385</v>
      </c>
      <c r="B386" s="8">
        <v>129</v>
      </c>
      <c r="C386">
        <v>1</v>
      </c>
      <c r="D386" t="s">
        <v>19</v>
      </c>
      <c r="E386" t="s">
        <v>23</v>
      </c>
      <c r="F386">
        <v>33</v>
      </c>
      <c r="G386" t="str">
        <f>IF(Table2[[#This Row],[Age]]&gt;=30,"Experienced",IF(Table2[[#This Row],[Age]]&gt;=25,"Mid Level", "Entry Level"))</f>
        <v>Experienced</v>
      </c>
      <c r="H386" t="s">
        <v>25</v>
      </c>
      <c r="I386" t="s">
        <v>44</v>
      </c>
      <c r="J386" s="4">
        <v>45750</v>
      </c>
      <c r="K386" s="4" t="str">
        <f>TEXT(Table2[[#This Row],[Enrollment_date]],"Mmm")</f>
        <v>Apr</v>
      </c>
      <c r="L386" s="4" t="str">
        <f>TEXT(Table2[[#This Row],[Enrollment_date]],"Ddd")</f>
        <v>Thu</v>
      </c>
      <c r="M386" s="4" t="s">
        <v>34</v>
      </c>
      <c r="N386" t="s">
        <v>35</v>
      </c>
      <c r="O386" t="s">
        <v>38</v>
      </c>
      <c r="P386" s="8">
        <v>4</v>
      </c>
      <c r="Q386" s="6">
        <v>0.89583333333333337</v>
      </c>
      <c r="R386" s="6">
        <v>87</v>
      </c>
      <c r="S386" s="6" t="str">
        <f>IF(Table2[[#This Row],[Avg_score]]&gt;=79,"Distinction",IF(Table2[[#This Row],[Avg_score]]&gt;=60,"Pass","Fail"))</f>
        <v>Distinction</v>
      </c>
      <c r="T386" t="s">
        <v>39</v>
      </c>
      <c r="U386">
        <f>IF(Table2[[#This Row],[Completed]]="Yes",1,0)</f>
        <v>1</v>
      </c>
      <c r="V386" t="s">
        <v>40</v>
      </c>
      <c r="W386" t="s">
        <v>39</v>
      </c>
      <c r="X386" s="4">
        <v>45838</v>
      </c>
    </row>
    <row r="387" spans="1:24" x14ac:dyDescent="0.3">
      <c r="A387">
        <v>386</v>
      </c>
      <c r="B387" s="8">
        <v>129</v>
      </c>
      <c r="C387">
        <v>2</v>
      </c>
      <c r="D387" t="s">
        <v>21</v>
      </c>
      <c r="E387" t="s">
        <v>23</v>
      </c>
      <c r="F387">
        <v>33</v>
      </c>
      <c r="G387" t="str">
        <f>IF(Table2[[#This Row],[Age]]&gt;=30,"Experienced",IF(Table2[[#This Row],[Age]]&gt;=25,"Mid Level", "Entry Level"))</f>
        <v>Experienced</v>
      </c>
      <c r="H387" t="s">
        <v>25</v>
      </c>
      <c r="I387" t="s">
        <v>44</v>
      </c>
      <c r="J387" s="4">
        <v>45750</v>
      </c>
      <c r="K387" s="4" t="str">
        <f>TEXT(Table2[[#This Row],[Enrollment_date]],"Mmm")</f>
        <v>Apr</v>
      </c>
      <c r="L387" s="4" t="str">
        <f>TEXT(Table2[[#This Row],[Enrollment_date]],"Ddd")</f>
        <v>Thu</v>
      </c>
      <c r="M387" s="4" t="s">
        <v>34</v>
      </c>
      <c r="N387" t="s">
        <v>36</v>
      </c>
      <c r="O387" t="s">
        <v>38</v>
      </c>
      <c r="P387" s="8">
        <v>4</v>
      </c>
      <c r="Q387" s="6">
        <v>0.8125</v>
      </c>
      <c r="R387" s="6">
        <v>55</v>
      </c>
      <c r="S387" s="6" t="str">
        <f>IF(Table2[[#This Row],[Avg_score]]&gt;=79,"Distinction",IF(Table2[[#This Row],[Avg_score]]&gt;=60,"Pass","Fail"))</f>
        <v>Fail</v>
      </c>
      <c r="T387" t="s">
        <v>39</v>
      </c>
      <c r="U387">
        <f>IF(Table2[[#This Row],[Completed]]="Yes",1,0)</f>
        <v>1</v>
      </c>
      <c r="V387" t="s">
        <v>40</v>
      </c>
      <c r="W387" t="s">
        <v>39</v>
      </c>
      <c r="X387" s="4">
        <v>45838</v>
      </c>
    </row>
    <row r="388" spans="1:24" x14ac:dyDescent="0.3">
      <c r="A388">
        <v>387</v>
      </c>
      <c r="B388" s="8">
        <v>129</v>
      </c>
      <c r="C388">
        <v>3</v>
      </c>
      <c r="D388" t="s">
        <v>19</v>
      </c>
      <c r="E388" t="s">
        <v>23</v>
      </c>
      <c r="F388">
        <v>33</v>
      </c>
      <c r="G388" t="str">
        <f>IF(Table2[[#This Row],[Age]]&gt;=30,"Experienced",IF(Table2[[#This Row],[Age]]&gt;=25,"Mid Level", "Entry Level"))</f>
        <v>Experienced</v>
      </c>
      <c r="H388" t="s">
        <v>25</v>
      </c>
      <c r="I388" t="s">
        <v>44</v>
      </c>
      <c r="J388" s="4">
        <v>45750</v>
      </c>
      <c r="K388" s="4" t="str">
        <f>TEXT(Table2[[#This Row],[Enrollment_date]],"Mmm")</f>
        <v>Apr</v>
      </c>
      <c r="L388" s="4" t="str">
        <f>TEXT(Table2[[#This Row],[Enrollment_date]],"Ddd")</f>
        <v>Thu</v>
      </c>
      <c r="M388" s="4" t="s">
        <v>34</v>
      </c>
      <c r="N388" t="s">
        <v>37</v>
      </c>
      <c r="O388" t="s">
        <v>38</v>
      </c>
      <c r="P388" s="8">
        <v>4</v>
      </c>
      <c r="Q388" s="6">
        <v>0.83333333333333337</v>
      </c>
      <c r="R388" s="6">
        <v>81.5</v>
      </c>
      <c r="S388" s="6" t="str">
        <f>IF(Table2[[#This Row],[Avg_score]]&gt;=79,"Distinction",IF(Table2[[#This Row],[Avg_score]]&gt;=60,"Pass","Fail"))</f>
        <v>Distinction</v>
      </c>
      <c r="T388" t="s">
        <v>39</v>
      </c>
      <c r="U388">
        <f>IF(Table2[[#This Row],[Completed]]="Yes",1,0)</f>
        <v>1</v>
      </c>
      <c r="V388" t="s">
        <v>40</v>
      </c>
      <c r="W388" t="s">
        <v>39</v>
      </c>
      <c r="X388" s="4">
        <v>45838</v>
      </c>
    </row>
    <row r="389" spans="1:24" x14ac:dyDescent="0.3">
      <c r="A389">
        <v>388</v>
      </c>
      <c r="B389" s="8">
        <v>130</v>
      </c>
      <c r="C389">
        <v>1</v>
      </c>
      <c r="D389" t="s">
        <v>21</v>
      </c>
      <c r="E389" t="s">
        <v>23</v>
      </c>
      <c r="F389">
        <v>22</v>
      </c>
      <c r="G389" t="str">
        <f>IF(Table2[[#This Row],[Age]]&gt;=30,"Experienced",IF(Table2[[#This Row],[Age]]&gt;=25,"Mid Level", "Entry Level"))</f>
        <v>Entry Level</v>
      </c>
      <c r="H389" t="s">
        <v>27</v>
      </c>
      <c r="I389" t="s">
        <v>32</v>
      </c>
      <c r="J389" s="4">
        <v>45791</v>
      </c>
      <c r="K389" s="4" t="str">
        <f>TEXT(Table2[[#This Row],[Enrollment_date]],"Mmm")</f>
        <v>May</v>
      </c>
      <c r="L389" s="4" t="str">
        <f>TEXT(Table2[[#This Row],[Enrollment_date]],"Ddd")</f>
        <v>Wed</v>
      </c>
      <c r="M389" s="4" t="s">
        <v>34</v>
      </c>
      <c r="N389" t="s">
        <v>35</v>
      </c>
      <c r="O389" t="s">
        <v>38</v>
      </c>
      <c r="P389" s="8">
        <v>4</v>
      </c>
      <c r="Q389" s="6">
        <v>0.875</v>
      </c>
      <c r="R389" s="6">
        <v>66</v>
      </c>
      <c r="S389" s="6" t="str">
        <f>IF(Table2[[#This Row],[Avg_score]]&gt;=79,"Distinction",IF(Table2[[#This Row],[Avg_score]]&gt;=60,"Pass","Fail"))</f>
        <v>Pass</v>
      </c>
      <c r="T389" t="s">
        <v>40</v>
      </c>
      <c r="U389">
        <f>IF(Table2[[#This Row],[Completed]]="Yes",1,0)</f>
        <v>0</v>
      </c>
      <c r="V389" t="s">
        <v>40</v>
      </c>
      <c r="W389" t="s">
        <v>40</v>
      </c>
      <c r="X389" s="4">
        <v>45838</v>
      </c>
    </row>
    <row r="390" spans="1:24" x14ac:dyDescent="0.3">
      <c r="A390">
        <v>389</v>
      </c>
      <c r="B390" s="8">
        <v>130</v>
      </c>
      <c r="C390">
        <v>2</v>
      </c>
      <c r="D390" t="s">
        <v>19</v>
      </c>
      <c r="E390" t="s">
        <v>23</v>
      </c>
      <c r="F390">
        <v>22</v>
      </c>
      <c r="G390" t="str">
        <f>IF(Table2[[#This Row],[Age]]&gt;=30,"Experienced",IF(Table2[[#This Row],[Age]]&gt;=25,"Mid Level", "Entry Level"))</f>
        <v>Entry Level</v>
      </c>
      <c r="H390" t="s">
        <v>27</v>
      </c>
      <c r="I390" t="s">
        <v>32</v>
      </c>
      <c r="J390" s="4">
        <v>45791</v>
      </c>
      <c r="K390" s="4" t="str">
        <f>TEXT(Table2[[#This Row],[Enrollment_date]],"Mmm")</f>
        <v>May</v>
      </c>
      <c r="L390" s="4" t="str">
        <f>TEXT(Table2[[#This Row],[Enrollment_date]],"Ddd")</f>
        <v>Wed</v>
      </c>
      <c r="M390" s="4" t="s">
        <v>34</v>
      </c>
      <c r="N390" t="s">
        <v>36</v>
      </c>
      <c r="O390" t="s">
        <v>38</v>
      </c>
      <c r="P390" s="8">
        <v>4</v>
      </c>
      <c r="Q390" s="6">
        <v>0.77083333333333337</v>
      </c>
      <c r="R390" s="6">
        <v>76</v>
      </c>
      <c r="S390" s="6" t="str">
        <f>IF(Table2[[#This Row],[Avg_score]]&gt;=79,"Distinction",IF(Table2[[#This Row],[Avg_score]]&gt;=60,"Pass","Fail"))</f>
        <v>Pass</v>
      </c>
      <c r="T390" t="s">
        <v>40</v>
      </c>
      <c r="U390">
        <f>IF(Table2[[#This Row],[Completed]]="Yes",1,0)</f>
        <v>0</v>
      </c>
      <c r="V390" t="s">
        <v>40</v>
      </c>
      <c r="W390" t="s">
        <v>40</v>
      </c>
      <c r="X390" s="4">
        <v>45838</v>
      </c>
    </row>
    <row r="391" spans="1:24" x14ac:dyDescent="0.3">
      <c r="A391">
        <v>390</v>
      </c>
      <c r="B391" s="8">
        <v>130</v>
      </c>
      <c r="C391">
        <v>3</v>
      </c>
      <c r="D391" t="s">
        <v>19</v>
      </c>
      <c r="E391" t="s">
        <v>23</v>
      </c>
      <c r="F391">
        <v>22</v>
      </c>
      <c r="G391" t="str">
        <f>IF(Table2[[#This Row],[Age]]&gt;=30,"Experienced",IF(Table2[[#This Row],[Age]]&gt;=25,"Mid Level", "Entry Level"))</f>
        <v>Entry Level</v>
      </c>
      <c r="H391" t="s">
        <v>27</v>
      </c>
      <c r="I391" t="s">
        <v>32</v>
      </c>
      <c r="J391" s="4">
        <v>45791</v>
      </c>
      <c r="K391" s="4" t="str">
        <f>TEXT(Table2[[#This Row],[Enrollment_date]],"Mmm")</f>
        <v>May</v>
      </c>
      <c r="L391" s="4" t="str">
        <f>TEXT(Table2[[#This Row],[Enrollment_date]],"Ddd")</f>
        <v>Wed</v>
      </c>
      <c r="M391" s="4" t="s">
        <v>34</v>
      </c>
      <c r="N391" t="s">
        <v>37</v>
      </c>
      <c r="O391" t="s">
        <v>38</v>
      </c>
      <c r="P391" s="8">
        <v>4</v>
      </c>
      <c r="Q391" s="6">
        <v>0.83333333333333337</v>
      </c>
      <c r="R391" s="6">
        <v>51.5</v>
      </c>
      <c r="S391" s="6" t="str">
        <f>IF(Table2[[#This Row],[Avg_score]]&gt;=79,"Distinction",IF(Table2[[#This Row],[Avg_score]]&gt;=60,"Pass","Fail"))</f>
        <v>Fail</v>
      </c>
      <c r="T391" t="s">
        <v>40</v>
      </c>
      <c r="U391">
        <f>IF(Table2[[#This Row],[Completed]]="Yes",1,0)</f>
        <v>0</v>
      </c>
      <c r="V391" t="s">
        <v>40</v>
      </c>
      <c r="W391" t="s">
        <v>40</v>
      </c>
      <c r="X391" s="4">
        <v>45838</v>
      </c>
    </row>
    <row r="392" spans="1:24" x14ac:dyDescent="0.3">
      <c r="A392">
        <v>391</v>
      </c>
      <c r="B392" s="8">
        <v>131</v>
      </c>
      <c r="C392">
        <v>1</v>
      </c>
      <c r="D392" t="s">
        <v>19</v>
      </c>
      <c r="E392" t="s">
        <v>23</v>
      </c>
      <c r="F392">
        <v>35</v>
      </c>
      <c r="G392" t="str">
        <f>IF(Table2[[#This Row],[Age]]&gt;=30,"Experienced",IF(Table2[[#This Row],[Age]]&gt;=25,"Mid Level", "Entry Level"))</f>
        <v>Experienced</v>
      </c>
      <c r="H392" t="s">
        <v>27</v>
      </c>
      <c r="I392" t="s">
        <v>44</v>
      </c>
      <c r="J392" s="4">
        <v>45769</v>
      </c>
      <c r="K392" s="4" t="str">
        <f>TEXT(Table2[[#This Row],[Enrollment_date]],"Mmm")</f>
        <v>Apr</v>
      </c>
      <c r="L392" s="4" t="str">
        <f>TEXT(Table2[[#This Row],[Enrollment_date]],"Ddd")</f>
        <v>Tue</v>
      </c>
      <c r="M392" s="4" t="s">
        <v>34</v>
      </c>
      <c r="N392" t="s">
        <v>35</v>
      </c>
      <c r="O392" t="s">
        <v>38</v>
      </c>
      <c r="P392" s="8">
        <v>4</v>
      </c>
      <c r="Q392" s="6">
        <v>0.79166666666666663</v>
      </c>
      <c r="R392" s="6">
        <v>82</v>
      </c>
      <c r="S392" s="6" t="str">
        <f>IF(Table2[[#This Row],[Avg_score]]&gt;=79,"Distinction",IF(Table2[[#This Row],[Avg_score]]&gt;=60,"Pass","Fail"))</f>
        <v>Distinction</v>
      </c>
      <c r="T392" t="s">
        <v>39</v>
      </c>
      <c r="U392">
        <f>IF(Table2[[#This Row],[Completed]]="Yes",1,0)</f>
        <v>1</v>
      </c>
      <c r="V392" t="s">
        <v>39</v>
      </c>
      <c r="W392" t="s">
        <v>40</v>
      </c>
      <c r="X392" s="4">
        <v>45838</v>
      </c>
    </row>
    <row r="393" spans="1:24" x14ac:dyDescent="0.3">
      <c r="A393">
        <v>392</v>
      </c>
      <c r="B393" s="8">
        <v>131</v>
      </c>
      <c r="C393">
        <v>2</v>
      </c>
      <c r="D393" t="s">
        <v>19</v>
      </c>
      <c r="E393" t="s">
        <v>23</v>
      </c>
      <c r="F393">
        <v>35</v>
      </c>
      <c r="G393" t="str">
        <f>IF(Table2[[#This Row],[Age]]&gt;=30,"Experienced",IF(Table2[[#This Row],[Age]]&gt;=25,"Mid Level", "Entry Level"))</f>
        <v>Experienced</v>
      </c>
      <c r="H393" t="s">
        <v>27</v>
      </c>
      <c r="I393" t="s">
        <v>44</v>
      </c>
      <c r="J393" s="4">
        <v>45769</v>
      </c>
      <c r="K393" s="4" t="str">
        <f>TEXT(Table2[[#This Row],[Enrollment_date]],"Mmm")</f>
        <v>Apr</v>
      </c>
      <c r="L393" s="4" t="str">
        <f>TEXT(Table2[[#This Row],[Enrollment_date]],"Ddd")</f>
        <v>Tue</v>
      </c>
      <c r="M393" s="4" t="s">
        <v>34</v>
      </c>
      <c r="N393" t="s">
        <v>36</v>
      </c>
      <c r="O393" t="s">
        <v>38</v>
      </c>
      <c r="P393" s="8">
        <v>4</v>
      </c>
      <c r="Q393" s="6">
        <v>0.91666666666666663</v>
      </c>
      <c r="R393" s="6">
        <v>90</v>
      </c>
      <c r="S393" s="6" t="str">
        <f>IF(Table2[[#This Row],[Avg_score]]&gt;=79,"Distinction",IF(Table2[[#This Row],[Avg_score]]&gt;=60,"Pass","Fail"))</f>
        <v>Distinction</v>
      </c>
      <c r="T393" t="s">
        <v>39</v>
      </c>
      <c r="U393">
        <f>IF(Table2[[#This Row],[Completed]]="Yes",1,0)</f>
        <v>1</v>
      </c>
      <c r="V393" t="s">
        <v>39</v>
      </c>
      <c r="W393" t="s">
        <v>40</v>
      </c>
      <c r="X393" s="4">
        <v>45838</v>
      </c>
    </row>
    <row r="394" spans="1:24" x14ac:dyDescent="0.3">
      <c r="A394">
        <v>393</v>
      </c>
      <c r="B394" s="8">
        <v>131</v>
      </c>
      <c r="C394">
        <v>3</v>
      </c>
      <c r="D394" t="s">
        <v>21</v>
      </c>
      <c r="E394" t="s">
        <v>23</v>
      </c>
      <c r="F394">
        <v>35</v>
      </c>
      <c r="G394" t="str">
        <f>IF(Table2[[#This Row],[Age]]&gt;=30,"Experienced",IF(Table2[[#This Row],[Age]]&gt;=25,"Mid Level", "Entry Level"))</f>
        <v>Experienced</v>
      </c>
      <c r="H394" t="s">
        <v>27</v>
      </c>
      <c r="I394" t="s">
        <v>44</v>
      </c>
      <c r="J394" s="4">
        <v>45769</v>
      </c>
      <c r="K394" s="4" t="str">
        <f>TEXT(Table2[[#This Row],[Enrollment_date]],"Mmm")</f>
        <v>Apr</v>
      </c>
      <c r="L394" s="4" t="str">
        <f>TEXT(Table2[[#This Row],[Enrollment_date]],"Ddd")</f>
        <v>Tue</v>
      </c>
      <c r="M394" s="4" t="s">
        <v>34</v>
      </c>
      <c r="N394" t="s">
        <v>37</v>
      </c>
      <c r="O394" t="s">
        <v>38</v>
      </c>
      <c r="P394" s="8">
        <v>4</v>
      </c>
      <c r="Q394" s="6">
        <v>0.875</v>
      </c>
      <c r="R394" s="6">
        <v>74</v>
      </c>
      <c r="S394" s="6" t="str">
        <f>IF(Table2[[#This Row],[Avg_score]]&gt;=79,"Distinction",IF(Table2[[#This Row],[Avg_score]]&gt;=60,"Pass","Fail"))</f>
        <v>Pass</v>
      </c>
      <c r="T394" t="s">
        <v>39</v>
      </c>
      <c r="U394">
        <f>IF(Table2[[#This Row],[Completed]]="Yes",1,0)</f>
        <v>1</v>
      </c>
      <c r="V394" t="s">
        <v>39</v>
      </c>
      <c r="W394" t="s">
        <v>40</v>
      </c>
      <c r="X394" s="4">
        <v>45838</v>
      </c>
    </row>
    <row r="395" spans="1:24" x14ac:dyDescent="0.3">
      <c r="A395">
        <v>394</v>
      </c>
      <c r="B395" s="8">
        <v>132</v>
      </c>
      <c r="C395">
        <v>1</v>
      </c>
      <c r="D395" t="s">
        <v>20</v>
      </c>
      <c r="E395" t="s">
        <v>23</v>
      </c>
      <c r="F395">
        <v>28</v>
      </c>
      <c r="G395" t="str">
        <f>IF(Table2[[#This Row],[Age]]&gt;=30,"Experienced",IF(Table2[[#This Row],[Age]]&gt;=25,"Mid Level", "Entry Level"))</f>
        <v>Mid Level</v>
      </c>
      <c r="H395" t="s">
        <v>28</v>
      </c>
      <c r="I395" t="s">
        <v>68</v>
      </c>
      <c r="J395" s="4">
        <v>45729</v>
      </c>
      <c r="K395" s="4" t="str">
        <f>TEXT(Table2[[#This Row],[Enrollment_date]],"Mmm")</f>
        <v>Mar</v>
      </c>
      <c r="L395" s="4" t="str">
        <f>TEXT(Table2[[#This Row],[Enrollment_date]],"Ddd")</f>
        <v>Thu</v>
      </c>
      <c r="M395" s="4" t="s">
        <v>34</v>
      </c>
      <c r="N395" t="s">
        <v>35</v>
      </c>
      <c r="O395" t="s">
        <v>38</v>
      </c>
      <c r="P395" s="8">
        <v>4</v>
      </c>
      <c r="Q395" s="6">
        <v>0.875</v>
      </c>
      <c r="R395" s="6">
        <v>69</v>
      </c>
      <c r="S395" s="6" t="str">
        <f>IF(Table2[[#This Row],[Avg_score]]&gt;=79,"Distinction",IF(Table2[[#This Row],[Avg_score]]&gt;=60,"Pass","Fail"))</f>
        <v>Pass</v>
      </c>
      <c r="T395" t="s">
        <v>39</v>
      </c>
      <c r="U395">
        <f>IF(Table2[[#This Row],[Completed]]="Yes",1,0)</f>
        <v>1</v>
      </c>
      <c r="V395" t="s">
        <v>39</v>
      </c>
      <c r="W395" t="s">
        <v>39</v>
      </c>
      <c r="X395" s="4">
        <v>45838</v>
      </c>
    </row>
    <row r="396" spans="1:24" x14ac:dyDescent="0.3">
      <c r="A396">
        <v>395</v>
      </c>
      <c r="B396" s="8">
        <v>132</v>
      </c>
      <c r="C396">
        <v>2</v>
      </c>
      <c r="D396" t="s">
        <v>19</v>
      </c>
      <c r="E396" t="s">
        <v>23</v>
      </c>
      <c r="F396">
        <v>28</v>
      </c>
      <c r="G396" t="str">
        <f>IF(Table2[[#This Row],[Age]]&gt;=30,"Experienced",IF(Table2[[#This Row],[Age]]&gt;=25,"Mid Level", "Entry Level"))</f>
        <v>Mid Level</v>
      </c>
      <c r="H396" t="s">
        <v>28</v>
      </c>
      <c r="I396" t="s">
        <v>68</v>
      </c>
      <c r="J396" s="4">
        <v>45729</v>
      </c>
      <c r="K396" s="4" t="str">
        <f>TEXT(Table2[[#This Row],[Enrollment_date]],"Mmm")</f>
        <v>Mar</v>
      </c>
      <c r="L396" s="4" t="str">
        <f>TEXT(Table2[[#This Row],[Enrollment_date]],"Ddd")</f>
        <v>Thu</v>
      </c>
      <c r="M396" s="4" t="s">
        <v>34</v>
      </c>
      <c r="N396" t="s">
        <v>36</v>
      </c>
      <c r="O396" t="s">
        <v>38</v>
      </c>
      <c r="P396" s="8">
        <v>4</v>
      </c>
      <c r="Q396" s="6">
        <v>0.875</v>
      </c>
      <c r="R396" s="6">
        <v>60</v>
      </c>
      <c r="S396" s="6" t="str">
        <f>IF(Table2[[#This Row],[Avg_score]]&gt;=79,"Distinction",IF(Table2[[#This Row],[Avg_score]]&gt;=60,"Pass","Fail"))</f>
        <v>Pass</v>
      </c>
      <c r="T396" t="s">
        <v>39</v>
      </c>
      <c r="U396">
        <f>IF(Table2[[#This Row],[Completed]]="Yes",1,0)</f>
        <v>1</v>
      </c>
      <c r="V396" t="s">
        <v>39</v>
      </c>
      <c r="W396" t="s">
        <v>39</v>
      </c>
      <c r="X396" s="4">
        <v>45838</v>
      </c>
    </row>
    <row r="397" spans="1:24" x14ac:dyDescent="0.3">
      <c r="A397">
        <v>396</v>
      </c>
      <c r="B397" s="8">
        <v>132</v>
      </c>
      <c r="C397">
        <v>3</v>
      </c>
      <c r="D397" t="s">
        <v>19</v>
      </c>
      <c r="E397" t="s">
        <v>23</v>
      </c>
      <c r="F397">
        <v>28</v>
      </c>
      <c r="G397" t="str">
        <f>IF(Table2[[#This Row],[Age]]&gt;=30,"Experienced",IF(Table2[[#This Row],[Age]]&gt;=25,"Mid Level", "Entry Level"))</f>
        <v>Mid Level</v>
      </c>
      <c r="H397" t="s">
        <v>28</v>
      </c>
      <c r="I397" t="s">
        <v>68</v>
      </c>
      <c r="J397" s="4">
        <v>45729</v>
      </c>
      <c r="K397" s="4" t="str">
        <f>TEXT(Table2[[#This Row],[Enrollment_date]],"Mmm")</f>
        <v>Mar</v>
      </c>
      <c r="L397" s="4" t="str">
        <f>TEXT(Table2[[#This Row],[Enrollment_date]],"Ddd")</f>
        <v>Thu</v>
      </c>
      <c r="M397" s="4" t="s">
        <v>34</v>
      </c>
      <c r="N397" t="s">
        <v>37</v>
      </c>
      <c r="O397" t="s">
        <v>38</v>
      </c>
      <c r="P397" s="8">
        <v>4</v>
      </c>
      <c r="Q397" s="6">
        <v>0.85416666666666663</v>
      </c>
      <c r="R397" s="6">
        <v>77</v>
      </c>
      <c r="S397" s="6" t="str">
        <f>IF(Table2[[#This Row],[Avg_score]]&gt;=79,"Distinction",IF(Table2[[#This Row],[Avg_score]]&gt;=60,"Pass","Fail"))</f>
        <v>Pass</v>
      </c>
      <c r="T397" t="s">
        <v>39</v>
      </c>
      <c r="U397">
        <f>IF(Table2[[#This Row],[Completed]]="Yes",1,0)</f>
        <v>1</v>
      </c>
      <c r="V397" t="s">
        <v>39</v>
      </c>
      <c r="W397" t="s">
        <v>39</v>
      </c>
      <c r="X397" s="4">
        <v>45838</v>
      </c>
    </row>
    <row r="398" spans="1:24" x14ac:dyDescent="0.3">
      <c r="A398">
        <v>397</v>
      </c>
      <c r="B398" s="8">
        <v>133</v>
      </c>
      <c r="C398">
        <v>1</v>
      </c>
      <c r="D398" t="s">
        <v>19</v>
      </c>
      <c r="E398" t="s">
        <v>23</v>
      </c>
      <c r="F398">
        <v>25</v>
      </c>
      <c r="G398" t="str">
        <f>IF(Table2[[#This Row],[Age]]&gt;=30,"Experienced",IF(Table2[[#This Row],[Age]]&gt;=25,"Mid Level", "Entry Level"))</f>
        <v>Mid Level</v>
      </c>
      <c r="H398" t="s">
        <v>27</v>
      </c>
      <c r="I398" t="s">
        <v>44</v>
      </c>
      <c r="J398" s="4">
        <v>45744</v>
      </c>
      <c r="K398" s="4" t="str">
        <f>TEXT(Table2[[#This Row],[Enrollment_date]],"Mmm")</f>
        <v>Mar</v>
      </c>
      <c r="L398" s="4" t="str">
        <f>TEXT(Table2[[#This Row],[Enrollment_date]],"Ddd")</f>
        <v>Fri</v>
      </c>
      <c r="M398" s="4" t="s">
        <v>34</v>
      </c>
      <c r="N398" t="s">
        <v>35</v>
      </c>
      <c r="O398" t="s">
        <v>38</v>
      </c>
      <c r="P398" s="8">
        <v>4</v>
      </c>
      <c r="Q398" s="6">
        <v>0.83333333333333337</v>
      </c>
      <c r="R398" s="6">
        <v>80.5</v>
      </c>
      <c r="S398" s="6" t="str">
        <f>IF(Table2[[#This Row],[Avg_score]]&gt;=79,"Distinction",IF(Table2[[#This Row],[Avg_score]]&gt;=60,"Pass","Fail"))</f>
        <v>Distinction</v>
      </c>
      <c r="T398" t="s">
        <v>39</v>
      </c>
      <c r="U398">
        <f>IF(Table2[[#This Row],[Completed]]="Yes",1,0)</f>
        <v>1</v>
      </c>
      <c r="V398" t="s">
        <v>39</v>
      </c>
      <c r="W398" t="s">
        <v>40</v>
      </c>
      <c r="X398" s="4">
        <v>45838</v>
      </c>
    </row>
    <row r="399" spans="1:24" x14ac:dyDescent="0.3">
      <c r="A399">
        <v>398</v>
      </c>
      <c r="B399" s="8">
        <v>133</v>
      </c>
      <c r="C399">
        <v>2</v>
      </c>
      <c r="D399" t="s">
        <v>20</v>
      </c>
      <c r="E399" t="s">
        <v>23</v>
      </c>
      <c r="F399">
        <v>25</v>
      </c>
      <c r="G399" t="str">
        <f>IF(Table2[[#This Row],[Age]]&gt;=30,"Experienced",IF(Table2[[#This Row],[Age]]&gt;=25,"Mid Level", "Entry Level"))</f>
        <v>Mid Level</v>
      </c>
      <c r="H399" t="s">
        <v>27</v>
      </c>
      <c r="I399" t="s">
        <v>44</v>
      </c>
      <c r="J399" s="4">
        <v>45744</v>
      </c>
      <c r="K399" s="4" t="str">
        <f>TEXT(Table2[[#This Row],[Enrollment_date]],"Mmm")</f>
        <v>Mar</v>
      </c>
      <c r="L399" s="4" t="str">
        <f>TEXT(Table2[[#This Row],[Enrollment_date]],"Ddd")</f>
        <v>Fri</v>
      </c>
      <c r="M399" s="4" t="s">
        <v>34</v>
      </c>
      <c r="N399" t="s">
        <v>36</v>
      </c>
      <c r="O399" t="s">
        <v>38</v>
      </c>
      <c r="P399" s="8">
        <v>4</v>
      </c>
      <c r="Q399" s="6">
        <v>0.75</v>
      </c>
      <c r="R399" s="6">
        <v>77</v>
      </c>
      <c r="S399" s="6" t="str">
        <f>IF(Table2[[#This Row],[Avg_score]]&gt;=79,"Distinction",IF(Table2[[#This Row],[Avg_score]]&gt;=60,"Pass","Fail"))</f>
        <v>Pass</v>
      </c>
      <c r="T399" t="s">
        <v>39</v>
      </c>
      <c r="U399">
        <f>IF(Table2[[#This Row],[Completed]]="Yes",1,0)</f>
        <v>1</v>
      </c>
      <c r="V399" t="s">
        <v>39</v>
      </c>
      <c r="W399" t="s">
        <v>40</v>
      </c>
      <c r="X399" s="4">
        <v>45838</v>
      </c>
    </row>
    <row r="400" spans="1:24" x14ac:dyDescent="0.3">
      <c r="A400">
        <v>399</v>
      </c>
      <c r="B400" s="8">
        <v>133</v>
      </c>
      <c r="C400">
        <v>3</v>
      </c>
      <c r="D400" t="s">
        <v>20</v>
      </c>
      <c r="E400" t="s">
        <v>23</v>
      </c>
      <c r="F400">
        <v>25</v>
      </c>
      <c r="G400" t="str">
        <f>IF(Table2[[#This Row],[Age]]&gt;=30,"Experienced",IF(Table2[[#This Row],[Age]]&gt;=25,"Mid Level", "Entry Level"))</f>
        <v>Mid Level</v>
      </c>
      <c r="H400" t="s">
        <v>27</v>
      </c>
      <c r="I400" t="s">
        <v>44</v>
      </c>
      <c r="J400" s="4">
        <v>45744</v>
      </c>
      <c r="K400" s="4" t="str">
        <f>TEXT(Table2[[#This Row],[Enrollment_date]],"Mmm")</f>
        <v>Mar</v>
      </c>
      <c r="L400" s="4" t="str">
        <f>TEXT(Table2[[#This Row],[Enrollment_date]],"Ddd")</f>
        <v>Fri</v>
      </c>
      <c r="M400" s="4" t="s">
        <v>34</v>
      </c>
      <c r="N400" t="s">
        <v>37</v>
      </c>
      <c r="O400" t="s">
        <v>38</v>
      </c>
      <c r="P400" s="8">
        <v>4</v>
      </c>
      <c r="Q400" s="6">
        <v>0.85416666666666663</v>
      </c>
      <c r="R400" s="6">
        <v>60.5</v>
      </c>
      <c r="S400" s="6" t="str">
        <f>IF(Table2[[#This Row],[Avg_score]]&gt;=79,"Distinction",IF(Table2[[#This Row],[Avg_score]]&gt;=60,"Pass","Fail"))</f>
        <v>Pass</v>
      </c>
      <c r="T400" t="s">
        <v>39</v>
      </c>
      <c r="U400">
        <f>IF(Table2[[#This Row],[Completed]]="Yes",1,0)</f>
        <v>1</v>
      </c>
      <c r="V400" t="s">
        <v>39</v>
      </c>
      <c r="W400" t="s">
        <v>40</v>
      </c>
      <c r="X400" s="4">
        <v>45838</v>
      </c>
    </row>
    <row r="401" spans="1:24" x14ac:dyDescent="0.3">
      <c r="A401">
        <v>400</v>
      </c>
      <c r="B401" s="8">
        <v>134</v>
      </c>
      <c r="C401">
        <v>1</v>
      </c>
      <c r="D401" t="s">
        <v>19</v>
      </c>
      <c r="E401" t="s">
        <v>22</v>
      </c>
      <c r="F401">
        <v>33</v>
      </c>
      <c r="G401" t="str">
        <f>IF(Table2[[#This Row],[Age]]&gt;=30,"Experienced",IF(Table2[[#This Row],[Age]]&gt;=25,"Mid Level", "Entry Level"))</f>
        <v>Experienced</v>
      </c>
      <c r="H401" t="s">
        <v>29</v>
      </c>
      <c r="I401" t="s">
        <v>32</v>
      </c>
      <c r="J401" s="4">
        <v>45782</v>
      </c>
      <c r="K401" s="4" t="str">
        <f>TEXT(Table2[[#This Row],[Enrollment_date]],"Mmm")</f>
        <v>May</v>
      </c>
      <c r="L401" s="4" t="str">
        <f>TEXT(Table2[[#This Row],[Enrollment_date]],"Ddd")</f>
        <v>Mon</v>
      </c>
      <c r="M401" s="4" t="s">
        <v>34</v>
      </c>
      <c r="N401" t="s">
        <v>35</v>
      </c>
      <c r="O401" t="s">
        <v>38</v>
      </c>
      <c r="P401" s="8">
        <v>4</v>
      </c>
      <c r="Q401" s="6">
        <v>0.79166666666666663</v>
      </c>
      <c r="R401" s="6">
        <v>64</v>
      </c>
      <c r="S401" s="6" t="str">
        <f>IF(Table2[[#This Row],[Avg_score]]&gt;=79,"Distinction",IF(Table2[[#This Row],[Avg_score]]&gt;=60,"Pass","Fail"))</f>
        <v>Pass</v>
      </c>
      <c r="T401" t="s">
        <v>39</v>
      </c>
      <c r="U401">
        <f>IF(Table2[[#This Row],[Completed]]="Yes",1,0)</f>
        <v>1</v>
      </c>
      <c r="V401" t="s">
        <v>40</v>
      </c>
      <c r="W401" t="s">
        <v>40</v>
      </c>
      <c r="X401" s="4">
        <v>45838</v>
      </c>
    </row>
    <row r="402" spans="1:24" x14ac:dyDescent="0.3">
      <c r="A402">
        <v>401</v>
      </c>
      <c r="B402" s="8">
        <v>134</v>
      </c>
      <c r="C402">
        <v>2</v>
      </c>
      <c r="D402" t="s">
        <v>19</v>
      </c>
      <c r="E402" t="s">
        <v>22</v>
      </c>
      <c r="F402">
        <v>33</v>
      </c>
      <c r="G402" t="str">
        <f>IF(Table2[[#This Row],[Age]]&gt;=30,"Experienced",IF(Table2[[#This Row],[Age]]&gt;=25,"Mid Level", "Entry Level"))</f>
        <v>Experienced</v>
      </c>
      <c r="H402" t="s">
        <v>29</v>
      </c>
      <c r="I402" t="s">
        <v>32</v>
      </c>
      <c r="J402" s="4">
        <v>45782</v>
      </c>
      <c r="K402" s="4" t="str">
        <f>TEXT(Table2[[#This Row],[Enrollment_date]],"Mmm")</f>
        <v>May</v>
      </c>
      <c r="L402" s="4" t="str">
        <f>TEXT(Table2[[#This Row],[Enrollment_date]],"Ddd")</f>
        <v>Mon</v>
      </c>
      <c r="M402" s="4" t="s">
        <v>34</v>
      </c>
      <c r="N402" t="s">
        <v>36</v>
      </c>
      <c r="O402" t="s">
        <v>38</v>
      </c>
      <c r="P402" s="8">
        <v>4</v>
      </c>
      <c r="Q402" s="6">
        <v>0.77083333333333337</v>
      </c>
      <c r="R402" s="6">
        <v>63.5</v>
      </c>
      <c r="S402" s="6" t="str">
        <f>IF(Table2[[#This Row],[Avg_score]]&gt;=79,"Distinction",IF(Table2[[#This Row],[Avg_score]]&gt;=60,"Pass","Fail"))</f>
        <v>Pass</v>
      </c>
      <c r="T402" t="s">
        <v>39</v>
      </c>
      <c r="U402">
        <f>IF(Table2[[#This Row],[Completed]]="Yes",1,0)</f>
        <v>1</v>
      </c>
      <c r="V402" t="s">
        <v>40</v>
      </c>
      <c r="W402" t="s">
        <v>40</v>
      </c>
      <c r="X402" s="4">
        <v>45838</v>
      </c>
    </row>
    <row r="403" spans="1:24" x14ac:dyDescent="0.3">
      <c r="A403">
        <v>402</v>
      </c>
      <c r="B403" s="8">
        <v>134</v>
      </c>
      <c r="C403">
        <v>3</v>
      </c>
      <c r="D403" t="s">
        <v>20</v>
      </c>
      <c r="E403" t="s">
        <v>22</v>
      </c>
      <c r="F403">
        <v>33</v>
      </c>
      <c r="G403" t="str">
        <f>IF(Table2[[#This Row],[Age]]&gt;=30,"Experienced",IF(Table2[[#This Row],[Age]]&gt;=25,"Mid Level", "Entry Level"))</f>
        <v>Experienced</v>
      </c>
      <c r="H403" t="s">
        <v>29</v>
      </c>
      <c r="I403" t="s">
        <v>32</v>
      </c>
      <c r="J403" s="4">
        <v>45782</v>
      </c>
      <c r="K403" s="4" t="str">
        <f>TEXT(Table2[[#This Row],[Enrollment_date]],"Mmm")</f>
        <v>May</v>
      </c>
      <c r="L403" s="4" t="str">
        <f>TEXT(Table2[[#This Row],[Enrollment_date]],"Ddd")</f>
        <v>Mon</v>
      </c>
      <c r="M403" s="4" t="s">
        <v>34</v>
      </c>
      <c r="N403" t="s">
        <v>37</v>
      </c>
      <c r="O403" t="s">
        <v>38</v>
      </c>
      <c r="P403" s="8">
        <v>4</v>
      </c>
      <c r="Q403" s="6">
        <v>0.83333333333333337</v>
      </c>
      <c r="R403" s="6">
        <v>66</v>
      </c>
      <c r="S403" s="6" t="str">
        <f>IF(Table2[[#This Row],[Avg_score]]&gt;=79,"Distinction",IF(Table2[[#This Row],[Avg_score]]&gt;=60,"Pass","Fail"))</f>
        <v>Pass</v>
      </c>
      <c r="T403" t="s">
        <v>39</v>
      </c>
      <c r="U403">
        <f>IF(Table2[[#This Row],[Completed]]="Yes",1,0)</f>
        <v>1</v>
      </c>
      <c r="V403" t="s">
        <v>40</v>
      </c>
      <c r="W403" t="s">
        <v>40</v>
      </c>
      <c r="X403" s="4">
        <v>45838</v>
      </c>
    </row>
    <row r="404" spans="1:24" x14ac:dyDescent="0.3">
      <c r="A404">
        <v>403</v>
      </c>
      <c r="B404" s="8">
        <v>135</v>
      </c>
      <c r="C404">
        <v>1</v>
      </c>
      <c r="D404" t="s">
        <v>19</v>
      </c>
      <c r="E404" t="s">
        <v>22</v>
      </c>
      <c r="F404">
        <v>29</v>
      </c>
      <c r="G404" t="str">
        <f>IF(Table2[[#This Row],[Age]]&gt;=30,"Experienced",IF(Table2[[#This Row],[Age]]&gt;=25,"Mid Level", "Entry Level"))</f>
        <v>Mid Level</v>
      </c>
      <c r="H404" t="s">
        <v>29</v>
      </c>
      <c r="I404" t="s">
        <v>30</v>
      </c>
      <c r="J404" s="4">
        <v>45729</v>
      </c>
      <c r="K404" s="4" t="str">
        <f>TEXT(Table2[[#This Row],[Enrollment_date]],"Mmm")</f>
        <v>Mar</v>
      </c>
      <c r="L404" s="4" t="str">
        <f>TEXT(Table2[[#This Row],[Enrollment_date]],"Ddd")</f>
        <v>Thu</v>
      </c>
      <c r="M404" s="4" t="s">
        <v>34</v>
      </c>
      <c r="N404" t="s">
        <v>35</v>
      </c>
      <c r="O404" t="s">
        <v>38</v>
      </c>
      <c r="P404" s="8">
        <v>4</v>
      </c>
      <c r="Q404" s="6">
        <v>0.9375</v>
      </c>
      <c r="R404" s="6">
        <v>59</v>
      </c>
      <c r="S404" s="6" t="str">
        <f>IF(Table2[[#This Row],[Avg_score]]&gt;=79,"Distinction",IF(Table2[[#This Row],[Avg_score]]&gt;=60,"Pass","Fail"))</f>
        <v>Fail</v>
      </c>
      <c r="T404" t="s">
        <v>39</v>
      </c>
      <c r="U404">
        <f>IF(Table2[[#This Row],[Completed]]="Yes",1,0)</f>
        <v>1</v>
      </c>
      <c r="V404" t="s">
        <v>39</v>
      </c>
      <c r="W404" t="s">
        <v>40</v>
      </c>
      <c r="X404" s="4">
        <v>45838</v>
      </c>
    </row>
    <row r="405" spans="1:24" x14ac:dyDescent="0.3">
      <c r="A405">
        <v>404</v>
      </c>
      <c r="B405" s="8">
        <v>135</v>
      </c>
      <c r="C405">
        <v>2</v>
      </c>
      <c r="D405" t="s">
        <v>20</v>
      </c>
      <c r="E405" t="s">
        <v>22</v>
      </c>
      <c r="F405">
        <v>29</v>
      </c>
      <c r="G405" t="str">
        <f>IF(Table2[[#This Row],[Age]]&gt;=30,"Experienced",IF(Table2[[#This Row],[Age]]&gt;=25,"Mid Level", "Entry Level"))</f>
        <v>Mid Level</v>
      </c>
      <c r="H405" t="s">
        <v>29</v>
      </c>
      <c r="I405" t="s">
        <v>30</v>
      </c>
      <c r="J405" s="4">
        <v>45729</v>
      </c>
      <c r="K405" s="4" t="str">
        <f>TEXT(Table2[[#This Row],[Enrollment_date]],"Mmm")</f>
        <v>Mar</v>
      </c>
      <c r="L405" s="4" t="str">
        <f>TEXT(Table2[[#This Row],[Enrollment_date]],"Ddd")</f>
        <v>Thu</v>
      </c>
      <c r="M405" s="4" t="s">
        <v>34</v>
      </c>
      <c r="N405" t="s">
        <v>36</v>
      </c>
      <c r="O405" t="s">
        <v>38</v>
      </c>
      <c r="P405" s="8">
        <v>4</v>
      </c>
      <c r="Q405" s="6">
        <v>0.83333333333333337</v>
      </c>
      <c r="R405" s="6">
        <v>70</v>
      </c>
      <c r="S405" s="6" t="str">
        <f>IF(Table2[[#This Row],[Avg_score]]&gt;=79,"Distinction",IF(Table2[[#This Row],[Avg_score]]&gt;=60,"Pass","Fail"))</f>
        <v>Pass</v>
      </c>
      <c r="T405" t="s">
        <v>39</v>
      </c>
      <c r="U405">
        <f>IF(Table2[[#This Row],[Completed]]="Yes",1,0)</f>
        <v>1</v>
      </c>
      <c r="V405" t="s">
        <v>39</v>
      </c>
      <c r="W405" t="s">
        <v>40</v>
      </c>
      <c r="X405" s="4">
        <v>45838</v>
      </c>
    </row>
    <row r="406" spans="1:24" x14ac:dyDescent="0.3">
      <c r="A406">
        <v>405</v>
      </c>
      <c r="B406" s="8">
        <v>135</v>
      </c>
      <c r="C406">
        <v>3</v>
      </c>
      <c r="D406" t="s">
        <v>19</v>
      </c>
      <c r="E406" t="s">
        <v>22</v>
      </c>
      <c r="F406">
        <v>29</v>
      </c>
      <c r="G406" t="str">
        <f>IF(Table2[[#This Row],[Age]]&gt;=30,"Experienced",IF(Table2[[#This Row],[Age]]&gt;=25,"Mid Level", "Entry Level"))</f>
        <v>Mid Level</v>
      </c>
      <c r="H406" t="s">
        <v>29</v>
      </c>
      <c r="I406" t="s">
        <v>30</v>
      </c>
      <c r="J406" s="4">
        <v>45729</v>
      </c>
      <c r="K406" s="4" t="str">
        <f>TEXT(Table2[[#This Row],[Enrollment_date]],"Mmm")</f>
        <v>Mar</v>
      </c>
      <c r="L406" s="4" t="str">
        <f>TEXT(Table2[[#This Row],[Enrollment_date]],"Ddd")</f>
        <v>Thu</v>
      </c>
      <c r="M406" s="4" t="s">
        <v>34</v>
      </c>
      <c r="N406" t="s">
        <v>37</v>
      </c>
      <c r="O406" t="s">
        <v>38</v>
      </c>
      <c r="P406" s="8">
        <v>4</v>
      </c>
      <c r="Q406" s="6">
        <v>0.91666666666666663</v>
      </c>
      <c r="R406" s="6">
        <v>54.5</v>
      </c>
      <c r="S406" s="6" t="str">
        <f>IF(Table2[[#This Row],[Avg_score]]&gt;=79,"Distinction",IF(Table2[[#This Row],[Avg_score]]&gt;=60,"Pass","Fail"))</f>
        <v>Fail</v>
      </c>
      <c r="T406" t="s">
        <v>39</v>
      </c>
      <c r="U406">
        <f>IF(Table2[[#This Row],[Completed]]="Yes",1,0)</f>
        <v>1</v>
      </c>
      <c r="V406" t="s">
        <v>39</v>
      </c>
      <c r="W406" t="s">
        <v>40</v>
      </c>
      <c r="X406" s="4">
        <v>45838</v>
      </c>
    </row>
    <row r="407" spans="1:24" x14ac:dyDescent="0.3">
      <c r="A407">
        <v>406</v>
      </c>
      <c r="B407" s="8">
        <v>136</v>
      </c>
      <c r="C407">
        <v>1</v>
      </c>
      <c r="D407" t="s">
        <v>21</v>
      </c>
      <c r="E407" t="s">
        <v>23</v>
      </c>
      <c r="F407">
        <v>35</v>
      </c>
      <c r="G407" t="str">
        <f>IF(Table2[[#This Row],[Age]]&gt;=30,"Experienced",IF(Table2[[#This Row],[Age]]&gt;=25,"Mid Level", "Entry Level"))</f>
        <v>Experienced</v>
      </c>
      <c r="H407" t="s">
        <v>25</v>
      </c>
      <c r="I407" t="s">
        <v>32</v>
      </c>
      <c r="J407" s="4">
        <v>45679</v>
      </c>
      <c r="K407" s="4" t="str">
        <f>TEXT(Table2[[#This Row],[Enrollment_date]],"Mmm")</f>
        <v>Jan</v>
      </c>
      <c r="L407" s="4" t="str">
        <f>TEXT(Table2[[#This Row],[Enrollment_date]],"Ddd")</f>
        <v>Wed</v>
      </c>
      <c r="M407" s="4" t="s">
        <v>34</v>
      </c>
      <c r="N407" t="s">
        <v>35</v>
      </c>
      <c r="O407" t="s">
        <v>38</v>
      </c>
      <c r="P407" s="8">
        <v>4</v>
      </c>
      <c r="Q407" s="6">
        <v>0.83333333333333337</v>
      </c>
      <c r="R407" s="6">
        <v>73</v>
      </c>
      <c r="S407" s="6" t="str">
        <f>IF(Table2[[#This Row],[Avg_score]]&gt;=79,"Distinction",IF(Table2[[#This Row],[Avg_score]]&gt;=60,"Pass","Fail"))</f>
        <v>Pass</v>
      </c>
      <c r="T407" t="s">
        <v>40</v>
      </c>
      <c r="U407">
        <f>IF(Table2[[#This Row],[Completed]]="Yes",1,0)</f>
        <v>0</v>
      </c>
      <c r="V407" t="s">
        <v>40</v>
      </c>
      <c r="W407" t="s">
        <v>40</v>
      </c>
      <c r="X407" s="4">
        <v>45838</v>
      </c>
    </row>
    <row r="408" spans="1:24" x14ac:dyDescent="0.3">
      <c r="A408">
        <v>407</v>
      </c>
      <c r="B408" s="8">
        <v>136</v>
      </c>
      <c r="C408">
        <v>2</v>
      </c>
      <c r="D408" t="s">
        <v>21</v>
      </c>
      <c r="E408" t="s">
        <v>23</v>
      </c>
      <c r="F408">
        <v>35</v>
      </c>
      <c r="G408" t="str">
        <f>IF(Table2[[#This Row],[Age]]&gt;=30,"Experienced",IF(Table2[[#This Row],[Age]]&gt;=25,"Mid Level", "Entry Level"))</f>
        <v>Experienced</v>
      </c>
      <c r="H408" t="s">
        <v>25</v>
      </c>
      <c r="I408" t="s">
        <v>32</v>
      </c>
      <c r="J408" s="4">
        <v>45679</v>
      </c>
      <c r="K408" s="4" t="str">
        <f>TEXT(Table2[[#This Row],[Enrollment_date]],"Mmm")</f>
        <v>Jan</v>
      </c>
      <c r="L408" s="4" t="str">
        <f>TEXT(Table2[[#This Row],[Enrollment_date]],"Ddd")</f>
        <v>Wed</v>
      </c>
      <c r="M408" s="4" t="s">
        <v>34</v>
      </c>
      <c r="N408" t="s">
        <v>36</v>
      </c>
      <c r="O408" t="s">
        <v>38</v>
      </c>
      <c r="P408" s="8">
        <v>4</v>
      </c>
      <c r="Q408" s="6">
        <v>0.83333333333333337</v>
      </c>
      <c r="R408" s="6">
        <v>70</v>
      </c>
      <c r="S408" s="6" t="str">
        <f>IF(Table2[[#This Row],[Avg_score]]&gt;=79,"Distinction",IF(Table2[[#This Row],[Avg_score]]&gt;=60,"Pass","Fail"))</f>
        <v>Pass</v>
      </c>
      <c r="T408" t="s">
        <v>40</v>
      </c>
      <c r="U408">
        <f>IF(Table2[[#This Row],[Completed]]="Yes",1,0)</f>
        <v>0</v>
      </c>
      <c r="V408" t="s">
        <v>40</v>
      </c>
      <c r="W408" t="s">
        <v>40</v>
      </c>
      <c r="X408" s="4">
        <v>45838</v>
      </c>
    </row>
    <row r="409" spans="1:24" x14ac:dyDescent="0.3">
      <c r="A409">
        <v>408</v>
      </c>
      <c r="B409" s="8">
        <v>136</v>
      </c>
      <c r="C409">
        <v>3</v>
      </c>
      <c r="D409" t="s">
        <v>19</v>
      </c>
      <c r="E409" t="s">
        <v>23</v>
      </c>
      <c r="F409">
        <v>35</v>
      </c>
      <c r="G409" t="str">
        <f>IF(Table2[[#This Row],[Age]]&gt;=30,"Experienced",IF(Table2[[#This Row],[Age]]&gt;=25,"Mid Level", "Entry Level"))</f>
        <v>Experienced</v>
      </c>
      <c r="H409" t="s">
        <v>25</v>
      </c>
      <c r="I409" t="s">
        <v>32</v>
      </c>
      <c r="J409" s="4">
        <v>45679</v>
      </c>
      <c r="K409" s="4" t="str">
        <f>TEXT(Table2[[#This Row],[Enrollment_date]],"Mmm")</f>
        <v>Jan</v>
      </c>
      <c r="L409" s="4" t="str">
        <f>TEXT(Table2[[#This Row],[Enrollment_date]],"Ddd")</f>
        <v>Wed</v>
      </c>
      <c r="M409" s="4" t="s">
        <v>34</v>
      </c>
      <c r="N409" t="s">
        <v>37</v>
      </c>
      <c r="O409" t="s">
        <v>38</v>
      </c>
      <c r="P409" s="8">
        <v>4</v>
      </c>
      <c r="Q409" s="6">
        <v>0.8125</v>
      </c>
      <c r="R409" s="6">
        <v>51</v>
      </c>
      <c r="S409" s="6" t="str">
        <f>IF(Table2[[#This Row],[Avg_score]]&gt;=79,"Distinction",IF(Table2[[#This Row],[Avg_score]]&gt;=60,"Pass","Fail"))</f>
        <v>Fail</v>
      </c>
      <c r="T409" t="s">
        <v>40</v>
      </c>
      <c r="U409">
        <f>IF(Table2[[#This Row],[Completed]]="Yes",1,0)</f>
        <v>0</v>
      </c>
      <c r="V409" t="s">
        <v>40</v>
      </c>
      <c r="W409" t="s">
        <v>40</v>
      </c>
      <c r="X409" s="4">
        <v>45838</v>
      </c>
    </row>
    <row r="410" spans="1:24" x14ac:dyDescent="0.3">
      <c r="A410">
        <v>409</v>
      </c>
      <c r="B410" s="8">
        <v>137</v>
      </c>
      <c r="C410">
        <v>1</v>
      </c>
      <c r="D410" t="s">
        <v>19</v>
      </c>
      <c r="E410" t="s">
        <v>22</v>
      </c>
      <c r="F410">
        <v>31</v>
      </c>
      <c r="G410" t="str">
        <f>IF(Table2[[#This Row],[Age]]&gt;=30,"Experienced",IF(Table2[[#This Row],[Age]]&gt;=25,"Mid Level", "Entry Level"))</f>
        <v>Experienced</v>
      </c>
      <c r="H410" t="s">
        <v>27</v>
      </c>
      <c r="I410" t="s">
        <v>32</v>
      </c>
      <c r="J410" s="4">
        <v>45779</v>
      </c>
      <c r="K410" s="4" t="str">
        <f>TEXT(Table2[[#This Row],[Enrollment_date]],"Mmm")</f>
        <v>May</v>
      </c>
      <c r="L410" s="4" t="str">
        <f>TEXT(Table2[[#This Row],[Enrollment_date]],"Ddd")</f>
        <v>Fri</v>
      </c>
      <c r="M410" s="4" t="s">
        <v>34</v>
      </c>
      <c r="N410" t="s">
        <v>35</v>
      </c>
      <c r="O410" t="s">
        <v>38</v>
      </c>
      <c r="P410" s="8">
        <v>4</v>
      </c>
      <c r="Q410" s="6">
        <v>0.89583333333333337</v>
      </c>
      <c r="R410" s="6">
        <v>64</v>
      </c>
      <c r="S410" s="6" t="str">
        <f>IF(Table2[[#This Row],[Avg_score]]&gt;=79,"Distinction",IF(Table2[[#This Row],[Avg_score]]&gt;=60,"Pass","Fail"))</f>
        <v>Pass</v>
      </c>
      <c r="T410" t="s">
        <v>39</v>
      </c>
      <c r="U410">
        <f>IF(Table2[[#This Row],[Completed]]="Yes",1,0)</f>
        <v>1</v>
      </c>
      <c r="V410" t="s">
        <v>40</v>
      </c>
      <c r="W410" t="s">
        <v>40</v>
      </c>
      <c r="X410" s="4">
        <v>45838</v>
      </c>
    </row>
    <row r="411" spans="1:24" x14ac:dyDescent="0.3">
      <c r="A411">
        <v>410</v>
      </c>
      <c r="B411" s="8">
        <v>137</v>
      </c>
      <c r="C411">
        <v>2</v>
      </c>
      <c r="D411" t="s">
        <v>19</v>
      </c>
      <c r="E411" t="s">
        <v>22</v>
      </c>
      <c r="F411">
        <v>31</v>
      </c>
      <c r="G411" t="str">
        <f>IF(Table2[[#This Row],[Age]]&gt;=30,"Experienced",IF(Table2[[#This Row],[Age]]&gt;=25,"Mid Level", "Entry Level"))</f>
        <v>Experienced</v>
      </c>
      <c r="H411" t="s">
        <v>27</v>
      </c>
      <c r="I411" t="s">
        <v>32</v>
      </c>
      <c r="J411" s="4">
        <v>45779</v>
      </c>
      <c r="K411" s="4" t="str">
        <f>TEXT(Table2[[#This Row],[Enrollment_date]],"Mmm")</f>
        <v>May</v>
      </c>
      <c r="L411" s="4" t="str">
        <f>TEXT(Table2[[#This Row],[Enrollment_date]],"Ddd")</f>
        <v>Fri</v>
      </c>
      <c r="M411" s="4" t="s">
        <v>34</v>
      </c>
      <c r="N411" t="s">
        <v>36</v>
      </c>
      <c r="O411" t="s">
        <v>38</v>
      </c>
      <c r="P411" s="8">
        <v>4</v>
      </c>
      <c r="Q411" s="6">
        <v>0.75</v>
      </c>
      <c r="R411" s="6">
        <v>74</v>
      </c>
      <c r="S411" s="6" t="str">
        <f>IF(Table2[[#This Row],[Avg_score]]&gt;=79,"Distinction",IF(Table2[[#This Row],[Avg_score]]&gt;=60,"Pass","Fail"))</f>
        <v>Pass</v>
      </c>
      <c r="T411" t="s">
        <v>39</v>
      </c>
      <c r="U411">
        <f>IF(Table2[[#This Row],[Completed]]="Yes",1,0)</f>
        <v>1</v>
      </c>
      <c r="V411" t="s">
        <v>40</v>
      </c>
      <c r="W411" t="s">
        <v>40</v>
      </c>
      <c r="X411" s="4">
        <v>45838</v>
      </c>
    </row>
    <row r="412" spans="1:24" x14ac:dyDescent="0.3">
      <c r="A412">
        <v>411</v>
      </c>
      <c r="B412" s="8">
        <v>137</v>
      </c>
      <c r="C412">
        <v>3</v>
      </c>
      <c r="D412" t="s">
        <v>19</v>
      </c>
      <c r="E412" t="s">
        <v>22</v>
      </c>
      <c r="F412">
        <v>31</v>
      </c>
      <c r="G412" t="str">
        <f>IF(Table2[[#This Row],[Age]]&gt;=30,"Experienced",IF(Table2[[#This Row],[Age]]&gt;=25,"Mid Level", "Entry Level"))</f>
        <v>Experienced</v>
      </c>
      <c r="H412" t="s">
        <v>27</v>
      </c>
      <c r="I412" t="s">
        <v>32</v>
      </c>
      <c r="J412" s="4">
        <v>45779</v>
      </c>
      <c r="K412" s="4" t="str">
        <f>TEXT(Table2[[#This Row],[Enrollment_date]],"Mmm")</f>
        <v>May</v>
      </c>
      <c r="L412" s="4" t="str">
        <f>TEXT(Table2[[#This Row],[Enrollment_date]],"Ddd")</f>
        <v>Fri</v>
      </c>
      <c r="M412" s="4" t="s">
        <v>34</v>
      </c>
      <c r="N412" t="s">
        <v>37</v>
      </c>
      <c r="O412" t="s">
        <v>38</v>
      </c>
      <c r="P412" s="8">
        <v>4</v>
      </c>
      <c r="Q412" s="6">
        <v>0.8125</v>
      </c>
      <c r="R412" s="6">
        <v>61</v>
      </c>
      <c r="S412" s="6" t="str">
        <f>IF(Table2[[#This Row],[Avg_score]]&gt;=79,"Distinction",IF(Table2[[#This Row],[Avg_score]]&gt;=60,"Pass","Fail"))</f>
        <v>Pass</v>
      </c>
      <c r="T412" t="s">
        <v>39</v>
      </c>
      <c r="U412">
        <f>IF(Table2[[#This Row],[Completed]]="Yes",1,0)</f>
        <v>1</v>
      </c>
      <c r="V412" t="s">
        <v>40</v>
      </c>
      <c r="W412" t="s">
        <v>40</v>
      </c>
      <c r="X412" s="4">
        <v>45838</v>
      </c>
    </row>
    <row r="413" spans="1:24" x14ac:dyDescent="0.3">
      <c r="A413">
        <v>412</v>
      </c>
      <c r="B413" s="8">
        <v>138</v>
      </c>
      <c r="C413">
        <v>1</v>
      </c>
      <c r="D413" t="s">
        <v>21</v>
      </c>
      <c r="E413" t="s">
        <v>23</v>
      </c>
      <c r="F413">
        <v>32</v>
      </c>
      <c r="G413" t="str">
        <f>IF(Table2[[#This Row],[Age]]&gt;=30,"Experienced",IF(Table2[[#This Row],[Age]]&gt;=25,"Mid Level", "Entry Level"))</f>
        <v>Experienced</v>
      </c>
      <c r="H413" t="s">
        <v>25</v>
      </c>
      <c r="I413" t="s">
        <v>68</v>
      </c>
      <c r="J413" s="4">
        <v>45733</v>
      </c>
      <c r="K413" s="4" t="str">
        <f>TEXT(Table2[[#This Row],[Enrollment_date]],"Mmm")</f>
        <v>Mar</v>
      </c>
      <c r="L413" s="4" t="str">
        <f>TEXT(Table2[[#This Row],[Enrollment_date]],"Ddd")</f>
        <v>Mon</v>
      </c>
      <c r="M413" s="4" t="s">
        <v>34</v>
      </c>
      <c r="N413" t="s">
        <v>35</v>
      </c>
      <c r="O413" t="s">
        <v>38</v>
      </c>
      <c r="P413" s="8">
        <v>4</v>
      </c>
      <c r="Q413" s="6">
        <v>0.83333333333333337</v>
      </c>
      <c r="R413" s="6">
        <v>77.5</v>
      </c>
      <c r="S413" s="6" t="str">
        <f>IF(Table2[[#This Row],[Avg_score]]&gt;=79,"Distinction",IF(Table2[[#This Row],[Avg_score]]&gt;=60,"Pass","Fail"))</f>
        <v>Pass</v>
      </c>
      <c r="T413" t="s">
        <v>40</v>
      </c>
      <c r="U413">
        <f>IF(Table2[[#This Row],[Completed]]="Yes",1,0)</f>
        <v>0</v>
      </c>
      <c r="V413" t="s">
        <v>40</v>
      </c>
      <c r="W413" t="s">
        <v>40</v>
      </c>
      <c r="X413" s="4">
        <v>45838</v>
      </c>
    </row>
    <row r="414" spans="1:24" x14ac:dyDescent="0.3">
      <c r="A414">
        <v>413</v>
      </c>
      <c r="B414" s="8">
        <v>138</v>
      </c>
      <c r="C414">
        <v>2</v>
      </c>
      <c r="D414" t="s">
        <v>19</v>
      </c>
      <c r="E414" t="s">
        <v>23</v>
      </c>
      <c r="F414">
        <v>32</v>
      </c>
      <c r="G414" t="str">
        <f>IF(Table2[[#This Row],[Age]]&gt;=30,"Experienced",IF(Table2[[#This Row],[Age]]&gt;=25,"Mid Level", "Entry Level"))</f>
        <v>Experienced</v>
      </c>
      <c r="H414" t="s">
        <v>25</v>
      </c>
      <c r="I414" t="s">
        <v>68</v>
      </c>
      <c r="J414" s="4">
        <v>45733</v>
      </c>
      <c r="K414" s="4" t="str">
        <f>TEXT(Table2[[#This Row],[Enrollment_date]],"Mmm")</f>
        <v>Mar</v>
      </c>
      <c r="L414" s="4" t="str">
        <f>TEXT(Table2[[#This Row],[Enrollment_date]],"Ddd")</f>
        <v>Mon</v>
      </c>
      <c r="M414" s="4" t="s">
        <v>34</v>
      </c>
      <c r="N414" t="s">
        <v>36</v>
      </c>
      <c r="O414" t="s">
        <v>38</v>
      </c>
      <c r="P414" s="8">
        <v>4</v>
      </c>
      <c r="Q414" s="6">
        <v>0.77083333333333337</v>
      </c>
      <c r="R414" s="6">
        <v>59</v>
      </c>
      <c r="S414" s="6" t="str">
        <f>IF(Table2[[#This Row],[Avg_score]]&gt;=79,"Distinction",IF(Table2[[#This Row],[Avg_score]]&gt;=60,"Pass","Fail"))</f>
        <v>Fail</v>
      </c>
      <c r="T414" t="s">
        <v>40</v>
      </c>
      <c r="U414">
        <f>IF(Table2[[#This Row],[Completed]]="Yes",1,0)</f>
        <v>0</v>
      </c>
      <c r="V414" t="s">
        <v>40</v>
      </c>
      <c r="W414" t="s">
        <v>40</v>
      </c>
      <c r="X414" s="4">
        <v>45838</v>
      </c>
    </row>
    <row r="415" spans="1:24" x14ac:dyDescent="0.3">
      <c r="A415">
        <v>414</v>
      </c>
      <c r="B415" s="8">
        <v>138</v>
      </c>
      <c r="C415">
        <v>3</v>
      </c>
      <c r="D415" t="s">
        <v>20</v>
      </c>
      <c r="E415" t="s">
        <v>23</v>
      </c>
      <c r="F415">
        <v>32</v>
      </c>
      <c r="G415" t="str">
        <f>IF(Table2[[#This Row],[Age]]&gt;=30,"Experienced",IF(Table2[[#This Row],[Age]]&gt;=25,"Mid Level", "Entry Level"))</f>
        <v>Experienced</v>
      </c>
      <c r="H415" t="s">
        <v>25</v>
      </c>
      <c r="I415" t="s">
        <v>68</v>
      </c>
      <c r="J415" s="4">
        <v>45733</v>
      </c>
      <c r="K415" s="4" t="str">
        <f>TEXT(Table2[[#This Row],[Enrollment_date]],"Mmm")</f>
        <v>Mar</v>
      </c>
      <c r="L415" s="4" t="str">
        <f>TEXT(Table2[[#This Row],[Enrollment_date]],"Ddd")</f>
        <v>Mon</v>
      </c>
      <c r="M415" s="4" t="s">
        <v>34</v>
      </c>
      <c r="N415" t="s">
        <v>37</v>
      </c>
      <c r="O415" t="s">
        <v>38</v>
      </c>
      <c r="P415" s="8">
        <v>4</v>
      </c>
      <c r="Q415" s="6">
        <v>0.83333333333333337</v>
      </c>
      <c r="R415" s="6">
        <v>69.5</v>
      </c>
      <c r="S415" s="6" t="str">
        <f>IF(Table2[[#This Row],[Avg_score]]&gt;=79,"Distinction",IF(Table2[[#This Row],[Avg_score]]&gt;=60,"Pass","Fail"))</f>
        <v>Pass</v>
      </c>
      <c r="T415" t="s">
        <v>40</v>
      </c>
      <c r="U415">
        <f>IF(Table2[[#This Row],[Completed]]="Yes",1,0)</f>
        <v>0</v>
      </c>
      <c r="V415" t="s">
        <v>40</v>
      </c>
      <c r="W415" t="s">
        <v>40</v>
      </c>
      <c r="X415" s="4">
        <v>45838</v>
      </c>
    </row>
    <row r="416" spans="1:24" x14ac:dyDescent="0.3">
      <c r="A416">
        <v>415</v>
      </c>
      <c r="B416" s="8">
        <v>139</v>
      </c>
      <c r="C416">
        <v>1</v>
      </c>
      <c r="D416" t="s">
        <v>19</v>
      </c>
      <c r="E416" t="s">
        <v>22</v>
      </c>
      <c r="F416">
        <v>30</v>
      </c>
      <c r="G416" t="str">
        <f>IF(Table2[[#This Row],[Age]]&gt;=30,"Experienced",IF(Table2[[#This Row],[Age]]&gt;=25,"Mid Level", "Entry Level"))</f>
        <v>Experienced</v>
      </c>
      <c r="H416" t="s">
        <v>24</v>
      </c>
      <c r="I416" t="s">
        <v>32</v>
      </c>
      <c r="J416" s="4">
        <v>45736</v>
      </c>
      <c r="K416" s="4" t="str">
        <f>TEXT(Table2[[#This Row],[Enrollment_date]],"Mmm")</f>
        <v>Mar</v>
      </c>
      <c r="L416" s="4" t="str">
        <f>TEXT(Table2[[#This Row],[Enrollment_date]],"Ddd")</f>
        <v>Thu</v>
      </c>
      <c r="M416" s="4" t="s">
        <v>34</v>
      </c>
      <c r="N416" t="s">
        <v>35</v>
      </c>
      <c r="O416" t="s">
        <v>38</v>
      </c>
      <c r="P416" s="8">
        <v>4</v>
      </c>
      <c r="Q416" s="6">
        <v>0.83333333333333337</v>
      </c>
      <c r="R416" s="6">
        <v>86</v>
      </c>
      <c r="S416" s="6" t="str">
        <f>IF(Table2[[#This Row],[Avg_score]]&gt;=79,"Distinction",IF(Table2[[#This Row],[Avg_score]]&gt;=60,"Pass","Fail"))</f>
        <v>Distinction</v>
      </c>
      <c r="T416" t="s">
        <v>39</v>
      </c>
      <c r="U416">
        <f>IF(Table2[[#This Row],[Completed]]="Yes",1,0)</f>
        <v>1</v>
      </c>
      <c r="V416" t="s">
        <v>40</v>
      </c>
      <c r="W416" t="s">
        <v>40</v>
      </c>
      <c r="X416" s="4">
        <v>45838</v>
      </c>
    </row>
    <row r="417" spans="1:24" x14ac:dyDescent="0.3">
      <c r="A417">
        <v>416</v>
      </c>
      <c r="B417" s="8">
        <v>139</v>
      </c>
      <c r="C417">
        <v>2</v>
      </c>
      <c r="D417" t="s">
        <v>21</v>
      </c>
      <c r="E417" t="s">
        <v>22</v>
      </c>
      <c r="F417">
        <v>30</v>
      </c>
      <c r="G417" t="str">
        <f>IF(Table2[[#This Row],[Age]]&gt;=30,"Experienced",IF(Table2[[#This Row],[Age]]&gt;=25,"Mid Level", "Entry Level"))</f>
        <v>Experienced</v>
      </c>
      <c r="H417" t="s">
        <v>24</v>
      </c>
      <c r="I417" t="s">
        <v>32</v>
      </c>
      <c r="J417" s="4">
        <v>45736</v>
      </c>
      <c r="K417" s="4" t="str">
        <f>TEXT(Table2[[#This Row],[Enrollment_date]],"Mmm")</f>
        <v>Mar</v>
      </c>
      <c r="L417" s="4" t="str">
        <f>TEXT(Table2[[#This Row],[Enrollment_date]],"Ddd")</f>
        <v>Thu</v>
      </c>
      <c r="M417" s="4" t="s">
        <v>34</v>
      </c>
      <c r="N417" t="s">
        <v>36</v>
      </c>
      <c r="O417" t="s">
        <v>38</v>
      </c>
      <c r="P417" s="8">
        <v>4</v>
      </c>
      <c r="Q417" s="6">
        <v>0.89583333333333337</v>
      </c>
      <c r="R417" s="6">
        <v>73</v>
      </c>
      <c r="S417" s="6" t="str">
        <f>IF(Table2[[#This Row],[Avg_score]]&gt;=79,"Distinction",IF(Table2[[#This Row],[Avg_score]]&gt;=60,"Pass","Fail"))</f>
        <v>Pass</v>
      </c>
      <c r="T417" t="s">
        <v>39</v>
      </c>
      <c r="U417">
        <f>IF(Table2[[#This Row],[Completed]]="Yes",1,0)</f>
        <v>1</v>
      </c>
      <c r="V417" t="s">
        <v>40</v>
      </c>
      <c r="W417" t="s">
        <v>40</v>
      </c>
      <c r="X417" s="4">
        <v>45838</v>
      </c>
    </row>
    <row r="418" spans="1:24" x14ac:dyDescent="0.3">
      <c r="A418">
        <v>417</v>
      </c>
      <c r="B418" s="8">
        <v>139</v>
      </c>
      <c r="C418">
        <v>3</v>
      </c>
      <c r="D418" t="s">
        <v>19</v>
      </c>
      <c r="E418" t="s">
        <v>22</v>
      </c>
      <c r="F418">
        <v>30</v>
      </c>
      <c r="G418" t="str">
        <f>IF(Table2[[#This Row],[Age]]&gt;=30,"Experienced",IF(Table2[[#This Row],[Age]]&gt;=25,"Mid Level", "Entry Level"))</f>
        <v>Experienced</v>
      </c>
      <c r="H418" t="s">
        <v>24</v>
      </c>
      <c r="I418" t="s">
        <v>32</v>
      </c>
      <c r="J418" s="4">
        <v>45736</v>
      </c>
      <c r="K418" s="4" t="str">
        <f>TEXT(Table2[[#This Row],[Enrollment_date]],"Mmm")</f>
        <v>Mar</v>
      </c>
      <c r="L418" s="4" t="str">
        <f>TEXT(Table2[[#This Row],[Enrollment_date]],"Ddd")</f>
        <v>Thu</v>
      </c>
      <c r="M418" s="4" t="s">
        <v>34</v>
      </c>
      <c r="N418" t="s">
        <v>37</v>
      </c>
      <c r="O418" t="s">
        <v>38</v>
      </c>
      <c r="P418" s="8">
        <v>4</v>
      </c>
      <c r="Q418" s="6">
        <v>0.83333333333333337</v>
      </c>
      <c r="R418" s="6">
        <v>64.5</v>
      </c>
      <c r="S418" s="6" t="str">
        <f>IF(Table2[[#This Row],[Avg_score]]&gt;=79,"Distinction",IF(Table2[[#This Row],[Avg_score]]&gt;=60,"Pass","Fail"))</f>
        <v>Pass</v>
      </c>
      <c r="T418" t="s">
        <v>39</v>
      </c>
      <c r="U418">
        <f>IF(Table2[[#This Row],[Completed]]="Yes",1,0)</f>
        <v>1</v>
      </c>
      <c r="V418" t="s">
        <v>40</v>
      </c>
      <c r="W418" t="s">
        <v>40</v>
      </c>
      <c r="X418" s="4">
        <v>45838</v>
      </c>
    </row>
    <row r="419" spans="1:24" x14ac:dyDescent="0.3">
      <c r="A419">
        <v>418</v>
      </c>
      <c r="B419" s="8">
        <v>140</v>
      </c>
      <c r="C419">
        <v>1</v>
      </c>
      <c r="D419" t="s">
        <v>20</v>
      </c>
      <c r="E419" t="s">
        <v>23</v>
      </c>
      <c r="F419">
        <v>33</v>
      </c>
      <c r="G419" t="str">
        <f>IF(Table2[[#This Row],[Age]]&gt;=30,"Experienced",IF(Table2[[#This Row],[Age]]&gt;=25,"Mid Level", "Entry Level"))</f>
        <v>Experienced</v>
      </c>
      <c r="H419" t="s">
        <v>26</v>
      </c>
      <c r="I419" t="s">
        <v>30</v>
      </c>
      <c r="J419" s="4">
        <v>45766</v>
      </c>
      <c r="K419" s="4" t="str">
        <f>TEXT(Table2[[#This Row],[Enrollment_date]],"Mmm")</f>
        <v>Apr</v>
      </c>
      <c r="L419" s="4" t="str">
        <f>TEXT(Table2[[#This Row],[Enrollment_date]],"Ddd")</f>
        <v>Sat</v>
      </c>
      <c r="M419" s="4" t="s">
        <v>34</v>
      </c>
      <c r="N419" t="s">
        <v>35</v>
      </c>
      <c r="O419" t="s">
        <v>38</v>
      </c>
      <c r="P419" s="8">
        <v>4</v>
      </c>
      <c r="Q419" s="6">
        <v>0.89583333333333337</v>
      </c>
      <c r="R419" s="6">
        <v>79.5</v>
      </c>
      <c r="S419" s="6" t="str">
        <f>IF(Table2[[#This Row],[Avg_score]]&gt;=79,"Distinction",IF(Table2[[#This Row],[Avg_score]]&gt;=60,"Pass","Fail"))</f>
        <v>Distinction</v>
      </c>
      <c r="T419" t="s">
        <v>39</v>
      </c>
      <c r="U419">
        <f>IF(Table2[[#This Row],[Completed]]="Yes",1,0)</f>
        <v>1</v>
      </c>
      <c r="V419" t="s">
        <v>39</v>
      </c>
      <c r="W419" t="s">
        <v>39</v>
      </c>
      <c r="X419" s="4">
        <v>45838</v>
      </c>
    </row>
    <row r="420" spans="1:24" x14ac:dyDescent="0.3">
      <c r="A420">
        <v>419</v>
      </c>
      <c r="B420" s="8">
        <v>140</v>
      </c>
      <c r="C420">
        <v>2</v>
      </c>
      <c r="D420" t="s">
        <v>21</v>
      </c>
      <c r="E420" t="s">
        <v>23</v>
      </c>
      <c r="F420">
        <v>33</v>
      </c>
      <c r="G420" t="str">
        <f>IF(Table2[[#This Row],[Age]]&gt;=30,"Experienced",IF(Table2[[#This Row],[Age]]&gt;=25,"Mid Level", "Entry Level"))</f>
        <v>Experienced</v>
      </c>
      <c r="H420" t="s">
        <v>26</v>
      </c>
      <c r="I420" t="s">
        <v>30</v>
      </c>
      <c r="J420" s="4">
        <v>45766</v>
      </c>
      <c r="K420" s="4" t="str">
        <f>TEXT(Table2[[#This Row],[Enrollment_date]],"Mmm")</f>
        <v>Apr</v>
      </c>
      <c r="L420" s="4" t="str">
        <f>TEXT(Table2[[#This Row],[Enrollment_date]],"Ddd")</f>
        <v>Sat</v>
      </c>
      <c r="M420" s="4" t="s">
        <v>34</v>
      </c>
      <c r="N420" t="s">
        <v>36</v>
      </c>
      <c r="O420" t="s">
        <v>38</v>
      </c>
      <c r="P420" s="8">
        <v>4</v>
      </c>
      <c r="Q420" s="6">
        <v>0.875</v>
      </c>
      <c r="R420" s="6">
        <v>68.5</v>
      </c>
      <c r="S420" s="6" t="str">
        <f>IF(Table2[[#This Row],[Avg_score]]&gt;=79,"Distinction",IF(Table2[[#This Row],[Avg_score]]&gt;=60,"Pass","Fail"))</f>
        <v>Pass</v>
      </c>
      <c r="T420" t="s">
        <v>39</v>
      </c>
      <c r="U420">
        <f>IF(Table2[[#This Row],[Completed]]="Yes",1,0)</f>
        <v>1</v>
      </c>
      <c r="V420" t="s">
        <v>39</v>
      </c>
      <c r="W420" t="s">
        <v>39</v>
      </c>
      <c r="X420" s="4">
        <v>45838</v>
      </c>
    </row>
    <row r="421" spans="1:24" x14ac:dyDescent="0.3">
      <c r="A421">
        <v>420</v>
      </c>
      <c r="B421" s="8">
        <v>140</v>
      </c>
      <c r="C421">
        <v>3</v>
      </c>
      <c r="D421" t="s">
        <v>19</v>
      </c>
      <c r="E421" t="s">
        <v>23</v>
      </c>
      <c r="F421">
        <v>33</v>
      </c>
      <c r="G421" t="str">
        <f>IF(Table2[[#This Row],[Age]]&gt;=30,"Experienced",IF(Table2[[#This Row],[Age]]&gt;=25,"Mid Level", "Entry Level"))</f>
        <v>Experienced</v>
      </c>
      <c r="H421" t="s">
        <v>26</v>
      </c>
      <c r="I421" t="s">
        <v>30</v>
      </c>
      <c r="J421" s="4">
        <v>45766</v>
      </c>
      <c r="K421" s="4" t="str">
        <f>TEXT(Table2[[#This Row],[Enrollment_date]],"Mmm")</f>
        <v>Apr</v>
      </c>
      <c r="L421" s="4" t="str">
        <f>TEXT(Table2[[#This Row],[Enrollment_date]],"Ddd")</f>
        <v>Sat</v>
      </c>
      <c r="M421" s="4" t="s">
        <v>34</v>
      </c>
      <c r="N421" t="s">
        <v>37</v>
      </c>
      <c r="O421" t="s">
        <v>38</v>
      </c>
      <c r="P421" s="8">
        <v>4</v>
      </c>
      <c r="Q421" s="6">
        <v>0.875</v>
      </c>
      <c r="R421" s="6">
        <v>88</v>
      </c>
      <c r="S421" s="6" t="str">
        <f>IF(Table2[[#This Row],[Avg_score]]&gt;=79,"Distinction",IF(Table2[[#This Row],[Avg_score]]&gt;=60,"Pass","Fail"))</f>
        <v>Distinction</v>
      </c>
      <c r="T421" t="s">
        <v>39</v>
      </c>
      <c r="U421">
        <f>IF(Table2[[#This Row],[Completed]]="Yes",1,0)</f>
        <v>1</v>
      </c>
      <c r="V421" t="s">
        <v>39</v>
      </c>
      <c r="W421" t="s">
        <v>39</v>
      </c>
      <c r="X421" s="4">
        <v>45838</v>
      </c>
    </row>
    <row r="422" spans="1:24" x14ac:dyDescent="0.3">
      <c r="A422">
        <v>421</v>
      </c>
      <c r="B422" s="8">
        <v>141</v>
      </c>
      <c r="C422">
        <v>1</v>
      </c>
      <c r="D422" t="s">
        <v>20</v>
      </c>
      <c r="E422" t="s">
        <v>23</v>
      </c>
      <c r="F422">
        <v>29</v>
      </c>
      <c r="G422" t="str">
        <f>IF(Table2[[#This Row],[Age]]&gt;=30,"Experienced",IF(Table2[[#This Row],[Age]]&gt;=25,"Mid Level", "Entry Level"))</f>
        <v>Mid Level</v>
      </c>
      <c r="H422" t="s">
        <v>24</v>
      </c>
      <c r="I422" t="s">
        <v>44</v>
      </c>
      <c r="J422" s="4">
        <v>45727</v>
      </c>
      <c r="K422" s="4" t="str">
        <f>TEXT(Table2[[#This Row],[Enrollment_date]],"Mmm")</f>
        <v>Mar</v>
      </c>
      <c r="L422" s="4" t="str">
        <f>TEXT(Table2[[#This Row],[Enrollment_date]],"Ddd")</f>
        <v>Tue</v>
      </c>
      <c r="M422" s="4" t="s">
        <v>34</v>
      </c>
      <c r="N422" t="s">
        <v>35</v>
      </c>
      <c r="O422" t="s">
        <v>38</v>
      </c>
      <c r="P422" s="8">
        <v>4</v>
      </c>
      <c r="Q422" s="6">
        <v>0.89583333333333337</v>
      </c>
      <c r="R422" s="6">
        <v>80.5</v>
      </c>
      <c r="S422" s="6" t="str">
        <f>IF(Table2[[#This Row],[Avg_score]]&gt;=79,"Distinction",IF(Table2[[#This Row],[Avg_score]]&gt;=60,"Pass","Fail"))</f>
        <v>Distinction</v>
      </c>
      <c r="T422" t="s">
        <v>39</v>
      </c>
      <c r="U422">
        <f>IF(Table2[[#This Row],[Completed]]="Yes",1,0)</f>
        <v>1</v>
      </c>
      <c r="V422" t="s">
        <v>40</v>
      </c>
      <c r="W422" t="s">
        <v>40</v>
      </c>
      <c r="X422" s="4">
        <v>45838</v>
      </c>
    </row>
    <row r="423" spans="1:24" x14ac:dyDescent="0.3">
      <c r="A423">
        <v>422</v>
      </c>
      <c r="B423" s="8">
        <v>141</v>
      </c>
      <c r="C423">
        <v>2</v>
      </c>
      <c r="D423" t="s">
        <v>19</v>
      </c>
      <c r="E423" t="s">
        <v>23</v>
      </c>
      <c r="F423">
        <v>29</v>
      </c>
      <c r="G423" t="str">
        <f>IF(Table2[[#This Row],[Age]]&gt;=30,"Experienced",IF(Table2[[#This Row],[Age]]&gt;=25,"Mid Level", "Entry Level"))</f>
        <v>Mid Level</v>
      </c>
      <c r="H423" t="s">
        <v>24</v>
      </c>
      <c r="I423" t="s">
        <v>44</v>
      </c>
      <c r="J423" s="4">
        <v>45727</v>
      </c>
      <c r="K423" s="4" t="str">
        <f>TEXT(Table2[[#This Row],[Enrollment_date]],"Mmm")</f>
        <v>Mar</v>
      </c>
      <c r="L423" s="4" t="str">
        <f>TEXT(Table2[[#This Row],[Enrollment_date]],"Ddd")</f>
        <v>Tue</v>
      </c>
      <c r="M423" s="4" t="s">
        <v>34</v>
      </c>
      <c r="N423" t="s">
        <v>36</v>
      </c>
      <c r="O423" t="s">
        <v>38</v>
      </c>
      <c r="P423" s="8">
        <v>4</v>
      </c>
      <c r="Q423" s="6">
        <v>0.79166666666666663</v>
      </c>
      <c r="R423" s="6">
        <v>59.5</v>
      </c>
      <c r="S423" s="6" t="str">
        <f>IF(Table2[[#This Row],[Avg_score]]&gt;=79,"Distinction",IF(Table2[[#This Row],[Avg_score]]&gt;=60,"Pass","Fail"))</f>
        <v>Fail</v>
      </c>
      <c r="T423" t="s">
        <v>39</v>
      </c>
      <c r="U423">
        <f>IF(Table2[[#This Row],[Completed]]="Yes",1,0)</f>
        <v>1</v>
      </c>
      <c r="V423" t="s">
        <v>40</v>
      </c>
      <c r="W423" t="s">
        <v>40</v>
      </c>
      <c r="X423" s="4">
        <v>45838</v>
      </c>
    </row>
    <row r="424" spans="1:24" x14ac:dyDescent="0.3">
      <c r="A424">
        <v>423</v>
      </c>
      <c r="B424" s="8">
        <v>141</v>
      </c>
      <c r="C424">
        <v>3</v>
      </c>
      <c r="D424" t="s">
        <v>19</v>
      </c>
      <c r="E424" t="s">
        <v>23</v>
      </c>
      <c r="F424">
        <v>29</v>
      </c>
      <c r="G424" t="str">
        <f>IF(Table2[[#This Row],[Age]]&gt;=30,"Experienced",IF(Table2[[#This Row],[Age]]&gt;=25,"Mid Level", "Entry Level"))</f>
        <v>Mid Level</v>
      </c>
      <c r="H424" t="s">
        <v>24</v>
      </c>
      <c r="I424" t="s">
        <v>44</v>
      </c>
      <c r="J424" s="4">
        <v>45727</v>
      </c>
      <c r="K424" s="4" t="str">
        <f>TEXT(Table2[[#This Row],[Enrollment_date]],"Mmm")</f>
        <v>Mar</v>
      </c>
      <c r="L424" s="4" t="str">
        <f>TEXT(Table2[[#This Row],[Enrollment_date]],"Ddd")</f>
        <v>Tue</v>
      </c>
      <c r="M424" s="4" t="s">
        <v>34</v>
      </c>
      <c r="N424" t="s">
        <v>37</v>
      </c>
      <c r="O424" t="s">
        <v>38</v>
      </c>
      <c r="P424" s="8">
        <v>4</v>
      </c>
      <c r="Q424" s="6">
        <v>0.75</v>
      </c>
      <c r="R424" s="6">
        <v>88</v>
      </c>
      <c r="S424" s="6" t="str">
        <f>IF(Table2[[#This Row],[Avg_score]]&gt;=79,"Distinction",IF(Table2[[#This Row],[Avg_score]]&gt;=60,"Pass","Fail"))</f>
        <v>Distinction</v>
      </c>
      <c r="T424" t="s">
        <v>39</v>
      </c>
      <c r="U424">
        <f>IF(Table2[[#This Row],[Completed]]="Yes",1,0)</f>
        <v>1</v>
      </c>
      <c r="V424" t="s">
        <v>40</v>
      </c>
      <c r="W424" t="s">
        <v>40</v>
      </c>
      <c r="X424" s="4">
        <v>45838</v>
      </c>
    </row>
    <row r="425" spans="1:24" x14ac:dyDescent="0.3">
      <c r="A425">
        <v>424</v>
      </c>
      <c r="B425" s="8">
        <v>142</v>
      </c>
      <c r="C425">
        <v>1</v>
      </c>
      <c r="D425" t="s">
        <v>21</v>
      </c>
      <c r="E425" t="s">
        <v>23</v>
      </c>
      <c r="F425">
        <v>26</v>
      </c>
      <c r="G425" t="str">
        <f>IF(Table2[[#This Row],[Age]]&gt;=30,"Experienced",IF(Table2[[#This Row],[Age]]&gt;=25,"Mid Level", "Entry Level"))</f>
        <v>Mid Level</v>
      </c>
      <c r="H425" t="s">
        <v>28</v>
      </c>
      <c r="I425" t="s">
        <v>68</v>
      </c>
      <c r="J425" s="4">
        <v>45707</v>
      </c>
      <c r="K425" s="4" t="str">
        <f>TEXT(Table2[[#This Row],[Enrollment_date]],"Mmm")</f>
        <v>Feb</v>
      </c>
      <c r="L425" s="4" t="str">
        <f>TEXT(Table2[[#This Row],[Enrollment_date]],"Ddd")</f>
        <v>Wed</v>
      </c>
      <c r="M425" s="4" t="s">
        <v>34</v>
      </c>
      <c r="N425" t="s">
        <v>35</v>
      </c>
      <c r="O425" t="s">
        <v>38</v>
      </c>
      <c r="P425" s="8">
        <v>4</v>
      </c>
      <c r="Q425" s="6">
        <v>0.89583333333333337</v>
      </c>
      <c r="R425" s="6">
        <v>77.5</v>
      </c>
      <c r="S425" s="6" t="str">
        <f>IF(Table2[[#This Row],[Avg_score]]&gt;=79,"Distinction",IF(Table2[[#This Row],[Avg_score]]&gt;=60,"Pass","Fail"))</f>
        <v>Pass</v>
      </c>
      <c r="T425" t="s">
        <v>39</v>
      </c>
      <c r="U425">
        <f>IF(Table2[[#This Row],[Completed]]="Yes",1,0)</f>
        <v>1</v>
      </c>
      <c r="V425" t="s">
        <v>40</v>
      </c>
      <c r="W425" t="s">
        <v>40</v>
      </c>
      <c r="X425" s="4">
        <v>45838</v>
      </c>
    </row>
    <row r="426" spans="1:24" x14ac:dyDescent="0.3">
      <c r="A426">
        <v>425</v>
      </c>
      <c r="B426" s="8">
        <v>142</v>
      </c>
      <c r="C426">
        <v>2</v>
      </c>
      <c r="D426" t="s">
        <v>19</v>
      </c>
      <c r="E426" t="s">
        <v>23</v>
      </c>
      <c r="F426">
        <v>26</v>
      </c>
      <c r="G426" t="str">
        <f>IF(Table2[[#This Row],[Age]]&gt;=30,"Experienced",IF(Table2[[#This Row],[Age]]&gt;=25,"Mid Level", "Entry Level"))</f>
        <v>Mid Level</v>
      </c>
      <c r="H426" t="s">
        <v>28</v>
      </c>
      <c r="I426" t="s">
        <v>68</v>
      </c>
      <c r="J426" s="4">
        <v>45707</v>
      </c>
      <c r="K426" s="4" t="str">
        <f>TEXT(Table2[[#This Row],[Enrollment_date]],"Mmm")</f>
        <v>Feb</v>
      </c>
      <c r="L426" s="4" t="str">
        <f>TEXT(Table2[[#This Row],[Enrollment_date]],"Ddd")</f>
        <v>Wed</v>
      </c>
      <c r="M426" s="4" t="s">
        <v>34</v>
      </c>
      <c r="N426" t="s">
        <v>36</v>
      </c>
      <c r="O426" t="s">
        <v>38</v>
      </c>
      <c r="P426" s="8">
        <v>4</v>
      </c>
      <c r="Q426" s="6">
        <v>0.8125</v>
      </c>
      <c r="R426" s="6">
        <v>61.5</v>
      </c>
      <c r="S426" s="6" t="str">
        <f>IF(Table2[[#This Row],[Avg_score]]&gt;=79,"Distinction",IF(Table2[[#This Row],[Avg_score]]&gt;=60,"Pass","Fail"))</f>
        <v>Pass</v>
      </c>
      <c r="T426" t="s">
        <v>39</v>
      </c>
      <c r="U426">
        <f>IF(Table2[[#This Row],[Completed]]="Yes",1,0)</f>
        <v>1</v>
      </c>
      <c r="V426" t="s">
        <v>40</v>
      </c>
      <c r="W426" t="s">
        <v>40</v>
      </c>
      <c r="X426" s="4">
        <v>45838</v>
      </c>
    </row>
    <row r="427" spans="1:24" x14ac:dyDescent="0.3">
      <c r="A427">
        <v>426</v>
      </c>
      <c r="B427" s="8">
        <v>142</v>
      </c>
      <c r="C427">
        <v>3</v>
      </c>
      <c r="D427" t="s">
        <v>21</v>
      </c>
      <c r="E427" t="s">
        <v>23</v>
      </c>
      <c r="F427">
        <v>26</v>
      </c>
      <c r="G427" t="str">
        <f>IF(Table2[[#This Row],[Age]]&gt;=30,"Experienced",IF(Table2[[#This Row],[Age]]&gt;=25,"Mid Level", "Entry Level"))</f>
        <v>Mid Level</v>
      </c>
      <c r="H427" t="s">
        <v>28</v>
      </c>
      <c r="I427" t="s">
        <v>68</v>
      </c>
      <c r="J427" s="4">
        <v>45707</v>
      </c>
      <c r="K427" s="4" t="str">
        <f>TEXT(Table2[[#This Row],[Enrollment_date]],"Mmm")</f>
        <v>Feb</v>
      </c>
      <c r="L427" s="4" t="str">
        <f>TEXT(Table2[[#This Row],[Enrollment_date]],"Ddd")</f>
        <v>Wed</v>
      </c>
      <c r="M427" s="4" t="s">
        <v>34</v>
      </c>
      <c r="N427" t="s">
        <v>37</v>
      </c>
      <c r="O427" t="s">
        <v>38</v>
      </c>
      <c r="P427" s="8">
        <v>4</v>
      </c>
      <c r="Q427" s="6">
        <v>0.85416666666666663</v>
      </c>
      <c r="R427" s="6">
        <v>79.5</v>
      </c>
      <c r="S427" s="6" t="str">
        <f>IF(Table2[[#This Row],[Avg_score]]&gt;=79,"Distinction",IF(Table2[[#This Row],[Avg_score]]&gt;=60,"Pass","Fail"))</f>
        <v>Distinction</v>
      </c>
      <c r="T427" t="s">
        <v>39</v>
      </c>
      <c r="U427">
        <f>IF(Table2[[#This Row],[Completed]]="Yes",1,0)</f>
        <v>1</v>
      </c>
      <c r="V427" t="s">
        <v>40</v>
      </c>
      <c r="W427" t="s">
        <v>40</v>
      </c>
      <c r="X427" s="4">
        <v>45838</v>
      </c>
    </row>
    <row r="428" spans="1:24" x14ac:dyDescent="0.3">
      <c r="A428">
        <v>427</v>
      </c>
      <c r="B428" s="8">
        <v>143</v>
      </c>
      <c r="C428">
        <v>1</v>
      </c>
      <c r="D428" t="s">
        <v>20</v>
      </c>
      <c r="E428" t="s">
        <v>23</v>
      </c>
      <c r="F428">
        <v>21</v>
      </c>
      <c r="G428" t="str">
        <f>IF(Table2[[#This Row],[Age]]&gt;=30,"Experienced",IF(Table2[[#This Row],[Age]]&gt;=25,"Mid Level", "Entry Level"))</f>
        <v>Entry Level</v>
      </c>
      <c r="H428" t="s">
        <v>24</v>
      </c>
      <c r="I428" t="s">
        <v>32</v>
      </c>
      <c r="J428" s="4">
        <v>45707</v>
      </c>
      <c r="K428" s="4" t="str">
        <f>TEXT(Table2[[#This Row],[Enrollment_date]],"Mmm")</f>
        <v>Feb</v>
      </c>
      <c r="L428" s="4" t="str">
        <f>TEXT(Table2[[#This Row],[Enrollment_date]],"Ddd")</f>
        <v>Wed</v>
      </c>
      <c r="M428" s="4" t="s">
        <v>34</v>
      </c>
      <c r="N428" t="s">
        <v>35</v>
      </c>
      <c r="O428" t="s">
        <v>38</v>
      </c>
      <c r="P428" s="8">
        <v>4</v>
      </c>
      <c r="Q428" s="6">
        <v>0.91666666666666663</v>
      </c>
      <c r="R428" s="6">
        <v>71.5</v>
      </c>
      <c r="S428" s="6" t="str">
        <f>IF(Table2[[#This Row],[Avg_score]]&gt;=79,"Distinction",IF(Table2[[#This Row],[Avg_score]]&gt;=60,"Pass","Fail"))</f>
        <v>Pass</v>
      </c>
      <c r="T428" t="s">
        <v>40</v>
      </c>
      <c r="U428">
        <f>IF(Table2[[#This Row],[Completed]]="Yes",1,0)</f>
        <v>0</v>
      </c>
      <c r="V428" t="s">
        <v>40</v>
      </c>
      <c r="W428" t="s">
        <v>40</v>
      </c>
      <c r="X428" s="4">
        <v>45838</v>
      </c>
    </row>
    <row r="429" spans="1:24" x14ac:dyDescent="0.3">
      <c r="A429">
        <v>428</v>
      </c>
      <c r="B429" s="8">
        <v>143</v>
      </c>
      <c r="C429">
        <v>2</v>
      </c>
      <c r="D429" t="s">
        <v>19</v>
      </c>
      <c r="E429" t="s">
        <v>23</v>
      </c>
      <c r="F429">
        <v>21</v>
      </c>
      <c r="G429" t="str">
        <f>IF(Table2[[#This Row],[Age]]&gt;=30,"Experienced",IF(Table2[[#This Row],[Age]]&gt;=25,"Mid Level", "Entry Level"))</f>
        <v>Entry Level</v>
      </c>
      <c r="H429" t="s">
        <v>24</v>
      </c>
      <c r="I429" t="s">
        <v>32</v>
      </c>
      <c r="J429" s="4">
        <v>45707</v>
      </c>
      <c r="K429" s="4" t="str">
        <f>TEXT(Table2[[#This Row],[Enrollment_date]],"Mmm")</f>
        <v>Feb</v>
      </c>
      <c r="L429" s="4" t="str">
        <f>TEXT(Table2[[#This Row],[Enrollment_date]],"Ddd")</f>
        <v>Wed</v>
      </c>
      <c r="M429" s="4" t="s">
        <v>34</v>
      </c>
      <c r="N429" t="s">
        <v>36</v>
      </c>
      <c r="O429" t="s">
        <v>38</v>
      </c>
      <c r="P429" s="8">
        <v>4</v>
      </c>
      <c r="Q429" s="6">
        <v>0.77083333333333337</v>
      </c>
      <c r="R429" s="6">
        <v>63.5</v>
      </c>
      <c r="S429" s="6" t="str">
        <f>IF(Table2[[#This Row],[Avg_score]]&gt;=79,"Distinction",IF(Table2[[#This Row],[Avg_score]]&gt;=60,"Pass","Fail"))</f>
        <v>Pass</v>
      </c>
      <c r="T429" t="s">
        <v>40</v>
      </c>
      <c r="U429">
        <f>IF(Table2[[#This Row],[Completed]]="Yes",1,0)</f>
        <v>0</v>
      </c>
      <c r="V429" t="s">
        <v>40</v>
      </c>
      <c r="W429" t="s">
        <v>40</v>
      </c>
      <c r="X429" s="4">
        <v>45838</v>
      </c>
    </row>
    <row r="430" spans="1:24" x14ac:dyDescent="0.3">
      <c r="A430">
        <v>429</v>
      </c>
      <c r="B430" s="8">
        <v>143</v>
      </c>
      <c r="C430">
        <v>3</v>
      </c>
      <c r="D430" t="s">
        <v>21</v>
      </c>
      <c r="E430" t="s">
        <v>23</v>
      </c>
      <c r="F430">
        <v>21</v>
      </c>
      <c r="G430" t="str">
        <f>IF(Table2[[#This Row],[Age]]&gt;=30,"Experienced",IF(Table2[[#This Row],[Age]]&gt;=25,"Mid Level", "Entry Level"))</f>
        <v>Entry Level</v>
      </c>
      <c r="H430" t="s">
        <v>24</v>
      </c>
      <c r="I430" t="s">
        <v>32</v>
      </c>
      <c r="J430" s="4">
        <v>45707</v>
      </c>
      <c r="K430" s="4" t="str">
        <f>TEXT(Table2[[#This Row],[Enrollment_date]],"Mmm")</f>
        <v>Feb</v>
      </c>
      <c r="L430" s="4" t="str">
        <f>TEXT(Table2[[#This Row],[Enrollment_date]],"Ddd")</f>
        <v>Wed</v>
      </c>
      <c r="M430" s="4" t="s">
        <v>34</v>
      </c>
      <c r="N430" t="s">
        <v>37</v>
      </c>
      <c r="O430" t="s">
        <v>38</v>
      </c>
      <c r="P430" s="8">
        <v>4</v>
      </c>
      <c r="Q430" s="6">
        <v>0.85416666666666663</v>
      </c>
      <c r="R430" s="6">
        <v>51</v>
      </c>
      <c r="S430" s="6" t="str">
        <f>IF(Table2[[#This Row],[Avg_score]]&gt;=79,"Distinction",IF(Table2[[#This Row],[Avg_score]]&gt;=60,"Pass","Fail"))</f>
        <v>Fail</v>
      </c>
      <c r="T430" t="s">
        <v>40</v>
      </c>
      <c r="U430">
        <f>IF(Table2[[#This Row],[Completed]]="Yes",1,0)</f>
        <v>0</v>
      </c>
      <c r="V430" t="s">
        <v>40</v>
      </c>
      <c r="W430" t="s">
        <v>40</v>
      </c>
      <c r="X430" s="4">
        <v>45838</v>
      </c>
    </row>
    <row r="431" spans="1:24" x14ac:dyDescent="0.3">
      <c r="A431">
        <v>430</v>
      </c>
      <c r="B431" s="8">
        <v>144</v>
      </c>
      <c r="C431">
        <v>1</v>
      </c>
      <c r="D431" t="s">
        <v>19</v>
      </c>
      <c r="E431" t="s">
        <v>22</v>
      </c>
      <c r="F431">
        <v>33</v>
      </c>
      <c r="G431" t="str">
        <f>IF(Table2[[#This Row],[Age]]&gt;=30,"Experienced",IF(Table2[[#This Row],[Age]]&gt;=25,"Mid Level", "Entry Level"))</f>
        <v>Experienced</v>
      </c>
      <c r="H431" t="s">
        <v>29</v>
      </c>
      <c r="I431" t="s">
        <v>30</v>
      </c>
      <c r="J431" s="4">
        <v>45683</v>
      </c>
      <c r="K431" s="4" t="str">
        <f>TEXT(Table2[[#This Row],[Enrollment_date]],"Mmm")</f>
        <v>Jan</v>
      </c>
      <c r="L431" s="4" t="str">
        <f>TEXT(Table2[[#This Row],[Enrollment_date]],"Ddd")</f>
        <v>Sun</v>
      </c>
      <c r="M431" s="4" t="s">
        <v>34</v>
      </c>
      <c r="N431" t="s">
        <v>35</v>
      </c>
      <c r="O431" t="s">
        <v>38</v>
      </c>
      <c r="P431" s="8">
        <v>4</v>
      </c>
      <c r="Q431" s="6">
        <v>0.8125</v>
      </c>
      <c r="R431" s="6">
        <v>53.5</v>
      </c>
      <c r="S431" s="6" t="str">
        <f>IF(Table2[[#This Row],[Avg_score]]&gt;=79,"Distinction",IF(Table2[[#This Row],[Avg_score]]&gt;=60,"Pass","Fail"))</f>
        <v>Fail</v>
      </c>
      <c r="T431" t="s">
        <v>39</v>
      </c>
      <c r="U431">
        <f>IF(Table2[[#This Row],[Completed]]="Yes",1,0)</f>
        <v>1</v>
      </c>
      <c r="V431" t="s">
        <v>39</v>
      </c>
      <c r="W431" t="s">
        <v>39</v>
      </c>
      <c r="X431" s="4">
        <v>45838</v>
      </c>
    </row>
    <row r="432" spans="1:24" x14ac:dyDescent="0.3">
      <c r="A432">
        <v>431</v>
      </c>
      <c r="B432" s="8">
        <v>144</v>
      </c>
      <c r="C432">
        <v>2</v>
      </c>
      <c r="D432" t="s">
        <v>19</v>
      </c>
      <c r="E432" t="s">
        <v>22</v>
      </c>
      <c r="F432">
        <v>33</v>
      </c>
      <c r="G432" t="str">
        <f>IF(Table2[[#This Row],[Age]]&gt;=30,"Experienced",IF(Table2[[#This Row],[Age]]&gt;=25,"Mid Level", "Entry Level"))</f>
        <v>Experienced</v>
      </c>
      <c r="H432" t="s">
        <v>29</v>
      </c>
      <c r="I432" t="s">
        <v>30</v>
      </c>
      <c r="J432" s="4">
        <v>45683</v>
      </c>
      <c r="K432" s="4" t="str">
        <f>TEXT(Table2[[#This Row],[Enrollment_date]],"Mmm")</f>
        <v>Jan</v>
      </c>
      <c r="L432" s="4" t="str">
        <f>TEXT(Table2[[#This Row],[Enrollment_date]],"Ddd")</f>
        <v>Sun</v>
      </c>
      <c r="M432" s="4" t="s">
        <v>34</v>
      </c>
      <c r="N432" t="s">
        <v>36</v>
      </c>
      <c r="O432" t="s">
        <v>38</v>
      </c>
      <c r="P432" s="8">
        <v>4</v>
      </c>
      <c r="Q432" s="6">
        <v>0.8125</v>
      </c>
      <c r="R432" s="6">
        <v>63</v>
      </c>
      <c r="S432" s="6" t="str">
        <f>IF(Table2[[#This Row],[Avg_score]]&gt;=79,"Distinction",IF(Table2[[#This Row],[Avg_score]]&gt;=60,"Pass","Fail"))</f>
        <v>Pass</v>
      </c>
      <c r="T432" t="s">
        <v>39</v>
      </c>
      <c r="U432">
        <f>IF(Table2[[#This Row],[Completed]]="Yes",1,0)</f>
        <v>1</v>
      </c>
      <c r="V432" t="s">
        <v>39</v>
      </c>
      <c r="W432" t="s">
        <v>39</v>
      </c>
      <c r="X432" s="4">
        <v>45838</v>
      </c>
    </row>
    <row r="433" spans="1:24" x14ac:dyDescent="0.3">
      <c r="A433">
        <v>432</v>
      </c>
      <c r="B433" s="8">
        <v>144</v>
      </c>
      <c r="C433">
        <v>3</v>
      </c>
      <c r="D433" t="s">
        <v>20</v>
      </c>
      <c r="E433" t="s">
        <v>22</v>
      </c>
      <c r="F433">
        <v>33</v>
      </c>
      <c r="G433" t="str">
        <f>IF(Table2[[#This Row],[Age]]&gt;=30,"Experienced",IF(Table2[[#This Row],[Age]]&gt;=25,"Mid Level", "Entry Level"))</f>
        <v>Experienced</v>
      </c>
      <c r="H433" t="s">
        <v>29</v>
      </c>
      <c r="I433" t="s">
        <v>30</v>
      </c>
      <c r="J433" s="4">
        <v>45683</v>
      </c>
      <c r="K433" s="4" t="str">
        <f>TEXT(Table2[[#This Row],[Enrollment_date]],"Mmm")</f>
        <v>Jan</v>
      </c>
      <c r="L433" s="4" t="str">
        <f>TEXT(Table2[[#This Row],[Enrollment_date]],"Ddd")</f>
        <v>Sun</v>
      </c>
      <c r="M433" s="4" t="s">
        <v>34</v>
      </c>
      <c r="N433" t="s">
        <v>37</v>
      </c>
      <c r="O433" t="s">
        <v>38</v>
      </c>
      <c r="P433" s="8">
        <v>4</v>
      </c>
      <c r="Q433" s="6">
        <v>0.79166666666666663</v>
      </c>
      <c r="R433" s="6">
        <v>79</v>
      </c>
      <c r="S433" s="6" t="str">
        <f>IF(Table2[[#This Row],[Avg_score]]&gt;=79,"Distinction",IF(Table2[[#This Row],[Avg_score]]&gt;=60,"Pass","Fail"))</f>
        <v>Distinction</v>
      </c>
      <c r="T433" t="s">
        <v>39</v>
      </c>
      <c r="U433">
        <f>IF(Table2[[#This Row],[Completed]]="Yes",1,0)</f>
        <v>1</v>
      </c>
      <c r="V433" t="s">
        <v>39</v>
      </c>
      <c r="W433" t="s">
        <v>39</v>
      </c>
      <c r="X433" s="4">
        <v>45838</v>
      </c>
    </row>
    <row r="434" spans="1:24" x14ac:dyDescent="0.3">
      <c r="A434">
        <v>433</v>
      </c>
      <c r="B434" s="8">
        <v>145</v>
      </c>
      <c r="C434">
        <v>1</v>
      </c>
      <c r="D434" t="s">
        <v>19</v>
      </c>
      <c r="E434" t="s">
        <v>22</v>
      </c>
      <c r="F434">
        <v>27</v>
      </c>
      <c r="G434" t="str">
        <f>IF(Table2[[#This Row],[Age]]&gt;=30,"Experienced",IF(Table2[[#This Row],[Age]]&gt;=25,"Mid Level", "Entry Level"))</f>
        <v>Mid Level</v>
      </c>
      <c r="H434" t="s">
        <v>28</v>
      </c>
      <c r="I434" t="s">
        <v>30</v>
      </c>
      <c r="J434" s="4">
        <v>45703</v>
      </c>
      <c r="K434" s="4" t="str">
        <f>TEXT(Table2[[#This Row],[Enrollment_date]],"Mmm")</f>
        <v>Feb</v>
      </c>
      <c r="L434" s="4" t="str">
        <f>TEXT(Table2[[#This Row],[Enrollment_date]],"Ddd")</f>
        <v>Sat</v>
      </c>
      <c r="M434" s="4" t="s">
        <v>34</v>
      </c>
      <c r="N434" t="s">
        <v>35</v>
      </c>
      <c r="O434" t="s">
        <v>38</v>
      </c>
      <c r="P434" s="8">
        <v>4</v>
      </c>
      <c r="Q434" s="6">
        <v>0.85416666666666663</v>
      </c>
      <c r="R434" s="6">
        <v>65</v>
      </c>
      <c r="S434" s="6" t="str">
        <f>IF(Table2[[#This Row],[Avg_score]]&gt;=79,"Distinction",IF(Table2[[#This Row],[Avg_score]]&gt;=60,"Pass","Fail"))</f>
        <v>Pass</v>
      </c>
      <c r="T434" t="s">
        <v>39</v>
      </c>
      <c r="U434">
        <f>IF(Table2[[#This Row],[Completed]]="Yes",1,0)</f>
        <v>1</v>
      </c>
      <c r="V434" t="s">
        <v>39</v>
      </c>
      <c r="W434" t="s">
        <v>39</v>
      </c>
      <c r="X434" s="4">
        <v>45838</v>
      </c>
    </row>
    <row r="435" spans="1:24" x14ac:dyDescent="0.3">
      <c r="A435">
        <v>434</v>
      </c>
      <c r="B435" s="8">
        <v>145</v>
      </c>
      <c r="C435">
        <v>2</v>
      </c>
      <c r="D435" t="s">
        <v>19</v>
      </c>
      <c r="E435" t="s">
        <v>22</v>
      </c>
      <c r="F435">
        <v>27</v>
      </c>
      <c r="G435" t="str">
        <f>IF(Table2[[#This Row],[Age]]&gt;=30,"Experienced",IF(Table2[[#This Row],[Age]]&gt;=25,"Mid Level", "Entry Level"))</f>
        <v>Mid Level</v>
      </c>
      <c r="H435" t="s">
        <v>28</v>
      </c>
      <c r="I435" t="s">
        <v>30</v>
      </c>
      <c r="J435" s="4">
        <v>45703</v>
      </c>
      <c r="K435" s="4" t="str">
        <f>TEXT(Table2[[#This Row],[Enrollment_date]],"Mmm")</f>
        <v>Feb</v>
      </c>
      <c r="L435" s="4" t="str">
        <f>TEXT(Table2[[#This Row],[Enrollment_date]],"Ddd")</f>
        <v>Sat</v>
      </c>
      <c r="M435" s="4" t="s">
        <v>34</v>
      </c>
      <c r="N435" t="s">
        <v>36</v>
      </c>
      <c r="O435" t="s">
        <v>38</v>
      </c>
      <c r="P435" s="8">
        <v>4</v>
      </c>
      <c r="Q435" s="6">
        <v>0.89583333333333337</v>
      </c>
      <c r="R435" s="6">
        <v>48.5</v>
      </c>
      <c r="S435" s="6" t="str">
        <f>IF(Table2[[#This Row],[Avg_score]]&gt;=79,"Distinction",IF(Table2[[#This Row],[Avg_score]]&gt;=60,"Pass","Fail"))</f>
        <v>Fail</v>
      </c>
      <c r="T435" t="s">
        <v>39</v>
      </c>
      <c r="U435">
        <f>IF(Table2[[#This Row],[Completed]]="Yes",1,0)</f>
        <v>1</v>
      </c>
      <c r="V435" t="s">
        <v>39</v>
      </c>
      <c r="W435" t="s">
        <v>39</v>
      </c>
      <c r="X435" s="4">
        <v>45838</v>
      </c>
    </row>
    <row r="436" spans="1:24" x14ac:dyDescent="0.3">
      <c r="A436">
        <v>435</v>
      </c>
      <c r="B436" s="8">
        <v>145</v>
      </c>
      <c r="C436">
        <v>3</v>
      </c>
      <c r="D436" t="s">
        <v>20</v>
      </c>
      <c r="E436" t="s">
        <v>22</v>
      </c>
      <c r="F436">
        <v>27</v>
      </c>
      <c r="G436" t="str">
        <f>IF(Table2[[#This Row],[Age]]&gt;=30,"Experienced",IF(Table2[[#This Row],[Age]]&gt;=25,"Mid Level", "Entry Level"))</f>
        <v>Mid Level</v>
      </c>
      <c r="H436" t="s">
        <v>28</v>
      </c>
      <c r="I436" t="s">
        <v>30</v>
      </c>
      <c r="J436" s="4">
        <v>45703</v>
      </c>
      <c r="K436" s="4" t="str">
        <f>TEXT(Table2[[#This Row],[Enrollment_date]],"Mmm")</f>
        <v>Feb</v>
      </c>
      <c r="L436" s="4" t="str">
        <f>TEXT(Table2[[#This Row],[Enrollment_date]],"Ddd")</f>
        <v>Sat</v>
      </c>
      <c r="M436" s="4" t="s">
        <v>34</v>
      </c>
      <c r="N436" t="s">
        <v>37</v>
      </c>
      <c r="O436" t="s">
        <v>38</v>
      </c>
      <c r="P436" s="8">
        <v>4</v>
      </c>
      <c r="Q436" s="6">
        <v>0.72916666666666663</v>
      </c>
      <c r="R436" s="6">
        <v>57</v>
      </c>
      <c r="S436" s="6" t="str">
        <f>IF(Table2[[#This Row],[Avg_score]]&gt;=79,"Distinction",IF(Table2[[#This Row],[Avg_score]]&gt;=60,"Pass","Fail"))</f>
        <v>Fail</v>
      </c>
      <c r="T436" t="s">
        <v>39</v>
      </c>
      <c r="U436">
        <f>IF(Table2[[#This Row],[Completed]]="Yes",1,0)</f>
        <v>1</v>
      </c>
      <c r="V436" t="s">
        <v>39</v>
      </c>
      <c r="W436" t="s">
        <v>39</v>
      </c>
      <c r="X436" s="4">
        <v>45838</v>
      </c>
    </row>
    <row r="437" spans="1:24" x14ac:dyDescent="0.3">
      <c r="A437">
        <v>436</v>
      </c>
      <c r="B437" s="8">
        <v>146</v>
      </c>
      <c r="C437">
        <v>1</v>
      </c>
      <c r="D437" t="s">
        <v>19</v>
      </c>
      <c r="E437" t="s">
        <v>23</v>
      </c>
      <c r="F437">
        <v>18</v>
      </c>
      <c r="G437" t="str">
        <f>IF(Table2[[#This Row],[Age]]&gt;=30,"Experienced",IF(Table2[[#This Row],[Age]]&gt;=25,"Mid Level", "Entry Level"))</f>
        <v>Entry Level</v>
      </c>
      <c r="H437" t="s">
        <v>24</v>
      </c>
      <c r="I437" t="s">
        <v>32</v>
      </c>
      <c r="J437" s="4">
        <v>45728</v>
      </c>
      <c r="K437" s="4" t="str">
        <f>TEXT(Table2[[#This Row],[Enrollment_date]],"Mmm")</f>
        <v>Mar</v>
      </c>
      <c r="L437" s="4" t="str">
        <f>TEXT(Table2[[#This Row],[Enrollment_date]],"Ddd")</f>
        <v>Wed</v>
      </c>
      <c r="M437" s="4" t="s">
        <v>34</v>
      </c>
      <c r="N437" t="s">
        <v>35</v>
      </c>
      <c r="O437" t="s">
        <v>38</v>
      </c>
      <c r="P437" s="8">
        <v>4</v>
      </c>
      <c r="Q437" s="6">
        <v>0.83333333333333337</v>
      </c>
      <c r="R437" s="6">
        <v>73.5</v>
      </c>
      <c r="S437" s="6" t="str">
        <f>IF(Table2[[#This Row],[Avg_score]]&gt;=79,"Distinction",IF(Table2[[#This Row],[Avg_score]]&gt;=60,"Pass","Fail"))</f>
        <v>Pass</v>
      </c>
      <c r="T437" t="s">
        <v>39</v>
      </c>
      <c r="U437">
        <f>IF(Table2[[#This Row],[Completed]]="Yes",1,0)</f>
        <v>1</v>
      </c>
      <c r="V437" t="s">
        <v>40</v>
      </c>
      <c r="W437" t="s">
        <v>40</v>
      </c>
      <c r="X437" s="4">
        <v>45838</v>
      </c>
    </row>
    <row r="438" spans="1:24" x14ac:dyDescent="0.3">
      <c r="A438">
        <v>437</v>
      </c>
      <c r="B438" s="8">
        <v>146</v>
      </c>
      <c r="C438">
        <v>2</v>
      </c>
      <c r="D438" t="s">
        <v>19</v>
      </c>
      <c r="E438" t="s">
        <v>23</v>
      </c>
      <c r="F438">
        <v>18</v>
      </c>
      <c r="G438" t="str">
        <f>IF(Table2[[#This Row],[Age]]&gt;=30,"Experienced",IF(Table2[[#This Row],[Age]]&gt;=25,"Mid Level", "Entry Level"))</f>
        <v>Entry Level</v>
      </c>
      <c r="H438" t="s">
        <v>24</v>
      </c>
      <c r="I438" t="s">
        <v>32</v>
      </c>
      <c r="J438" s="4">
        <v>45728</v>
      </c>
      <c r="K438" s="4" t="str">
        <f>TEXT(Table2[[#This Row],[Enrollment_date]],"Mmm")</f>
        <v>Mar</v>
      </c>
      <c r="L438" s="4" t="str">
        <f>TEXT(Table2[[#This Row],[Enrollment_date]],"Ddd")</f>
        <v>Wed</v>
      </c>
      <c r="M438" s="4" t="s">
        <v>34</v>
      </c>
      <c r="N438" t="s">
        <v>36</v>
      </c>
      <c r="O438" t="s">
        <v>38</v>
      </c>
      <c r="P438" s="8">
        <v>4</v>
      </c>
      <c r="Q438" s="6">
        <v>0.85416666666666663</v>
      </c>
      <c r="R438" s="6">
        <v>71.5</v>
      </c>
      <c r="S438" s="6" t="str">
        <f>IF(Table2[[#This Row],[Avg_score]]&gt;=79,"Distinction",IF(Table2[[#This Row],[Avg_score]]&gt;=60,"Pass","Fail"))</f>
        <v>Pass</v>
      </c>
      <c r="T438" t="s">
        <v>39</v>
      </c>
      <c r="U438">
        <f>IF(Table2[[#This Row],[Completed]]="Yes",1,0)</f>
        <v>1</v>
      </c>
      <c r="V438" t="s">
        <v>40</v>
      </c>
      <c r="W438" t="s">
        <v>40</v>
      </c>
      <c r="X438" s="4">
        <v>45838</v>
      </c>
    </row>
    <row r="439" spans="1:24" x14ac:dyDescent="0.3">
      <c r="A439">
        <v>438</v>
      </c>
      <c r="B439" s="8">
        <v>146</v>
      </c>
      <c r="C439">
        <v>3</v>
      </c>
      <c r="D439" t="s">
        <v>19</v>
      </c>
      <c r="E439" t="s">
        <v>23</v>
      </c>
      <c r="F439">
        <v>18</v>
      </c>
      <c r="G439" t="str">
        <f>IF(Table2[[#This Row],[Age]]&gt;=30,"Experienced",IF(Table2[[#This Row],[Age]]&gt;=25,"Mid Level", "Entry Level"))</f>
        <v>Entry Level</v>
      </c>
      <c r="H439" t="s">
        <v>24</v>
      </c>
      <c r="I439" t="s">
        <v>32</v>
      </c>
      <c r="J439" s="4">
        <v>45728</v>
      </c>
      <c r="K439" s="4" t="str">
        <f>TEXT(Table2[[#This Row],[Enrollment_date]],"Mmm")</f>
        <v>Mar</v>
      </c>
      <c r="L439" s="4" t="str">
        <f>TEXT(Table2[[#This Row],[Enrollment_date]],"Ddd")</f>
        <v>Wed</v>
      </c>
      <c r="M439" s="4" t="s">
        <v>34</v>
      </c>
      <c r="N439" t="s">
        <v>37</v>
      </c>
      <c r="O439" t="s">
        <v>38</v>
      </c>
      <c r="P439" s="8">
        <v>4</v>
      </c>
      <c r="Q439" s="6">
        <v>0.85416666666666663</v>
      </c>
      <c r="R439" s="6">
        <v>65</v>
      </c>
      <c r="S439" s="6" t="str">
        <f>IF(Table2[[#This Row],[Avg_score]]&gt;=79,"Distinction",IF(Table2[[#This Row],[Avg_score]]&gt;=60,"Pass","Fail"))</f>
        <v>Pass</v>
      </c>
      <c r="T439" t="s">
        <v>39</v>
      </c>
      <c r="U439">
        <f>IF(Table2[[#This Row],[Completed]]="Yes",1,0)</f>
        <v>1</v>
      </c>
      <c r="V439" t="s">
        <v>40</v>
      </c>
      <c r="W439" t="s">
        <v>40</v>
      </c>
      <c r="X439" s="4">
        <v>45838</v>
      </c>
    </row>
    <row r="440" spans="1:24" x14ac:dyDescent="0.3">
      <c r="A440">
        <v>439</v>
      </c>
      <c r="B440" s="8">
        <v>147</v>
      </c>
      <c r="C440">
        <v>1</v>
      </c>
      <c r="D440" t="s">
        <v>19</v>
      </c>
      <c r="E440" t="s">
        <v>22</v>
      </c>
      <c r="F440">
        <v>19</v>
      </c>
      <c r="G440" t="str">
        <f>IF(Table2[[#This Row],[Age]]&gt;=30,"Experienced",IF(Table2[[#This Row],[Age]]&gt;=25,"Mid Level", "Entry Level"))</f>
        <v>Entry Level</v>
      </c>
      <c r="H440" t="s">
        <v>26</v>
      </c>
      <c r="I440" t="s">
        <v>30</v>
      </c>
      <c r="J440" s="4">
        <v>45690</v>
      </c>
      <c r="K440" s="4" t="str">
        <f>TEXT(Table2[[#This Row],[Enrollment_date]],"Mmm")</f>
        <v>Feb</v>
      </c>
      <c r="L440" s="4" t="str">
        <f>TEXT(Table2[[#This Row],[Enrollment_date]],"Ddd")</f>
        <v>Sun</v>
      </c>
      <c r="M440" s="4" t="s">
        <v>34</v>
      </c>
      <c r="N440" t="s">
        <v>35</v>
      </c>
      <c r="O440" t="s">
        <v>38</v>
      </c>
      <c r="P440" s="8">
        <v>4</v>
      </c>
      <c r="Q440" s="6">
        <v>0.875</v>
      </c>
      <c r="R440" s="6">
        <v>54.5</v>
      </c>
      <c r="S440" s="6" t="str">
        <f>IF(Table2[[#This Row],[Avg_score]]&gt;=79,"Distinction",IF(Table2[[#This Row],[Avg_score]]&gt;=60,"Pass","Fail"))</f>
        <v>Fail</v>
      </c>
      <c r="T440" t="s">
        <v>39</v>
      </c>
      <c r="U440">
        <f>IF(Table2[[#This Row],[Completed]]="Yes",1,0)</f>
        <v>1</v>
      </c>
      <c r="V440" t="s">
        <v>39</v>
      </c>
      <c r="W440" t="s">
        <v>40</v>
      </c>
      <c r="X440" s="4">
        <v>45838</v>
      </c>
    </row>
    <row r="441" spans="1:24" x14ac:dyDescent="0.3">
      <c r="A441">
        <v>440</v>
      </c>
      <c r="B441" s="8">
        <v>147</v>
      </c>
      <c r="C441">
        <v>2</v>
      </c>
      <c r="D441" t="s">
        <v>19</v>
      </c>
      <c r="E441" t="s">
        <v>22</v>
      </c>
      <c r="F441">
        <v>19</v>
      </c>
      <c r="G441" t="str">
        <f>IF(Table2[[#This Row],[Age]]&gt;=30,"Experienced",IF(Table2[[#This Row],[Age]]&gt;=25,"Mid Level", "Entry Level"))</f>
        <v>Entry Level</v>
      </c>
      <c r="H441" t="s">
        <v>26</v>
      </c>
      <c r="I441" t="s">
        <v>30</v>
      </c>
      <c r="J441" s="4">
        <v>45690</v>
      </c>
      <c r="K441" s="4" t="str">
        <f>TEXT(Table2[[#This Row],[Enrollment_date]],"Mmm")</f>
        <v>Feb</v>
      </c>
      <c r="L441" s="4" t="str">
        <f>TEXT(Table2[[#This Row],[Enrollment_date]],"Ddd")</f>
        <v>Sun</v>
      </c>
      <c r="M441" s="4" t="s">
        <v>34</v>
      </c>
      <c r="N441" t="s">
        <v>36</v>
      </c>
      <c r="O441" t="s">
        <v>38</v>
      </c>
      <c r="P441" s="8">
        <v>4</v>
      </c>
      <c r="Q441" s="6">
        <v>0.85416666666666663</v>
      </c>
      <c r="R441" s="6">
        <v>80.5</v>
      </c>
      <c r="S441" s="6" t="str">
        <f>IF(Table2[[#This Row],[Avg_score]]&gt;=79,"Distinction",IF(Table2[[#This Row],[Avg_score]]&gt;=60,"Pass","Fail"))</f>
        <v>Distinction</v>
      </c>
      <c r="T441" t="s">
        <v>39</v>
      </c>
      <c r="U441">
        <f>IF(Table2[[#This Row],[Completed]]="Yes",1,0)</f>
        <v>1</v>
      </c>
      <c r="V441" t="s">
        <v>39</v>
      </c>
      <c r="W441" t="s">
        <v>40</v>
      </c>
      <c r="X441" s="4">
        <v>45838</v>
      </c>
    </row>
    <row r="442" spans="1:24" x14ac:dyDescent="0.3">
      <c r="A442">
        <v>441</v>
      </c>
      <c r="B442" s="8">
        <v>147</v>
      </c>
      <c r="C442">
        <v>3</v>
      </c>
      <c r="D442" t="s">
        <v>21</v>
      </c>
      <c r="E442" t="s">
        <v>22</v>
      </c>
      <c r="F442">
        <v>19</v>
      </c>
      <c r="G442" t="str">
        <f>IF(Table2[[#This Row],[Age]]&gt;=30,"Experienced",IF(Table2[[#This Row],[Age]]&gt;=25,"Mid Level", "Entry Level"))</f>
        <v>Entry Level</v>
      </c>
      <c r="H442" t="s">
        <v>26</v>
      </c>
      <c r="I442" t="s">
        <v>30</v>
      </c>
      <c r="J442" s="4">
        <v>45690</v>
      </c>
      <c r="K442" s="4" t="str">
        <f>TEXT(Table2[[#This Row],[Enrollment_date]],"Mmm")</f>
        <v>Feb</v>
      </c>
      <c r="L442" s="4" t="str">
        <f>TEXT(Table2[[#This Row],[Enrollment_date]],"Ddd")</f>
        <v>Sun</v>
      </c>
      <c r="M442" s="4" t="s">
        <v>34</v>
      </c>
      <c r="N442" t="s">
        <v>37</v>
      </c>
      <c r="O442" t="s">
        <v>38</v>
      </c>
      <c r="P442" s="8">
        <v>4</v>
      </c>
      <c r="Q442" s="6">
        <v>0.83333333333333337</v>
      </c>
      <c r="R442" s="6">
        <v>73.5</v>
      </c>
      <c r="S442" s="6" t="str">
        <f>IF(Table2[[#This Row],[Avg_score]]&gt;=79,"Distinction",IF(Table2[[#This Row],[Avg_score]]&gt;=60,"Pass","Fail"))</f>
        <v>Pass</v>
      </c>
      <c r="T442" t="s">
        <v>39</v>
      </c>
      <c r="U442">
        <f>IF(Table2[[#This Row],[Completed]]="Yes",1,0)</f>
        <v>1</v>
      </c>
      <c r="V442" t="s">
        <v>39</v>
      </c>
      <c r="W442" t="s">
        <v>40</v>
      </c>
      <c r="X442" s="4">
        <v>45838</v>
      </c>
    </row>
    <row r="443" spans="1:24" x14ac:dyDescent="0.3">
      <c r="A443">
        <v>442</v>
      </c>
      <c r="B443" s="8">
        <v>148</v>
      </c>
      <c r="C443">
        <v>1</v>
      </c>
      <c r="D443" t="s">
        <v>21</v>
      </c>
      <c r="E443" t="s">
        <v>23</v>
      </c>
      <c r="F443">
        <v>21</v>
      </c>
      <c r="G443" t="str">
        <f>IF(Table2[[#This Row],[Age]]&gt;=30,"Experienced",IF(Table2[[#This Row],[Age]]&gt;=25,"Mid Level", "Entry Level"))</f>
        <v>Entry Level</v>
      </c>
      <c r="H443" t="s">
        <v>25</v>
      </c>
      <c r="I443" t="s">
        <v>30</v>
      </c>
      <c r="J443" s="4">
        <v>45778</v>
      </c>
      <c r="K443" s="4" t="str">
        <f>TEXT(Table2[[#This Row],[Enrollment_date]],"Mmm")</f>
        <v>May</v>
      </c>
      <c r="L443" s="4" t="str">
        <f>TEXT(Table2[[#This Row],[Enrollment_date]],"Ddd")</f>
        <v>Thu</v>
      </c>
      <c r="M443" s="4" t="s">
        <v>34</v>
      </c>
      <c r="N443" t="s">
        <v>35</v>
      </c>
      <c r="O443" t="s">
        <v>38</v>
      </c>
      <c r="P443" s="8">
        <v>4</v>
      </c>
      <c r="Q443" s="6">
        <v>0.85416666666666663</v>
      </c>
      <c r="R443" s="6">
        <v>68.5</v>
      </c>
      <c r="S443" s="6" t="str">
        <f>IF(Table2[[#This Row],[Avg_score]]&gt;=79,"Distinction",IF(Table2[[#This Row],[Avg_score]]&gt;=60,"Pass","Fail"))</f>
        <v>Pass</v>
      </c>
      <c r="T443" t="s">
        <v>39</v>
      </c>
      <c r="U443">
        <f>IF(Table2[[#This Row],[Completed]]="Yes",1,0)</f>
        <v>1</v>
      </c>
      <c r="V443" t="s">
        <v>40</v>
      </c>
      <c r="W443" t="s">
        <v>39</v>
      </c>
      <c r="X443" s="4">
        <v>45838</v>
      </c>
    </row>
    <row r="444" spans="1:24" x14ac:dyDescent="0.3">
      <c r="A444">
        <v>443</v>
      </c>
      <c r="B444" s="8">
        <v>148</v>
      </c>
      <c r="C444">
        <v>2</v>
      </c>
      <c r="D444" t="s">
        <v>19</v>
      </c>
      <c r="E444" t="s">
        <v>23</v>
      </c>
      <c r="F444">
        <v>21</v>
      </c>
      <c r="G444" t="str">
        <f>IF(Table2[[#This Row],[Age]]&gt;=30,"Experienced",IF(Table2[[#This Row],[Age]]&gt;=25,"Mid Level", "Entry Level"))</f>
        <v>Entry Level</v>
      </c>
      <c r="H444" t="s">
        <v>25</v>
      </c>
      <c r="I444" t="s">
        <v>30</v>
      </c>
      <c r="J444" s="4">
        <v>45778</v>
      </c>
      <c r="K444" s="4" t="str">
        <f>TEXT(Table2[[#This Row],[Enrollment_date]],"Mmm")</f>
        <v>May</v>
      </c>
      <c r="L444" s="4" t="str">
        <f>TEXT(Table2[[#This Row],[Enrollment_date]],"Ddd")</f>
        <v>Thu</v>
      </c>
      <c r="M444" s="4" t="s">
        <v>34</v>
      </c>
      <c r="N444" t="s">
        <v>36</v>
      </c>
      <c r="O444" t="s">
        <v>38</v>
      </c>
      <c r="P444" s="8">
        <v>4</v>
      </c>
      <c r="Q444" s="6">
        <v>0.95833333333333337</v>
      </c>
      <c r="R444" s="6">
        <v>84</v>
      </c>
      <c r="S444" s="6" t="str">
        <f>IF(Table2[[#This Row],[Avg_score]]&gt;=79,"Distinction",IF(Table2[[#This Row],[Avg_score]]&gt;=60,"Pass","Fail"))</f>
        <v>Distinction</v>
      </c>
      <c r="T444" t="s">
        <v>39</v>
      </c>
      <c r="U444">
        <f>IF(Table2[[#This Row],[Completed]]="Yes",1,0)</f>
        <v>1</v>
      </c>
      <c r="V444" t="s">
        <v>40</v>
      </c>
      <c r="W444" t="s">
        <v>39</v>
      </c>
      <c r="X444" s="4">
        <v>45838</v>
      </c>
    </row>
    <row r="445" spans="1:24" x14ac:dyDescent="0.3">
      <c r="A445">
        <v>444</v>
      </c>
      <c r="B445" s="8">
        <v>148</v>
      </c>
      <c r="C445">
        <v>3</v>
      </c>
      <c r="D445" t="s">
        <v>19</v>
      </c>
      <c r="E445" t="s">
        <v>23</v>
      </c>
      <c r="F445">
        <v>21</v>
      </c>
      <c r="G445" t="str">
        <f>IF(Table2[[#This Row],[Age]]&gt;=30,"Experienced",IF(Table2[[#This Row],[Age]]&gt;=25,"Mid Level", "Entry Level"))</f>
        <v>Entry Level</v>
      </c>
      <c r="H445" t="s">
        <v>25</v>
      </c>
      <c r="I445" t="s">
        <v>30</v>
      </c>
      <c r="J445" s="4">
        <v>45778</v>
      </c>
      <c r="K445" s="4" t="str">
        <f>TEXT(Table2[[#This Row],[Enrollment_date]],"Mmm")</f>
        <v>May</v>
      </c>
      <c r="L445" s="4" t="str">
        <f>TEXT(Table2[[#This Row],[Enrollment_date]],"Ddd")</f>
        <v>Thu</v>
      </c>
      <c r="M445" s="4" t="s">
        <v>34</v>
      </c>
      <c r="N445" t="s">
        <v>37</v>
      </c>
      <c r="O445" t="s">
        <v>38</v>
      </c>
      <c r="P445" s="8">
        <v>4</v>
      </c>
      <c r="Q445" s="6">
        <v>0.9375</v>
      </c>
      <c r="R445" s="6">
        <v>74</v>
      </c>
      <c r="S445" s="6" t="str">
        <f>IF(Table2[[#This Row],[Avg_score]]&gt;=79,"Distinction",IF(Table2[[#This Row],[Avg_score]]&gt;=60,"Pass","Fail"))</f>
        <v>Pass</v>
      </c>
      <c r="T445" t="s">
        <v>39</v>
      </c>
      <c r="U445">
        <f>IF(Table2[[#This Row],[Completed]]="Yes",1,0)</f>
        <v>1</v>
      </c>
      <c r="V445" t="s">
        <v>40</v>
      </c>
      <c r="W445" t="s">
        <v>39</v>
      </c>
      <c r="X445" s="4">
        <v>45838</v>
      </c>
    </row>
    <row r="446" spans="1:24" x14ac:dyDescent="0.3">
      <c r="A446">
        <v>445</v>
      </c>
      <c r="B446" s="8">
        <v>149</v>
      </c>
      <c r="C446">
        <v>1</v>
      </c>
      <c r="D446" t="s">
        <v>21</v>
      </c>
      <c r="E446" t="s">
        <v>23</v>
      </c>
      <c r="F446">
        <v>32</v>
      </c>
      <c r="G446" t="str">
        <f>IF(Table2[[#This Row],[Age]]&gt;=30,"Experienced",IF(Table2[[#This Row],[Age]]&gt;=25,"Mid Level", "Entry Level"))</f>
        <v>Experienced</v>
      </c>
      <c r="H446" t="s">
        <v>29</v>
      </c>
      <c r="I446" t="s">
        <v>32</v>
      </c>
      <c r="J446" s="4">
        <v>45671</v>
      </c>
      <c r="K446" s="4" t="str">
        <f>TEXT(Table2[[#This Row],[Enrollment_date]],"Mmm")</f>
        <v>Jan</v>
      </c>
      <c r="L446" s="4" t="str">
        <f>TEXT(Table2[[#This Row],[Enrollment_date]],"Ddd")</f>
        <v>Tue</v>
      </c>
      <c r="M446" s="4" t="s">
        <v>34</v>
      </c>
      <c r="N446" t="s">
        <v>35</v>
      </c>
      <c r="O446" t="s">
        <v>38</v>
      </c>
      <c r="P446" s="8">
        <v>4</v>
      </c>
      <c r="Q446" s="6">
        <v>0.9375</v>
      </c>
      <c r="R446" s="6">
        <v>54.5</v>
      </c>
      <c r="S446" s="6" t="str">
        <f>IF(Table2[[#This Row],[Avg_score]]&gt;=79,"Distinction",IF(Table2[[#This Row],[Avg_score]]&gt;=60,"Pass","Fail"))</f>
        <v>Fail</v>
      </c>
      <c r="T446" t="s">
        <v>40</v>
      </c>
      <c r="U446">
        <f>IF(Table2[[#This Row],[Completed]]="Yes",1,0)</f>
        <v>0</v>
      </c>
      <c r="V446" t="s">
        <v>40</v>
      </c>
      <c r="W446" t="s">
        <v>40</v>
      </c>
      <c r="X446" s="4">
        <v>45838</v>
      </c>
    </row>
    <row r="447" spans="1:24" x14ac:dyDescent="0.3">
      <c r="A447">
        <v>446</v>
      </c>
      <c r="B447" s="8">
        <v>149</v>
      </c>
      <c r="C447">
        <v>2</v>
      </c>
      <c r="D447" t="s">
        <v>19</v>
      </c>
      <c r="E447" t="s">
        <v>23</v>
      </c>
      <c r="F447">
        <v>32</v>
      </c>
      <c r="G447" t="str">
        <f>IF(Table2[[#This Row],[Age]]&gt;=30,"Experienced",IF(Table2[[#This Row],[Age]]&gt;=25,"Mid Level", "Entry Level"))</f>
        <v>Experienced</v>
      </c>
      <c r="H447" t="s">
        <v>29</v>
      </c>
      <c r="I447" t="s">
        <v>32</v>
      </c>
      <c r="J447" s="4">
        <v>45671</v>
      </c>
      <c r="K447" s="4" t="str">
        <f>TEXT(Table2[[#This Row],[Enrollment_date]],"Mmm")</f>
        <v>Jan</v>
      </c>
      <c r="L447" s="4" t="str">
        <f>TEXT(Table2[[#This Row],[Enrollment_date]],"Ddd")</f>
        <v>Tue</v>
      </c>
      <c r="M447" s="4" t="s">
        <v>34</v>
      </c>
      <c r="N447" t="s">
        <v>36</v>
      </c>
      <c r="O447" t="s">
        <v>38</v>
      </c>
      <c r="P447" s="8">
        <v>4</v>
      </c>
      <c r="Q447" s="6">
        <v>0.89583333333333337</v>
      </c>
      <c r="R447" s="6">
        <v>81</v>
      </c>
      <c r="S447" s="6" t="str">
        <f>IF(Table2[[#This Row],[Avg_score]]&gt;=79,"Distinction",IF(Table2[[#This Row],[Avg_score]]&gt;=60,"Pass","Fail"))</f>
        <v>Distinction</v>
      </c>
      <c r="T447" t="s">
        <v>40</v>
      </c>
      <c r="U447">
        <f>IF(Table2[[#This Row],[Completed]]="Yes",1,0)</f>
        <v>0</v>
      </c>
      <c r="V447" t="s">
        <v>40</v>
      </c>
      <c r="W447" t="s">
        <v>40</v>
      </c>
      <c r="X447" s="4">
        <v>45838</v>
      </c>
    </row>
    <row r="448" spans="1:24" x14ac:dyDescent="0.3">
      <c r="A448">
        <v>447</v>
      </c>
      <c r="B448" s="8">
        <v>149</v>
      </c>
      <c r="C448">
        <v>3</v>
      </c>
      <c r="D448" t="s">
        <v>21</v>
      </c>
      <c r="E448" t="s">
        <v>23</v>
      </c>
      <c r="F448">
        <v>32</v>
      </c>
      <c r="G448" t="str">
        <f>IF(Table2[[#This Row],[Age]]&gt;=30,"Experienced",IF(Table2[[#This Row],[Age]]&gt;=25,"Mid Level", "Entry Level"))</f>
        <v>Experienced</v>
      </c>
      <c r="H448" t="s">
        <v>29</v>
      </c>
      <c r="I448" t="s">
        <v>32</v>
      </c>
      <c r="J448" s="4">
        <v>45671</v>
      </c>
      <c r="K448" s="4" t="str">
        <f>TEXT(Table2[[#This Row],[Enrollment_date]],"Mmm")</f>
        <v>Jan</v>
      </c>
      <c r="L448" s="4" t="str">
        <f>TEXT(Table2[[#This Row],[Enrollment_date]],"Ddd")</f>
        <v>Tue</v>
      </c>
      <c r="M448" s="4" t="s">
        <v>34</v>
      </c>
      <c r="N448" t="s">
        <v>37</v>
      </c>
      <c r="O448" t="s">
        <v>38</v>
      </c>
      <c r="P448" s="8">
        <v>4</v>
      </c>
      <c r="Q448" s="6">
        <v>0.85416666666666663</v>
      </c>
      <c r="R448" s="6">
        <v>68.5</v>
      </c>
      <c r="S448" s="6" t="str">
        <f>IF(Table2[[#This Row],[Avg_score]]&gt;=79,"Distinction",IF(Table2[[#This Row],[Avg_score]]&gt;=60,"Pass","Fail"))</f>
        <v>Pass</v>
      </c>
      <c r="T448" t="s">
        <v>40</v>
      </c>
      <c r="U448">
        <f>IF(Table2[[#This Row],[Completed]]="Yes",1,0)</f>
        <v>0</v>
      </c>
      <c r="V448" t="s">
        <v>40</v>
      </c>
      <c r="W448" t="s">
        <v>40</v>
      </c>
      <c r="X448" s="4">
        <v>45838</v>
      </c>
    </row>
    <row r="449" spans="1:24" x14ac:dyDescent="0.3">
      <c r="A449">
        <v>448</v>
      </c>
      <c r="B449" s="8">
        <v>150</v>
      </c>
      <c r="C449">
        <v>1</v>
      </c>
      <c r="D449" t="s">
        <v>19</v>
      </c>
      <c r="E449" t="s">
        <v>23</v>
      </c>
      <c r="F449">
        <v>33</v>
      </c>
      <c r="G449" t="str">
        <f>IF(Table2[[#This Row],[Age]]&gt;=30,"Experienced",IF(Table2[[#This Row],[Age]]&gt;=25,"Mid Level", "Entry Level"))</f>
        <v>Experienced</v>
      </c>
      <c r="H449" t="s">
        <v>25</v>
      </c>
      <c r="I449" t="s">
        <v>68</v>
      </c>
      <c r="J449" s="4">
        <v>45760</v>
      </c>
      <c r="K449" s="4" t="str">
        <f>TEXT(Table2[[#This Row],[Enrollment_date]],"Mmm")</f>
        <v>Apr</v>
      </c>
      <c r="L449" s="4" t="str">
        <f>TEXT(Table2[[#This Row],[Enrollment_date]],"Ddd")</f>
        <v>Sun</v>
      </c>
      <c r="M449" s="4" t="s">
        <v>34</v>
      </c>
      <c r="N449" t="s">
        <v>35</v>
      </c>
      <c r="O449" t="s">
        <v>38</v>
      </c>
      <c r="P449" s="8">
        <v>4</v>
      </c>
      <c r="Q449" s="6">
        <v>0.8125</v>
      </c>
      <c r="R449" s="6">
        <v>64</v>
      </c>
      <c r="S449" s="6" t="str">
        <f>IF(Table2[[#This Row],[Avg_score]]&gt;=79,"Distinction",IF(Table2[[#This Row],[Avg_score]]&gt;=60,"Pass","Fail"))</f>
        <v>Pass</v>
      </c>
      <c r="T449" t="s">
        <v>40</v>
      </c>
      <c r="U449">
        <f>IF(Table2[[#This Row],[Completed]]="Yes",1,0)</f>
        <v>0</v>
      </c>
      <c r="V449" t="s">
        <v>40</v>
      </c>
      <c r="W449" t="s">
        <v>40</v>
      </c>
      <c r="X449" s="4">
        <v>45838</v>
      </c>
    </row>
    <row r="450" spans="1:24" x14ac:dyDescent="0.3">
      <c r="A450">
        <v>449</v>
      </c>
      <c r="B450" s="8">
        <v>150</v>
      </c>
      <c r="C450">
        <v>2</v>
      </c>
      <c r="D450" t="s">
        <v>19</v>
      </c>
      <c r="E450" t="s">
        <v>23</v>
      </c>
      <c r="F450">
        <v>33</v>
      </c>
      <c r="G450" t="str">
        <f>IF(Table2[[#This Row],[Age]]&gt;=30,"Experienced",IF(Table2[[#This Row],[Age]]&gt;=25,"Mid Level", "Entry Level"))</f>
        <v>Experienced</v>
      </c>
      <c r="H450" t="s">
        <v>25</v>
      </c>
      <c r="I450" t="s">
        <v>68</v>
      </c>
      <c r="J450" s="4">
        <v>45760</v>
      </c>
      <c r="K450" s="4" t="str">
        <f>TEXT(Table2[[#This Row],[Enrollment_date]],"Mmm")</f>
        <v>Apr</v>
      </c>
      <c r="L450" s="4" t="str">
        <f>TEXT(Table2[[#This Row],[Enrollment_date]],"Ddd")</f>
        <v>Sun</v>
      </c>
      <c r="M450" s="4" t="s">
        <v>34</v>
      </c>
      <c r="N450" t="s">
        <v>36</v>
      </c>
      <c r="O450" t="s">
        <v>38</v>
      </c>
      <c r="P450" s="8">
        <v>4</v>
      </c>
      <c r="Q450" s="6">
        <v>0.83333333333333337</v>
      </c>
      <c r="R450" s="6">
        <v>78</v>
      </c>
      <c r="S450" s="6" t="str">
        <f>IF(Table2[[#This Row],[Avg_score]]&gt;=79,"Distinction",IF(Table2[[#This Row],[Avg_score]]&gt;=60,"Pass","Fail"))</f>
        <v>Pass</v>
      </c>
      <c r="T450" t="s">
        <v>40</v>
      </c>
      <c r="U450">
        <f>IF(Table2[[#This Row],[Completed]]="Yes",1,0)</f>
        <v>0</v>
      </c>
      <c r="V450" t="s">
        <v>40</v>
      </c>
      <c r="W450" t="s">
        <v>40</v>
      </c>
      <c r="X450" s="4">
        <v>45838</v>
      </c>
    </row>
    <row r="451" spans="1:24" x14ac:dyDescent="0.3">
      <c r="A451">
        <v>450</v>
      </c>
      <c r="B451" s="8">
        <v>150</v>
      </c>
      <c r="C451">
        <v>3</v>
      </c>
      <c r="D451" t="s">
        <v>19</v>
      </c>
      <c r="E451" t="s">
        <v>23</v>
      </c>
      <c r="F451">
        <v>33</v>
      </c>
      <c r="G451" t="str">
        <f>IF(Table2[[#This Row],[Age]]&gt;=30,"Experienced",IF(Table2[[#This Row],[Age]]&gt;=25,"Mid Level", "Entry Level"))</f>
        <v>Experienced</v>
      </c>
      <c r="H451" t="s">
        <v>25</v>
      </c>
      <c r="I451" t="s">
        <v>68</v>
      </c>
      <c r="J451" s="4">
        <v>45760</v>
      </c>
      <c r="K451" s="4" t="str">
        <f>TEXT(Table2[[#This Row],[Enrollment_date]],"Mmm")</f>
        <v>Apr</v>
      </c>
      <c r="L451" s="4" t="str">
        <f>TEXT(Table2[[#This Row],[Enrollment_date]],"Ddd")</f>
        <v>Sun</v>
      </c>
      <c r="M451" s="4" t="s">
        <v>34</v>
      </c>
      <c r="N451" t="s">
        <v>37</v>
      </c>
      <c r="O451" t="s">
        <v>38</v>
      </c>
      <c r="P451" s="8">
        <v>4</v>
      </c>
      <c r="Q451" s="6">
        <v>0.83333333333333337</v>
      </c>
      <c r="R451" s="6">
        <v>78.5</v>
      </c>
      <c r="S451" s="6" t="str">
        <f>IF(Table2[[#This Row],[Avg_score]]&gt;=79,"Distinction",IF(Table2[[#This Row],[Avg_score]]&gt;=60,"Pass","Fail"))</f>
        <v>Pass</v>
      </c>
      <c r="T451" t="s">
        <v>40</v>
      </c>
      <c r="U451">
        <f>IF(Table2[[#This Row],[Completed]]="Yes",1,0)</f>
        <v>0</v>
      </c>
      <c r="V451" t="s">
        <v>40</v>
      </c>
      <c r="W451" t="s">
        <v>40</v>
      </c>
      <c r="X451" s="4">
        <v>45838</v>
      </c>
    </row>
    <row r="452" spans="1:24" x14ac:dyDescent="0.3">
      <c r="A452">
        <v>451</v>
      </c>
      <c r="B452" s="8">
        <v>151</v>
      </c>
      <c r="C452">
        <v>1</v>
      </c>
      <c r="D452" t="s">
        <v>19</v>
      </c>
      <c r="E452" t="s">
        <v>23</v>
      </c>
      <c r="F452">
        <v>20</v>
      </c>
      <c r="G452" t="str">
        <f>IF(Table2[[#This Row],[Age]]&gt;=30,"Experienced",IF(Table2[[#This Row],[Age]]&gt;=25,"Mid Level", "Entry Level"))</f>
        <v>Entry Level</v>
      </c>
      <c r="H452" t="s">
        <v>26</v>
      </c>
      <c r="I452" t="s">
        <v>68</v>
      </c>
      <c r="J452" s="4">
        <v>45696</v>
      </c>
      <c r="K452" s="4" t="str">
        <f>TEXT(Table2[[#This Row],[Enrollment_date]],"Mmm")</f>
        <v>Feb</v>
      </c>
      <c r="L452" s="4" t="str">
        <f>TEXT(Table2[[#This Row],[Enrollment_date]],"Ddd")</f>
        <v>Sat</v>
      </c>
      <c r="M452" s="4" t="s">
        <v>34</v>
      </c>
      <c r="N452" t="s">
        <v>35</v>
      </c>
      <c r="O452" t="s">
        <v>38</v>
      </c>
      <c r="P452" s="8">
        <v>4</v>
      </c>
      <c r="Q452" s="6">
        <v>0.79166666666666663</v>
      </c>
      <c r="R452" s="6">
        <v>62.5</v>
      </c>
      <c r="S452" s="6" t="str">
        <f>IF(Table2[[#This Row],[Avg_score]]&gt;=79,"Distinction",IF(Table2[[#This Row],[Avg_score]]&gt;=60,"Pass","Fail"))</f>
        <v>Pass</v>
      </c>
      <c r="T452" t="s">
        <v>39</v>
      </c>
      <c r="U452">
        <f>IF(Table2[[#This Row],[Completed]]="Yes",1,0)</f>
        <v>1</v>
      </c>
      <c r="V452" t="s">
        <v>39</v>
      </c>
      <c r="W452" t="s">
        <v>40</v>
      </c>
      <c r="X452" s="4">
        <v>45838</v>
      </c>
    </row>
    <row r="453" spans="1:24" x14ac:dyDescent="0.3">
      <c r="A453">
        <v>452</v>
      </c>
      <c r="B453" s="8">
        <v>151</v>
      </c>
      <c r="C453">
        <v>2</v>
      </c>
      <c r="D453" t="s">
        <v>19</v>
      </c>
      <c r="E453" t="s">
        <v>23</v>
      </c>
      <c r="F453">
        <v>20</v>
      </c>
      <c r="G453" t="str">
        <f>IF(Table2[[#This Row],[Age]]&gt;=30,"Experienced",IF(Table2[[#This Row],[Age]]&gt;=25,"Mid Level", "Entry Level"))</f>
        <v>Entry Level</v>
      </c>
      <c r="H453" t="s">
        <v>26</v>
      </c>
      <c r="I453" t="s">
        <v>68</v>
      </c>
      <c r="J453" s="4">
        <v>45696</v>
      </c>
      <c r="K453" s="4" t="str">
        <f>TEXT(Table2[[#This Row],[Enrollment_date]],"Mmm")</f>
        <v>Feb</v>
      </c>
      <c r="L453" s="4" t="str">
        <f>TEXT(Table2[[#This Row],[Enrollment_date]],"Ddd")</f>
        <v>Sat</v>
      </c>
      <c r="M453" s="4" t="s">
        <v>34</v>
      </c>
      <c r="N453" t="s">
        <v>36</v>
      </c>
      <c r="O453" t="s">
        <v>38</v>
      </c>
      <c r="P453" s="8">
        <v>4</v>
      </c>
      <c r="Q453" s="6">
        <v>0.79166666666666663</v>
      </c>
      <c r="R453" s="6">
        <v>55.5</v>
      </c>
      <c r="S453" s="6" t="str">
        <f>IF(Table2[[#This Row],[Avg_score]]&gt;=79,"Distinction",IF(Table2[[#This Row],[Avg_score]]&gt;=60,"Pass","Fail"))</f>
        <v>Fail</v>
      </c>
      <c r="T453" t="s">
        <v>39</v>
      </c>
      <c r="U453">
        <f>IF(Table2[[#This Row],[Completed]]="Yes",1,0)</f>
        <v>1</v>
      </c>
      <c r="V453" t="s">
        <v>39</v>
      </c>
      <c r="W453" t="s">
        <v>40</v>
      </c>
      <c r="X453" s="4">
        <v>45838</v>
      </c>
    </row>
    <row r="454" spans="1:24" x14ac:dyDescent="0.3">
      <c r="A454">
        <v>453</v>
      </c>
      <c r="B454" s="8">
        <v>151</v>
      </c>
      <c r="C454">
        <v>3</v>
      </c>
      <c r="D454" t="s">
        <v>19</v>
      </c>
      <c r="E454" t="s">
        <v>23</v>
      </c>
      <c r="F454">
        <v>20</v>
      </c>
      <c r="G454" t="str">
        <f>IF(Table2[[#This Row],[Age]]&gt;=30,"Experienced",IF(Table2[[#This Row],[Age]]&gt;=25,"Mid Level", "Entry Level"))</f>
        <v>Entry Level</v>
      </c>
      <c r="H454" t="s">
        <v>26</v>
      </c>
      <c r="I454" t="s">
        <v>68</v>
      </c>
      <c r="J454" s="4">
        <v>45696</v>
      </c>
      <c r="K454" s="4" t="str">
        <f>TEXT(Table2[[#This Row],[Enrollment_date]],"Mmm")</f>
        <v>Feb</v>
      </c>
      <c r="L454" s="4" t="str">
        <f>TEXT(Table2[[#This Row],[Enrollment_date]],"Ddd")</f>
        <v>Sat</v>
      </c>
      <c r="M454" s="4" t="s">
        <v>34</v>
      </c>
      <c r="N454" t="s">
        <v>37</v>
      </c>
      <c r="O454" t="s">
        <v>38</v>
      </c>
      <c r="P454" s="8">
        <v>4</v>
      </c>
      <c r="Q454" s="6">
        <v>0.8125</v>
      </c>
      <c r="R454" s="6">
        <v>58.5</v>
      </c>
      <c r="S454" s="6" t="str">
        <f>IF(Table2[[#This Row],[Avg_score]]&gt;=79,"Distinction",IF(Table2[[#This Row],[Avg_score]]&gt;=60,"Pass","Fail"))</f>
        <v>Fail</v>
      </c>
      <c r="T454" t="s">
        <v>39</v>
      </c>
      <c r="U454">
        <f>IF(Table2[[#This Row],[Completed]]="Yes",1,0)</f>
        <v>1</v>
      </c>
      <c r="V454" t="s">
        <v>39</v>
      </c>
      <c r="W454" t="s">
        <v>40</v>
      </c>
      <c r="X454" s="4">
        <v>45838</v>
      </c>
    </row>
    <row r="455" spans="1:24" x14ac:dyDescent="0.3">
      <c r="A455">
        <v>454</v>
      </c>
      <c r="B455" s="8">
        <v>152</v>
      </c>
      <c r="C455">
        <v>1</v>
      </c>
      <c r="D455" t="s">
        <v>19</v>
      </c>
      <c r="E455" t="s">
        <v>22</v>
      </c>
      <c r="F455">
        <v>27</v>
      </c>
      <c r="G455" t="str">
        <f>IF(Table2[[#This Row],[Age]]&gt;=30,"Experienced",IF(Table2[[#This Row],[Age]]&gt;=25,"Mid Level", "Entry Level"))</f>
        <v>Mid Level</v>
      </c>
      <c r="H455" t="s">
        <v>25</v>
      </c>
      <c r="I455" t="s">
        <v>32</v>
      </c>
      <c r="J455" s="4">
        <v>45688</v>
      </c>
      <c r="K455" s="4" t="str">
        <f>TEXT(Table2[[#This Row],[Enrollment_date]],"Mmm")</f>
        <v>Jan</v>
      </c>
      <c r="L455" s="4" t="str">
        <f>TEXT(Table2[[#This Row],[Enrollment_date]],"Ddd")</f>
        <v>Fri</v>
      </c>
      <c r="M455" s="4" t="s">
        <v>34</v>
      </c>
      <c r="N455" t="s">
        <v>35</v>
      </c>
      <c r="O455" t="s">
        <v>38</v>
      </c>
      <c r="P455" s="8">
        <v>4</v>
      </c>
      <c r="Q455" s="6">
        <v>0.85416666666666663</v>
      </c>
      <c r="R455" s="6">
        <v>93</v>
      </c>
      <c r="S455" s="6" t="str">
        <f>IF(Table2[[#This Row],[Avg_score]]&gt;=79,"Distinction",IF(Table2[[#This Row],[Avg_score]]&gt;=60,"Pass","Fail"))</f>
        <v>Distinction</v>
      </c>
      <c r="T455" t="s">
        <v>39</v>
      </c>
      <c r="U455">
        <f>IF(Table2[[#This Row],[Completed]]="Yes",1,0)</f>
        <v>1</v>
      </c>
      <c r="V455" t="s">
        <v>39</v>
      </c>
      <c r="W455" t="s">
        <v>40</v>
      </c>
      <c r="X455" s="4">
        <v>45838</v>
      </c>
    </row>
    <row r="456" spans="1:24" x14ac:dyDescent="0.3">
      <c r="A456">
        <v>455</v>
      </c>
      <c r="B456" s="8">
        <v>152</v>
      </c>
      <c r="C456">
        <v>2</v>
      </c>
      <c r="D456" t="s">
        <v>19</v>
      </c>
      <c r="E456" t="s">
        <v>22</v>
      </c>
      <c r="F456">
        <v>27</v>
      </c>
      <c r="G456" t="str">
        <f>IF(Table2[[#This Row],[Age]]&gt;=30,"Experienced",IF(Table2[[#This Row],[Age]]&gt;=25,"Mid Level", "Entry Level"))</f>
        <v>Mid Level</v>
      </c>
      <c r="H456" t="s">
        <v>25</v>
      </c>
      <c r="I456" t="s">
        <v>32</v>
      </c>
      <c r="J456" s="4">
        <v>45688</v>
      </c>
      <c r="K456" s="4" t="str">
        <f>TEXT(Table2[[#This Row],[Enrollment_date]],"Mmm")</f>
        <v>Jan</v>
      </c>
      <c r="L456" s="4" t="str">
        <f>TEXT(Table2[[#This Row],[Enrollment_date]],"Ddd")</f>
        <v>Fri</v>
      </c>
      <c r="M456" s="4" t="s">
        <v>34</v>
      </c>
      <c r="N456" t="s">
        <v>36</v>
      </c>
      <c r="O456" t="s">
        <v>38</v>
      </c>
      <c r="P456" s="8">
        <v>4</v>
      </c>
      <c r="Q456" s="6">
        <v>0.6875</v>
      </c>
      <c r="R456" s="6">
        <v>75.5</v>
      </c>
      <c r="S456" s="6" t="str">
        <f>IF(Table2[[#This Row],[Avg_score]]&gt;=79,"Distinction",IF(Table2[[#This Row],[Avg_score]]&gt;=60,"Pass","Fail"))</f>
        <v>Pass</v>
      </c>
      <c r="T456" t="s">
        <v>39</v>
      </c>
      <c r="U456">
        <f>IF(Table2[[#This Row],[Completed]]="Yes",1,0)</f>
        <v>1</v>
      </c>
      <c r="V456" t="s">
        <v>39</v>
      </c>
      <c r="W456" t="s">
        <v>40</v>
      </c>
      <c r="X456" s="4">
        <v>45838</v>
      </c>
    </row>
    <row r="457" spans="1:24" x14ac:dyDescent="0.3">
      <c r="A457">
        <v>456</v>
      </c>
      <c r="B457" s="8">
        <v>152</v>
      </c>
      <c r="C457">
        <v>3</v>
      </c>
      <c r="D457" t="s">
        <v>19</v>
      </c>
      <c r="E457" t="s">
        <v>22</v>
      </c>
      <c r="F457">
        <v>27</v>
      </c>
      <c r="G457" t="str">
        <f>IF(Table2[[#This Row],[Age]]&gt;=30,"Experienced",IF(Table2[[#This Row],[Age]]&gt;=25,"Mid Level", "Entry Level"))</f>
        <v>Mid Level</v>
      </c>
      <c r="H457" t="s">
        <v>25</v>
      </c>
      <c r="I457" t="s">
        <v>32</v>
      </c>
      <c r="J457" s="4">
        <v>45688</v>
      </c>
      <c r="K457" s="4" t="str">
        <f>TEXT(Table2[[#This Row],[Enrollment_date]],"Mmm")</f>
        <v>Jan</v>
      </c>
      <c r="L457" s="4" t="str">
        <f>TEXT(Table2[[#This Row],[Enrollment_date]],"Ddd")</f>
        <v>Fri</v>
      </c>
      <c r="M457" s="4" t="s">
        <v>34</v>
      </c>
      <c r="N457" t="s">
        <v>37</v>
      </c>
      <c r="O457" t="s">
        <v>38</v>
      </c>
      <c r="P457" s="8">
        <v>4</v>
      </c>
      <c r="Q457" s="6">
        <v>0.85416666666666663</v>
      </c>
      <c r="R457" s="6">
        <v>51</v>
      </c>
      <c r="S457" s="6" t="str">
        <f>IF(Table2[[#This Row],[Avg_score]]&gt;=79,"Distinction",IF(Table2[[#This Row],[Avg_score]]&gt;=60,"Pass","Fail"))</f>
        <v>Fail</v>
      </c>
      <c r="T457" t="s">
        <v>39</v>
      </c>
      <c r="U457">
        <f>IF(Table2[[#This Row],[Completed]]="Yes",1,0)</f>
        <v>1</v>
      </c>
      <c r="V457" t="s">
        <v>39</v>
      </c>
      <c r="W457" t="s">
        <v>40</v>
      </c>
      <c r="X457" s="4">
        <v>45838</v>
      </c>
    </row>
    <row r="458" spans="1:24" x14ac:dyDescent="0.3">
      <c r="A458">
        <v>457</v>
      </c>
      <c r="B458" s="8">
        <v>153</v>
      </c>
      <c r="C458">
        <v>1</v>
      </c>
      <c r="D458" t="s">
        <v>19</v>
      </c>
      <c r="E458" t="s">
        <v>23</v>
      </c>
      <c r="F458">
        <v>25</v>
      </c>
      <c r="G458" t="str">
        <f>IF(Table2[[#This Row],[Age]]&gt;=30,"Experienced",IF(Table2[[#This Row],[Age]]&gt;=25,"Mid Level", "Entry Level"))</f>
        <v>Mid Level</v>
      </c>
      <c r="H458" t="s">
        <v>26</v>
      </c>
      <c r="I458" t="s">
        <v>44</v>
      </c>
      <c r="J458" s="4">
        <v>45773</v>
      </c>
      <c r="K458" s="4" t="str">
        <f>TEXT(Table2[[#This Row],[Enrollment_date]],"Mmm")</f>
        <v>Apr</v>
      </c>
      <c r="L458" s="4" t="str">
        <f>TEXT(Table2[[#This Row],[Enrollment_date]],"Ddd")</f>
        <v>Sat</v>
      </c>
      <c r="M458" s="4" t="s">
        <v>34</v>
      </c>
      <c r="N458" t="s">
        <v>35</v>
      </c>
      <c r="O458" t="s">
        <v>38</v>
      </c>
      <c r="P458" s="8">
        <v>4</v>
      </c>
      <c r="Q458" s="6">
        <v>0.83333333333333337</v>
      </c>
      <c r="R458" s="6">
        <v>55</v>
      </c>
      <c r="S458" s="6" t="str">
        <f>IF(Table2[[#This Row],[Avg_score]]&gt;=79,"Distinction",IF(Table2[[#This Row],[Avg_score]]&gt;=60,"Pass","Fail"))</f>
        <v>Fail</v>
      </c>
      <c r="T458" t="s">
        <v>39</v>
      </c>
      <c r="U458">
        <f>IF(Table2[[#This Row],[Completed]]="Yes",1,0)</f>
        <v>1</v>
      </c>
      <c r="V458" t="s">
        <v>39</v>
      </c>
      <c r="W458" t="s">
        <v>40</v>
      </c>
      <c r="X458" s="4">
        <v>45838</v>
      </c>
    </row>
    <row r="459" spans="1:24" x14ac:dyDescent="0.3">
      <c r="A459">
        <v>458</v>
      </c>
      <c r="B459" s="8">
        <v>153</v>
      </c>
      <c r="C459">
        <v>2</v>
      </c>
      <c r="D459" t="s">
        <v>19</v>
      </c>
      <c r="E459" t="s">
        <v>23</v>
      </c>
      <c r="F459">
        <v>25</v>
      </c>
      <c r="G459" t="str">
        <f>IF(Table2[[#This Row],[Age]]&gt;=30,"Experienced",IF(Table2[[#This Row],[Age]]&gt;=25,"Mid Level", "Entry Level"))</f>
        <v>Mid Level</v>
      </c>
      <c r="H459" t="s">
        <v>26</v>
      </c>
      <c r="I459" t="s">
        <v>44</v>
      </c>
      <c r="J459" s="4">
        <v>45773</v>
      </c>
      <c r="K459" s="4" t="str">
        <f>TEXT(Table2[[#This Row],[Enrollment_date]],"Mmm")</f>
        <v>Apr</v>
      </c>
      <c r="L459" s="4" t="str">
        <f>TEXT(Table2[[#This Row],[Enrollment_date]],"Ddd")</f>
        <v>Sat</v>
      </c>
      <c r="M459" s="4" t="s">
        <v>34</v>
      </c>
      <c r="N459" t="s">
        <v>36</v>
      </c>
      <c r="O459" t="s">
        <v>38</v>
      </c>
      <c r="P459" s="8">
        <v>4</v>
      </c>
      <c r="Q459" s="6">
        <v>0.85416666666666663</v>
      </c>
      <c r="R459" s="6">
        <v>58.5</v>
      </c>
      <c r="S459" s="6" t="str">
        <f>IF(Table2[[#This Row],[Avg_score]]&gt;=79,"Distinction",IF(Table2[[#This Row],[Avg_score]]&gt;=60,"Pass","Fail"))</f>
        <v>Fail</v>
      </c>
      <c r="T459" t="s">
        <v>39</v>
      </c>
      <c r="U459">
        <f>IF(Table2[[#This Row],[Completed]]="Yes",1,0)</f>
        <v>1</v>
      </c>
      <c r="V459" t="s">
        <v>39</v>
      </c>
      <c r="W459" t="s">
        <v>40</v>
      </c>
      <c r="X459" s="4">
        <v>45838</v>
      </c>
    </row>
    <row r="460" spans="1:24" x14ac:dyDescent="0.3">
      <c r="A460">
        <v>459</v>
      </c>
      <c r="B460" s="8">
        <v>153</v>
      </c>
      <c r="C460">
        <v>3</v>
      </c>
      <c r="D460" t="s">
        <v>19</v>
      </c>
      <c r="E460" t="s">
        <v>23</v>
      </c>
      <c r="F460">
        <v>25</v>
      </c>
      <c r="G460" t="str">
        <f>IF(Table2[[#This Row],[Age]]&gt;=30,"Experienced",IF(Table2[[#This Row],[Age]]&gt;=25,"Mid Level", "Entry Level"))</f>
        <v>Mid Level</v>
      </c>
      <c r="H460" t="s">
        <v>26</v>
      </c>
      <c r="I460" t="s">
        <v>44</v>
      </c>
      <c r="J460" s="4">
        <v>45773</v>
      </c>
      <c r="K460" s="4" t="str">
        <f>TEXT(Table2[[#This Row],[Enrollment_date]],"Mmm")</f>
        <v>Apr</v>
      </c>
      <c r="L460" s="4" t="str">
        <f>TEXT(Table2[[#This Row],[Enrollment_date]],"Ddd")</f>
        <v>Sat</v>
      </c>
      <c r="M460" s="4" t="s">
        <v>34</v>
      </c>
      <c r="N460" t="s">
        <v>37</v>
      </c>
      <c r="O460" t="s">
        <v>38</v>
      </c>
      <c r="P460" s="8">
        <v>4</v>
      </c>
      <c r="Q460" s="6">
        <v>0.875</v>
      </c>
      <c r="R460" s="6">
        <v>82</v>
      </c>
      <c r="S460" s="6" t="str">
        <f>IF(Table2[[#This Row],[Avg_score]]&gt;=79,"Distinction",IF(Table2[[#This Row],[Avg_score]]&gt;=60,"Pass","Fail"))</f>
        <v>Distinction</v>
      </c>
      <c r="T460" t="s">
        <v>39</v>
      </c>
      <c r="U460">
        <f>IF(Table2[[#This Row],[Completed]]="Yes",1,0)</f>
        <v>1</v>
      </c>
      <c r="V460" t="s">
        <v>39</v>
      </c>
      <c r="W460" t="s">
        <v>40</v>
      </c>
      <c r="X460" s="4">
        <v>45838</v>
      </c>
    </row>
    <row r="461" spans="1:24" x14ac:dyDescent="0.3">
      <c r="A461">
        <v>460</v>
      </c>
      <c r="B461" s="8">
        <v>154</v>
      </c>
      <c r="C461">
        <v>1</v>
      </c>
      <c r="D461" t="s">
        <v>19</v>
      </c>
      <c r="E461" t="s">
        <v>23</v>
      </c>
      <c r="F461">
        <v>27</v>
      </c>
      <c r="G461" t="str">
        <f>IF(Table2[[#This Row],[Age]]&gt;=30,"Experienced",IF(Table2[[#This Row],[Age]]&gt;=25,"Mid Level", "Entry Level"))</f>
        <v>Mid Level</v>
      </c>
      <c r="H461" t="s">
        <v>26</v>
      </c>
      <c r="I461" t="s">
        <v>44</v>
      </c>
      <c r="J461" s="4">
        <v>45736</v>
      </c>
      <c r="K461" s="4" t="str">
        <f>TEXT(Table2[[#This Row],[Enrollment_date]],"Mmm")</f>
        <v>Mar</v>
      </c>
      <c r="L461" s="4" t="str">
        <f>TEXT(Table2[[#This Row],[Enrollment_date]],"Ddd")</f>
        <v>Thu</v>
      </c>
      <c r="M461" s="4" t="s">
        <v>34</v>
      </c>
      <c r="N461" t="s">
        <v>35</v>
      </c>
      <c r="O461" t="s">
        <v>38</v>
      </c>
      <c r="P461" s="8">
        <v>4</v>
      </c>
      <c r="Q461" s="6">
        <v>0.75</v>
      </c>
      <c r="R461" s="6">
        <v>75.5</v>
      </c>
      <c r="S461" s="6" t="str">
        <f>IF(Table2[[#This Row],[Avg_score]]&gt;=79,"Distinction",IF(Table2[[#This Row],[Avg_score]]&gt;=60,"Pass","Fail"))</f>
        <v>Pass</v>
      </c>
      <c r="T461" t="s">
        <v>39</v>
      </c>
      <c r="U461">
        <f>IF(Table2[[#This Row],[Completed]]="Yes",1,0)</f>
        <v>1</v>
      </c>
      <c r="V461" t="s">
        <v>40</v>
      </c>
      <c r="W461" t="s">
        <v>40</v>
      </c>
      <c r="X461" s="4">
        <v>45838</v>
      </c>
    </row>
    <row r="462" spans="1:24" x14ac:dyDescent="0.3">
      <c r="A462">
        <v>461</v>
      </c>
      <c r="B462" s="8">
        <v>154</v>
      </c>
      <c r="C462">
        <v>2</v>
      </c>
      <c r="D462" t="s">
        <v>19</v>
      </c>
      <c r="E462" t="s">
        <v>23</v>
      </c>
      <c r="F462">
        <v>27</v>
      </c>
      <c r="G462" t="str">
        <f>IF(Table2[[#This Row],[Age]]&gt;=30,"Experienced",IF(Table2[[#This Row],[Age]]&gt;=25,"Mid Level", "Entry Level"))</f>
        <v>Mid Level</v>
      </c>
      <c r="H462" t="s">
        <v>26</v>
      </c>
      <c r="I462" t="s">
        <v>44</v>
      </c>
      <c r="J462" s="4">
        <v>45736</v>
      </c>
      <c r="K462" s="4" t="str">
        <f>TEXT(Table2[[#This Row],[Enrollment_date]],"Mmm")</f>
        <v>Mar</v>
      </c>
      <c r="L462" s="4" t="str">
        <f>TEXT(Table2[[#This Row],[Enrollment_date]],"Ddd")</f>
        <v>Thu</v>
      </c>
      <c r="M462" s="4" t="s">
        <v>34</v>
      </c>
      <c r="N462" t="s">
        <v>36</v>
      </c>
      <c r="O462" t="s">
        <v>38</v>
      </c>
      <c r="P462" s="8">
        <v>4</v>
      </c>
      <c r="Q462" s="6">
        <v>0.85416666666666663</v>
      </c>
      <c r="R462" s="6">
        <v>78</v>
      </c>
      <c r="S462" s="6" t="str">
        <f>IF(Table2[[#This Row],[Avg_score]]&gt;=79,"Distinction",IF(Table2[[#This Row],[Avg_score]]&gt;=60,"Pass","Fail"))</f>
        <v>Pass</v>
      </c>
      <c r="T462" t="s">
        <v>39</v>
      </c>
      <c r="U462">
        <f>IF(Table2[[#This Row],[Completed]]="Yes",1,0)</f>
        <v>1</v>
      </c>
      <c r="V462" t="s">
        <v>40</v>
      </c>
      <c r="W462" t="s">
        <v>40</v>
      </c>
      <c r="X462" s="4">
        <v>45838</v>
      </c>
    </row>
    <row r="463" spans="1:24" x14ac:dyDescent="0.3">
      <c r="A463">
        <v>462</v>
      </c>
      <c r="B463" s="8">
        <v>154</v>
      </c>
      <c r="C463">
        <v>3</v>
      </c>
      <c r="D463" t="s">
        <v>19</v>
      </c>
      <c r="E463" t="s">
        <v>23</v>
      </c>
      <c r="F463">
        <v>27</v>
      </c>
      <c r="G463" t="str">
        <f>IF(Table2[[#This Row],[Age]]&gt;=30,"Experienced",IF(Table2[[#This Row],[Age]]&gt;=25,"Mid Level", "Entry Level"))</f>
        <v>Mid Level</v>
      </c>
      <c r="H463" t="s">
        <v>26</v>
      </c>
      <c r="I463" t="s">
        <v>44</v>
      </c>
      <c r="J463" s="4">
        <v>45736</v>
      </c>
      <c r="K463" s="4" t="str">
        <f>TEXT(Table2[[#This Row],[Enrollment_date]],"Mmm")</f>
        <v>Mar</v>
      </c>
      <c r="L463" s="4" t="str">
        <f>TEXT(Table2[[#This Row],[Enrollment_date]],"Ddd")</f>
        <v>Thu</v>
      </c>
      <c r="M463" s="4" t="s">
        <v>34</v>
      </c>
      <c r="N463" t="s">
        <v>37</v>
      </c>
      <c r="O463" t="s">
        <v>38</v>
      </c>
      <c r="P463" s="8">
        <v>4</v>
      </c>
      <c r="Q463" s="6">
        <v>0.83333333333333337</v>
      </c>
      <c r="R463" s="6">
        <v>90</v>
      </c>
      <c r="S463" s="6" t="str">
        <f>IF(Table2[[#This Row],[Avg_score]]&gt;=79,"Distinction",IF(Table2[[#This Row],[Avg_score]]&gt;=60,"Pass","Fail"))</f>
        <v>Distinction</v>
      </c>
      <c r="T463" t="s">
        <v>39</v>
      </c>
      <c r="U463">
        <f>IF(Table2[[#This Row],[Completed]]="Yes",1,0)</f>
        <v>1</v>
      </c>
      <c r="V463" t="s">
        <v>40</v>
      </c>
      <c r="W463" t="s">
        <v>40</v>
      </c>
      <c r="X463" s="4">
        <v>45838</v>
      </c>
    </row>
    <row r="464" spans="1:24" x14ac:dyDescent="0.3">
      <c r="A464">
        <v>463</v>
      </c>
      <c r="B464" s="8">
        <v>155</v>
      </c>
      <c r="C464">
        <v>1</v>
      </c>
      <c r="D464" t="s">
        <v>19</v>
      </c>
      <c r="E464" t="s">
        <v>22</v>
      </c>
      <c r="F464">
        <v>21</v>
      </c>
      <c r="G464" t="str">
        <f>IF(Table2[[#This Row],[Age]]&gt;=30,"Experienced",IF(Table2[[#This Row],[Age]]&gt;=25,"Mid Level", "Entry Level"))</f>
        <v>Entry Level</v>
      </c>
      <c r="H464" t="s">
        <v>28</v>
      </c>
      <c r="I464" t="s">
        <v>32</v>
      </c>
      <c r="J464" s="4">
        <v>45725</v>
      </c>
      <c r="K464" s="4" t="str">
        <f>TEXT(Table2[[#This Row],[Enrollment_date]],"Mmm")</f>
        <v>Mar</v>
      </c>
      <c r="L464" s="4" t="str">
        <f>TEXT(Table2[[#This Row],[Enrollment_date]],"Ddd")</f>
        <v>Sun</v>
      </c>
      <c r="M464" s="4" t="s">
        <v>34</v>
      </c>
      <c r="N464" t="s">
        <v>35</v>
      </c>
      <c r="O464" t="s">
        <v>38</v>
      </c>
      <c r="P464" s="8">
        <v>4</v>
      </c>
      <c r="Q464" s="6">
        <v>0.6875</v>
      </c>
      <c r="R464" s="6">
        <v>92</v>
      </c>
      <c r="S464" s="6" t="str">
        <f>IF(Table2[[#This Row],[Avg_score]]&gt;=79,"Distinction",IF(Table2[[#This Row],[Avg_score]]&gt;=60,"Pass","Fail"))</f>
        <v>Distinction</v>
      </c>
      <c r="T464" t="s">
        <v>39</v>
      </c>
      <c r="U464">
        <f>IF(Table2[[#This Row],[Completed]]="Yes",1,0)</f>
        <v>1</v>
      </c>
      <c r="V464" t="s">
        <v>39</v>
      </c>
      <c r="W464" t="s">
        <v>40</v>
      </c>
      <c r="X464" s="4">
        <v>45838</v>
      </c>
    </row>
    <row r="465" spans="1:24" x14ac:dyDescent="0.3">
      <c r="A465">
        <v>464</v>
      </c>
      <c r="B465" s="8">
        <v>155</v>
      </c>
      <c r="C465">
        <v>2</v>
      </c>
      <c r="D465" t="s">
        <v>19</v>
      </c>
      <c r="E465" t="s">
        <v>22</v>
      </c>
      <c r="F465">
        <v>21</v>
      </c>
      <c r="G465" t="str">
        <f>IF(Table2[[#This Row],[Age]]&gt;=30,"Experienced",IF(Table2[[#This Row],[Age]]&gt;=25,"Mid Level", "Entry Level"))</f>
        <v>Entry Level</v>
      </c>
      <c r="H465" t="s">
        <v>28</v>
      </c>
      <c r="I465" t="s">
        <v>32</v>
      </c>
      <c r="J465" s="4">
        <v>45725</v>
      </c>
      <c r="K465" s="4" t="str">
        <f>TEXT(Table2[[#This Row],[Enrollment_date]],"Mmm")</f>
        <v>Mar</v>
      </c>
      <c r="L465" s="4" t="str">
        <f>TEXT(Table2[[#This Row],[Enrollment_date]],"Ddd")</f>
        <v>Sun</v>
      </c>
      <c r="M465" s="4" t="s">
        <v>34</v>
      </c>
      <c r="N465" t="s">
        <v>36</v>
      </c>
      <c r="O465" t="s">
        <v>38</v>
      </c>
      <c r="P465" s="8">
        <v>4</v>
      </c>
      <c r="Q465" s="6">
        <v>0.79166666666666663</v>
      </c>
      <c r="R465" s="6">
        <v>76.5</v>
      </c>
      <c r="S465" s="6" t="str">
        <f>IF(Table2[[#This Row],[Avg_score]]&gt;=79,"Distinction",IF(Table2[[#This Row],[Avg_score]]&gt;=60,"Pass","Fail"))</f>
        <v>Pass</v>
      </c>
      <c r="T465" t="s">
        <v>39</v>
      </c>
      <c r="U465">
        <f>IF(Table2[[#This Row],[Completed]]="Yes",1,0)</f>
        <v>1</v>
      </c>
      <c r="V465" t="s">
        <v>39</v>
      </c>
      <c r="W465" t="s">
        <v>40</v>
      </c>
      <c r="X465" s="4">
        <v>45838</v>
      </c>
    </row>
    <row r="466" spans="1:24" x14ac:dyDescent="0.3">
      <c r="A466">
        <v>465</v>
      </c>
      <c r="B466" s="8">
        <v>155</v>
      </c>
      <c r="C466">
        <v>3</v>
      </c>
      <c r="D466" t="s">
        <v>19</v>
      </c>
      <c r="E466" t="s">
        <v>22</v>
      </c>
      <c r="F466">
        <v>21</v>
      </c>
      <c r="G466" t="str">
        <f>IF(Table2[[#This Row],[Age]]&gt;=30,"Experienced",IF(Table2[[#This Row],[Age]]&gt;=25,"Mid Level", "Entry Level"))</f>
        <v>Entry Level</v>
      </c>
      <c r="H466" t="s">
        <v>28</v>
      </c>
      <c r="I466" t="s">
        <v>32</v>
      </c>
      <c r="J466" s="4">
        <v>45725</v>
      </c>
      <c r="K466" s="4" t="str">
        <f>TEXT(Table2[[#This Row],[Enrollment_date]],"Mmm")</f>
        <v>Mar</v>
      </c>
      <c r="L466" s="4" t="str">
        <f>TEXT(Table2[[#This Row],[Enrollment_date]],"Ddd")</f>
        <v>Sun</v>
      </c>
      <c r="M466" s="4" t="s">
        <v>34</v>
      </c>
      <c r="N466" t="s">
        <v>37</v>
      </c>
      <c r="O466" t="s">
        <v>38</v>
      </c>
      <c r="P466" s="8">
        <v>4</v>
      </c>
      <c r="Q466" s="6">
        <v>0.89583333333333337</v>
      </c>
      <c r="R466" s="6">
        <v>79</v>
      </c>
      <c r="S466" s="6" t="str">
        <f>IF(Table2[[#This Row],[Avg_score]]&gt;=79,"Distinction",IF(Table2[[#This Row],[Avg_score]]&gt;=60,"Pass","Fail"))</f>
        <v>Distinction</v>
      </c>
      <c r="T466" t="s">
        <v>39</v>
      </c>
      <c r="U466">
        <f>IF(Table2[[#This Row],[Completed]]="Yes",1,0)</f>
        <v>1</v>
      </c>
      <c r="V466" t="s">
        <v>39</v>
      </c>
      <c r="W466" t="s">
        <v>40</v>
      </c>
      <c r="X466" s="4">
        <v>45838</v>
      </c>
    </row>
    <row r="467" spans="1:24" x14ac:dyDescent="0.3">
      <c r="A467">
        <v>466</v>
      </c>
      <c r="B467" s="8">
        <v>156</v>
      </c>
      <c r="C467">
        <v>1</v>
      </c>
      <c r="D467" t="s">
        <v>19</v>
      </c>
      <c r="E467" t="s">
        <v>22</v>
      </c>
      <c r="F467">
        <v>23</v>
      </c>
      <c r="G467" t="str">
        <f>IF(Table2[[#This Row],[Age]]&gt;=30,"Experienced",IF(Table2[[#This Row],[Age]]&gt;=25,"Mid Level", "Entry Level"))</f>
        <v>Entry Level</v>
      </c>
      <c r="H467" t="s">
        <v>28</v>
      </c>
      <c r="I467" t="s">
        <v>32</v>
      </c>
      <c r="J467" s="4">
        <v>45799</v>
      </c>
      <c r="K467" s="4" t="str">
        <f>TEXT(Table2[[#This Row],[Enrollment_date]],"Mmm")</f>
        <v>May</v>
      </c>
      <c r="L467" s="4" t="str">
        <f>TEXT(Table2[[#This Row],[Enrollment_date]],"Ddd")</f>
        <v>Thu</v>
      </c>
      <c r="M467" s="4" t="s">
        <v>34</v>
      </c>
      <c r="N467" t="s">
        <v>35</v>
      </c>
      <c r="O467" t="s">
        <v>38</v>
      </c>
      <c r="P467" s="8">
        <v>4</v>
      </c>
      <c r="Q467" s="6">
        <v>0.875</v>
      </c>
      <c r="R467" s="6">
        <v>71</v>
      </c>
      <c r="S467" s="6" t="str">
        <f>IF(Table2[[#This Row],[Avg_score]]&gt;=79,"Distinction",IF(Table2[[#This Row],[Avg_score]]&gt;=60,"Pass","Fail"))</f>
        <v>Pass</v>
      </c>
      <c r="T467" t="s">
        <v>39</v>
      </c>
      <c r="U467">
        <f>IF(Table2[[#This Row],[Completed]]="Yes",1,0)</f>
        <v>1</v>
      </c>
      <c r="V467" t="s">
        <v>39</v>
      </c>
      <c r="W467" t="s">
        <v>40</v>
      </c>
      <c r="X467" s="4">
        <v>45838</v>
      </c>
    </row>
    <row r="468" spans="1:24" x14ac:dyDescent="0.3">
      <c r="A468">
        <v>467</v>
      </c>
      <c r="B468" s="8">
        <v>156</v>
      </c>
      <c r="C468">
        <v>2</v>
      </c>
      <c r="D468" t="s">
        <v>19</v>
      </c>
      <c r="E468" t="s">
        <v>22</v>
      </c>
      <c r="F468">
        <v>23</v>
      </c>
      <c r="G468" t="str">
        <f>IF(Table2[[#This Row],[Age]]&gt;=30,"Experienced",IF(Table2[[#This Row],[Age]]&gt;=25,"Mid Level", "Entry Level"))</f>
        <v>Entry Level</v>
      </c>
      <c r="H468" t="s">
        <v>28</v>
      </c>
      <c r="I468" t="s">
        <v>32</v>
      </c>
      <c r="J468" s="4">
        <v>45799</v>
      </c>
      <c r="K468" s="4" t="str">
        <f>TEXT(Table2[[#This Row],[Enrollment_date]],"Mmm")</f>
        <v>May</v>
      </c>
      <c r="L468" s="4" t="str">
        <f>TEXT(Table2[[#This Row],[Enrollment_date]],"Ddd")</f>
        <v>Thu</v>
      </c>
      <c r="M468" s="4" t="s">
        <v>34</v>
      </c>
      <c r="N468" t="s">
        <v>36</v>
      </c>
      <c r="O468" t="s">
        <v>38</v>
      </c>
      <c r="P468" s="8">
        <v>4</v>
      </c>
      <c r="Q468" s="6">
        <v>0.83333333333333337</v>
      </c>
      <c r="R468" s="6">
        <v>82</v>
      </c>
      <c r="S468" s="6" t="str">
        <f>IF(Table2[[#This Row],[Avg_score]]&gt;=79,"Distinction",IF(Table2[[#This Row],[Avg_score]]&gt;=60,"Pass","Fail"))</f>
        <v>Distinction</v>
      </c>
      <c r="T468" t="s">
        <v>39</v>
      </c>
      <c r="U468">
        <f>IF(Table2[[#This Row],[Completed]]="Yes",1,0)</f>
        <v>1</v>
      </c>
      <c r="V468" t="s">
        <v>39</v>
      </c>
      <c r="W468" t="s">
        <v>40</v>
      </c>
      <c r="X468" s="4">
        <v>45838</v>
      </c>
    </row>
    <row r="469" spans="1:24" x14ac:dyDescent="0.3">
      <c r="A469">
        <v>468</v>
      </c>
      <c r="B469" s="8">
        <v>156</v>
      </c>
      <c r="C469">
        <v>3</v>
      </c>
      <c r="D469" t="s">
        <v>20</v>
      </c>
      <c r="E469" t="s">
        <v>22</v>
      </c>
      <c r="F469">
        <v>23</v>
      </c>
      <c r="G469" t="str">
        <f>IF(Table2[[#This Row],[Age]]&gt;=30,"Experienced",IF(Table2[[#This Row],[Age]]&gt;=25,"Mid Level", "Entry Level"))</f>
        <v>Entry Level</v>
      </c>
      <c r="H469" t="s">
        <v>28</v>
      </c>
      <c r="I469" t="s">
        <v>32</v>
      </c>
      <c r="J469" s="4">
        <v>45799</v>
      </c>
      <c r="K469" s="4" t="str">
        <f>TEXT(Table2[[#This Row],[Enrollment_date]],"Mmm")</f>
        <v>May</v>
      </c>
      <c r="L469" s="4" t="str">
        <f>TEXT(Table2[[#This Row],[Enrollment_date]],"Ddd")</f>
        <v>Thu</v>
      </c>
      <c r="M469" s="4" t="s">
        <v>34</v>
      </c>
      <c r="N469" t="s">
        <v>37</v>
      </c>
      <c r="O469" t="s">
        <v>38</v>
      </c>
      <c r="P469" s="8">
        <v>4</v>
      </c>
      <c r="Q469" s="6">
        <v>0.85416666666666663</v>
      </c>
      <c r="R469" s="6">
        <v>71</v>
      </c>
      <c r="S469" s="6" t="str">
        <f>IF(Table2[[#This Row],[Avg_score]]&gt;=79,"Distinction",IF(Table2[[#This Row],[Avg_score]]&gt;=60,"Pass","Fail"))</f>
        <v>Pass</v>
      </c>
      <c r="T469" t="s">
        <v>39</v>
      </c>
      <c r="U469">
        <f>IF(Table2[[#This Row],[Completed]]="Yes",1,0)</f>
        <v>1</v>
      </c>
      <c r="V469" t="s">
        <v>39</v>
      </c>
      <c r="W469" t="s">
        <v>40</v>
      </c>
      <c r="X469" s="4">
        <v>45838</v>
      </c>
    </row>
    <row r="470" spans="1:24" x14ac:dyDescent="0.3">
      <c r="A470">
        <v>469</v>
      </c>
      <c r="B470" s="8">
        <v>157</v>
      </c>
      <c r="C470">
        <v>1</v>
      </c>
      <c r="D470" t="s">
        <v>20</v>
      </c>
      <c r="E470" t="s">
        <v>22</v>
      </c>
      <c r="F470">
        <v>23</v>
      </c>
      <c r="G470" t="str">
        <f>IF(Table2[[#This Row],[Age]]&gt;=30,"Experienced",IF(Table2[[#This Row],[Age]]&gt;=25,"Mid Level", "Entry Level"))</f>
        <v>Entry Level</v>
      </c>
      <c r="H470" t="s">
        <v>25</v>
      </c>
      <c r="I470" t="s">
        <v>44</v>
      </c>
      <c r="J470" s="4">
        <v>45773</v>
      </c>
      <c r="K470" s="4" t="str">
        <f>TEXT(Table2[[#This Row],[Enrollment_date]],"Mmm")</f>
        <v>Apr</v>
      </c>
      <c r="L470" s="4" t="str">
        <f>TEXT(Table2[[#This Row],[Enrollment_date]],"Ddd")</f>
        <v>Sat</v>
      </c>
      <c r="M470" s="4" t="s">
        <v>34</v>
      </c>
      <c r="N470" t="s">
        <v>35</v>
      </c>
      <c r="O470" t="s">
        <v>38</v>
      </c>
      <c r="P470" s="8">
        <v>4</v>
      </c>
      <c r="Q470" s="6">
        <v>0.83333333333333337</v>
      </c>
      <c r="R470" s="6">
        <v>52.5</v>
      </c>
      <c r="S470" s="6" t="str">
        <f>IF(Table2[[#This Row],[Avg_score]]&gt;=79,"Distinction",IF(Table2[[#This Row],[Avg_score]]&gt;=60,"Pass","Fail"))</f>
        <v>Fail</v>
      </c>
      <c r="T470" t="s">
        <v>39</v>
      </c>
      <c r="U470">
        <f>IF(Table2[[#This Row],[Completed]]="Yes",1,0)</f>
        <v>1</v>
      </c>
      <c r="V470" t="s">
        <v>39</v>
      </c>
      <c r="W470" t="s">
        <v>39</v>
      </c>
      <c r="X470" s="4">
        <v>45838</v>
      </c>
    </row>
    <row r="471" spans="1:24" x14ac:dyDescent="0.3">
      <c r="A471">
        <v>470</v>
      </c>
      <c r="B471" s="8">
        <v>157</v>
      </c>
      <c r="C471">
        <v>2</v>
      </c>
      <c r="D471" t="s">
        <v>20</v>
      </c>
      <c r="E471" t="s">
        <v>22</v>
      </c>
      <c r="F471">
        <v>23</v>
      </c>
      <c r="G471" t="str">
        <f>IF(Table2[[#This Row],[Age]]&gt;=30,"Experienced",IF(Table2[[#This Row],[Age]]&gt;=25,"Mid Level", "Entry Level"))</f>
        <v>Entry Level</v>
      </c>
      <c r="H471" t="s">
        <v>25</v>
      </c>
      <c r="I471" t="s">
        <v>44</v>
      </c>
      <c r="J471" s="4">
        <v>45773</v>
      </c>
      <c r="K471" s="4" t="str">
        <f>TEXT(Table2[[#This Row],[Enrollment_date]],"Mmm")</f>
        <v>Apr</v>
      </c>
      <c r="L471" s="4" t="str">
        <f>TEXT(Table2[[#This Row],[Enrollment_date]],"Ddd")</f>
        <v>Sat</v>
      </c>
      <c r="M471" s="4" t="s">
        <v>34</v>
      </c>
      <c r="N471" t="s">
        <v>36</v>
      </c>
      <c r="O471" t="s">
        <v>38</v>
      </c>
      <c r="P471" s="8">
        <v>4</v>
      </c>
      <c r="Q471" s="6">
        <v>0.8125</v>
      </c>
      <c r="R471" s="6">
        <v>88</v>
      </c>
      <c r="S471" s="6" t="str">
        <f>IF(Table2[[#This Row],[Avg_score]]&gt;=79,"Distinction",IF(Table2[[#This Row],[Avg_score]]&gt;=60,"Pass","Fail"))</f>
        <v>Distinction</v>
      </c>
      <c r="T471" t="s">
        <v>39</v>
      </c>
      <c r="U471">
        <f>IF(Table2[[#This Row],[Completed]]="Yes",1,0)</f>
        <v>1</v>
      </c>
      <c r="V471" t="s">
        <v>39</v>
      </c>
      <c r="W471" t="s">
        <v>39</v>
      </c>
      <c r="X471" s="4">
        <v>45838</v>
      </c>
    </row>
    <row r="472" spans="1:24" x14ac:dyDescent="0.3">
      <c r="A472">
        <v>471</v>
      </c>
      <c r="B472" s="8">
        <v>157</v>
      </c>
      <c r="C472">
        <v>3</v>
      </c>
      <c r="D472" t="s">
        <v>19</v>
      </c>
      <c r="E472" t="s">
        <v>22</v>
      </c>
      <c r="F472">
        <v>23</v>
      </c>
      <c r="G472" t="str">
        <f>IF(Table2[[#This Row],[Age]]&gt;=30,"Experienced",IF(Table2[[#This Row],[Age]]&gt;=25,"Mid Level", "Entry Level"))</f>
        <v>Entry Level</v>
      </c>
      <c r="H472" t="s">
        <v>25</v>
      </c>
      <c r="I472" t="s">
        <v>44</v>
      </c>
      <c r="J472" s="4">
        <v>45773</v>
      </c>
      <c r="K472" s="4" t="str">
        <f>TEXT(Table2[[#This Row],[Enrollment_date]],"Mmm")</f>
        <v>Apr</v>
      </c>
      <c r="L472" s="4" t="str">
        <f>TEXT(Table2[[#This Row],[Enrollment_date]],"Ddd")</f>
        <v>Sat</v>
      </c>
      <c r="M472" s="4" t="s">
        <v>34</v>
      </c>
      <c r="N472" t="s">
        <v>37</v>
      </c>
      <c r="O472" t="s">
        <v>38</v>
      </c>
      <c r="P472" s="8">
        <v>4</v>
      </c>
      <c r="Q472" s="6">
        <v>0.89583333333333337</v>
      </c>
      <c r="R472" s="6">
        <v>65.5</v>
      </c>
      <c r="S472" s="6" t="str">
        <f>IF(Table2[[#This Row],[Avg_score]]&gt;=79,"Distinction",IF(Table2[[#This Row],[Avg_score]]&gt;=60,"Pass","Fail"))</f>
        <v>Pass</v>
      </c>
      <c r="T472" t="s">
        <v>39</v>
      </c>
      <c r="U472">
        <f>IF(Table2[[#This Row],[Completed]]="Yes",1,0)</f>
        <v>1</v>
      </c>
      <c r="V472" t="s">
        <v>39</v>
      </c>
      <c r="W472" t="s">
        <v>39</v>
      </c>
      <c r="X472" s="4">
        <v>45838</v>
      </c>
    </row>
    <row r="473" spans="1:24" x14ac:dyDescent="0.3">
      <c r="A473">
        <v>472</v>
      </c>
      <c r="B473" s="8">
        <v>158</v>
      </c>
      <c r="C473">
        <v>1</v>
      </c>
      <c r="D473" t="s">
        <v>19</v>
      </c>
      <c r="E473" t="s">
        <v>23</v>
      </c>
      <c r="F473">
        <v>27</v>
      </c>
      <c r="G473" t="str">
        <f>IF(Table2[[#This Row],[Age]]&gt;=30,"Experienced",IF(Table2[[#This Row],[Age]]&gt;=25,"Mid Level", "Entry Level"))</f>
        <v>Mid Level</v>
      </c>
      <c r="H473" t="s">
        <v>25</v>
      </c>
      <c r="I473" t="s">
        <v>32</v>
      </c>
      <c r="J473" s="4">
        <v>45731</v>
      </c>
      <c r="K473" s="4" t="str">
        <f>TEXT(Table2[[#This Row],[Enrollment_date]],"Mmm")</f>
        <v>Mar</v>
      </c>
      <c r="L473" s="4" t="str">
        <f>TEXT(Table2[[#This Row],[Enrollment_date]],"Ddd")</f>
        <v>Sat</v>
      </c>
      <c r="M473" s="4" t="s">
        <v>34</v>
      </c>
      <c r="N473" t="s">
        <v>35</v>
      </c>
      <c r="O473" t="s">
        <v>38</v>
      </c>
      <c r="P473" s="8">
        <v>4</v>
      </c>
      <c r="Q473" s="6">
        <v>0.75</v>
      </c>
      <c r="R473" s="6">
        <v>90.5</v>
      </c>
      <c r="S473" s="6" t="str">
        <f>IF(Table2[[#This Row],[Avg_score]]&gt;=79,"Distinction",IF(Table2[[#This Row],[Avg_score]]&gt;=60,"Pass","Fail"))</f>
        <v>Distinction</v>
      </c>
      <c r="T473" t="s">
        <v>39</v>
      </c>
      <c r="U473">
        <f>IF(Table2[[#This Row],[Completed]]="Yes",1,0)</f>
        <v>1</v>
      </c>
      <c r="V473" t="s">
        <v>39</v>
      </c>
      <c r="W473" t="s">
        <v>40</v>
      </c>
      <c r="X473" s="4">
        <v>45838</v>
      </c>
    </row>
    <row r="474" spans="1:24" x14ac:dyDescent="0.3">
      <c r="A474">
        <v>473</v>
      </c>
      <c r="B474" s="8">
        <v>158</v>
      </c>
      <c r="C474">
        <v>2</v>
      </c>
      <c r="D474" t="s">
        <v>19</v>
      </c>
      <c r="E474" t="s">
        <v>23</v>
      </c>
      <c r="F474">
        <v>27</v>
      </c>
      <c r="G474" t="str">
        <f>IF(Table2[[#This Row],[Age]]&gt;=30,"Experienced",IF(Table2[[#This Row],[Age]]&gt;=25,"Mid Level", "Entry Level"))</f>
        <v>Mid Level</v>
      </c>
      <c r="H474" t="s">
        <v>25</v>
      </c>
      <c r="I474" t="s">
        <v>32</v>
      </c>
      <c r="J474" s="4">
        <v>45731</v>
      </c>
      <c r="K474" s="4" t="str">
        <f>TEXT(Table2[[#This Row],[Enrollment_date]],"Mmm")</f>
        <v>Mar</v>
      </c>
      <c r="L474" s="4" t="str">
        <f>TEXT(Table2[[#This Row],[Enrollment_date]],"Ddd")</f>
        <v>Sat</v>
      </c>
      <c r="M474" s="4" t="s">
        <v>34</v>
      </c>
      <c r="N474" t="s">
        <v>36</v>
      </c>
      <c r="O474" t="s">
        <v>38</v>
      </c>
      <c r="P474" s="8">
        <v>4</v>
      </c>
      <c r="Q474" s="6">
        <v>0.89583333333333337</v>
      </c>
      <c r="R474" s="6">
        <v>72</v>
      </c>
      <c r="S474" s="6" t="str">
        <f>IF(Table2[[#This Row],[Avg_score]]&gt;=79,"Distinction",IF(Table2[[#This Row],[Avg_score]]&gt;=60,"Pass","Fail"))</f>
        <v>Pass</v>
      </c>
      <c r="T474" t="s">
        <v>39</v>
      </c>
      <c r="U474">
        <f>IF(Table2[[#This Row],[Completed]]="Yes",1,0)</f>
        <v>1</v>
      </c>
      <c r="V474" t="s">
        <v>39</v>
      </c>
      <c r="W474" t="s">
        <v>40</v>
      </c>
      <c r="X474" s="4">
        <v>45838</v>
      </c>
    </row>
    <row r="475" spans="1:24" x14ac:dyDescent="0.3">
      <c r="A475">
        <v>474</v>
      </c>
      <c r="B475" s="8">
        <v>158</v>
      </c>
      <c r="C475">
        <v>3</v>
      </c>
      <c r="D475" t="s">
        <v>19</v>
      </c>
      <c r="E475" t="s">
        <v>23</v>
      </c>
      <c r="F475">
        <v>27</v>
      </c>
      <c r="G475" t="str">
        <f>IF(Table2[[#This Row],[Age]]&gt;=30,"Experienced",IF(Table2[[#This Row],[Age]]&gt;=25,"Mid Level", "Entry Level"))</f>
        <v>Mid Level</v>
      </c>
      <c r="H475" t="s">
        <v>25</v>
      </c>
      <c r="I475" t="s">
        <v>32</v>
      </c>
      <c r="J475" s="4">
        <v>45731</v>
      </c>
      <c r="K475" s="4" t="str">
        <f>TEXT(Table2[[#This Row],[Enrollment_date]],"Mmm")</f>
        <v>Mar</v>
      </c>
      <c r="L475" s="4" t="str">
        <f>TEXT(Table2[[#This Row],[Enrollment_date]],"Ddd")</f>
        <v>Sat</v>
      </c>
      <c r="M475" s="4" t="s">
        <v>34</v>
      </c>
      <c r="N475" t="s">
        <v>37</v>
      </c>
      <c r="O475" t="s">
        <v>38</v>
      </c>
      <c r="P475" s="8">
        <v>4</v>
      </c>
      <c r="Q475" s="6">
        <v>0.79166666666666663</v>
      </c>
      <c r="R475" s="6">
        <v>65</v>
      </c>
      <c r="S475" s="6" t="str">
        <f>IF(Table2[[#This Row],[Avg_score]]&gt;=79,"Distinction",IF(Table2[[#This Row],[Avg_score]]&gt;=60,"Pass","Fail"))</f>
        <v>Pass</v>
      </c>
      <c r="T475" t="s">
        <v>39</v>
      </c>
      <c r="U475">
        <f>IF(Table2[[#This Row],[Completed]]="Yes",1,0)</f>
        <v>1</v>
      </c>
      <c r="V475" t="s">
        <v>39</v>
      </c>
      <c r="W475" t="s">
        <v>40</v>
      </c>
      <c r="X475" s="4">
        <v>45838</v>
      </c>
    </row>
    <row r="476" spans="1:24" x14ac:dyDescent="0.3">
      <c r="A476">
        <v>475</v>
      </c>
      <c r="B476" s="8">
        <v>159</v>
      </c>
      <c r="C476">
        <v>1</v>
      </c>
      <c r="D476" t="s">
        <v>19</v>
      </c>
      <c r="E476" t="s">
        <v>23</v>
      </c>
      <c r="F476">
        <v>32</v>
      </c>
      <c r="G476" t="str">
        <f>IF(Table2[[#This Row],[Age]]&gt;=30,"Experienced",IF(Table2[[#This Row],[Age]]&gt;=25,"Mid Level", "Entry Level"))</f>
        <v>Experienced</v>
      </c>
      <c r="H476" t="s">
        <v>25</v>
      </c>
      <c r="I476" t="s">
        <v>32</v>
      </c>
      <c r="J476" s="4">
        <v>45725</v>
      </c>
      <c r="K476" s="4" t="str">
        <f>TEXT(Table2[[#This Row],[Enrollment_date]],"Mmm")</f>
        <v>Mar</v>
      </c>
      <c r="L476" s="4" t="str">
        <f>TEXT(Table2[[#This Row],[Enrollment_date]],"Ddd")</f>
        <v>Sun</v>
      </c>
      <c r="M476" s="4" t="s">
        <v>34</v>
      </c>
      <c r="N476" t="s">
        <v>35</v>
      </c>
      <c r="O476" t="s">
        <v>38</v>
      </c>
      <c r="P476" s="8">
        <v>4</v>
      </c>
      <c r="Q476" s="6">
        <v>0.83333333333333337</v>
      </c>
      <c r="R476" s="6">
        <v>80</v>
      </c>
      <c r="S476" s="6" t="str">
        <f>IF(Table2[[#This Row],[Avg_score]]&gt;=79,"Distinction",IF(Table2[[#This Row],[Avg_score]]&gt;=60,"Pass","Fail"))</f>
        <v>Distinction</v>
      </c>
      <c r="T476" t="s">
        <v>39</v>
      </c>
      <c r="U476">
        <f>IF(Table2[[#This Row],[Completed]]="Yes",1,0)</f>
        <v>1</v>
      </c>
      <c r="V476" t="s">
        <v>39</v>
      </c>
      <c r="W476" t="s">
        <v>40</v>
      </c>
      <c r="X476" s="4">
        <v>45838</v>
      </c>
    </row>
    <row r="477" spans="1:24" x14ac:dyDescent="0.3">
      <c r="A477">
        <v>476</v>
      </c>
      <c r="B477" s="8">
        <v>159</v>
      </c>
      <c r="C477">
        <v>2</v>
      </c>
      <c r="D477" t="s">
        <v>19</v>
      </c>
      <c r="E477" t="s">
        <v>23</v>
      </c>
      <c r="F477">
        <v>32</v>
      </c>
      <c r="G477" t="str">
        <f>IF(Table2[[#This Row],[Age]]&gt;=30,"Experienced",IF(Table2[[#This Row],[Age]]&gt;=25,"Mid Level", "Entry Level"))</f>
        <v>Experienced</v>
      </c>
      <c r="H477" t="s">
        <v>25</v>
      </c>
      <c r="I477" t="s">
        <v>32</v>
      </c>
      <c r="J477" s="4">
        <v>45725</v>
      </c>
      <c r="K477" s="4" t="str">
        <f>TEXT(Table2[[#This Row],[Enrollment_date]],"Mmm")</f>
        <v>Mar</v>
      </c>
      <c r="L477" s="4" t="str">
        <f>TEXT(Table2[[#This Row],[Enrollment_date]],"Ddd")</f>
        <v>Sun</v>
      </c>
      <c r="M477" s="4" t="s">
        <v>34</v>
      </c>
      <c r="N477" t="s">
        <v>36</v>
      </c>
      <c r="O477" t="s">
        <v>38</v>
      </c>
      <c r="P477" s="8">
        <v>4</v>
      </c>
      <c r="Q477" s="6">
        <v>0.9375</v>
      </c>
      <c r="R477" s="6">
        <v>77</v>
      </c>
      <c r="S477" s="6" t="str">
        <f>IF(Table2[[#This Row],[Avg_score]]&gt;=79,"Distinction",IF(Table2[[#This Row],[Avg_score]]&gt;=60,"Pass","Fail"))</f>
        <v>Pass</v>
      </c>
      <c r="T477" t="s">
        <v>39</v>
      </c>
      <c r="U477">
        <f>IF(Table2[[#This Row],[Completed]]="Yes",1,0)</f>
        <v>1</v>
      </c>
      <c r="V477" t="s">
        <v>39</v>
      </c>
      <c r="W477" t="s">
        <v>40</v>
      </c>
      <c r="X477" s="4">
        <v>45838</v>
      </c>
    </row>
    <row r="478" spans="1:24" x14ac:dyDescent="0.3">
      <c r="A478">
        <v>477</v>
      </c>
      <c r="B478" s="8">
        <v>159</v>
      </c>
      <c r="C478">
        <v>3</v>
      </c>
      <c r="D478" t="s">
        <v>19</v>
      </c>
      <c r="E478" t="s">
        <v>23</v>
      </c>
      <c r="F478">
        <v>32</v>
      </c>
      <c r="G478" t="str">
        <f>IF(Table2[[#This Row],[Age]]&gt;=30,"Experienced",IF(Table2[[#This Row],[Age]]&gt;=25,"Mid Level", "Entry Level"))</f>
        <v>Experienced</v>
      </c>
      <c r="H478" t="s">
        <v>25</v>
      </c>
      <c r="I478" t="s">
        <v>32</v>
      </c>
      <c r="J478" s="4">
        <v>45725</v>
      </c>
      <c r="K478" s="4" t="str">
        <f>TEXT(Table2[[#This Row],[Enrollment_date]],"Mmm")</f>
        <v>Mar</v>
      </c>
      <c r="L478" s="4" t="str">
        <f>TEXT(Table2[[#This Row],[Enrollment_date]],"Ddd")</f>
        <v>Sun</v>
      </c>
      <c r="M478" s="4" t="s">
        <v>34</v>
      </c>
      <c r="N478" t="s">
        <v>37</v>
      </c>
      <c r="O478" t="s">
        <v>38</v>
      </c>
      <c r="P478" s="8">
        <v>4</v>
      </c>
      <c r="Q478" s="6">
        <v>0.77083333333333337</v>
      </c>
      <c r="R478" s="6">
        <v>56.5</v>
      </c>
      <c r="S478" s="6" t="str">
        <f>IF(Table2[[#This Row],[Avg_score]]&gt;=79,"Distinction",IF(Table2[[#This Row],[Avg_score]]&gt;=60,"Pass","Fail"))</f>
        <v>Fail</v>
      </c>
      <c r="T478" t="s">
        <v>39</v>
      </c>
      <c r="U478">
        <f>IF(Table2[[#This Row],[Completed]]="Yes",1,0)</f>
        <v>1</v>
      </c>
      <c r="V478" t="s">
        <v>39</v>
      </c>
      <c r="W478" t="s">
        <v>40</v>
      </c>
      <c r="X478" s="4">
        <v>45838</v>
      </c>
    </row>
    <row r="479" spans="1:24" x14ac:dyDescent="0.3">
      <c r="A479">
        <v>478</v>
      </c>
      <c r="B479" s="8">
        <v>160</v>
      </c>
      <c r="C479">
        <v>1</v>
      </c>
      <c r="D479" t="s">
        <v>19</v>
      </c>
      <c r="E479" t="s">
        <v>22</v>
      </c>
      <c r="F479">
        <v>31</v>
      </c>
      <c r="G479" t="str">
        <f>IF(Table2[[#This Row],[Age]]&gt;=30,"Experienced",IF(Table2[[#This Row],[Age]]&gt;=25,"Mid Level", "Entry Level"))</f>
        <v>Experienced</v>
      </c>
      <c r="H479" t="s">
        <v>25</v>
      </c>
      <c r="I479" t="s">
        <v>32</v>
      </c>
      <c r="J479" s="4">
        <v>45696</v>
      </c>
      <c r="K479" s="4" t="str">
        <f>TEXT(Table2[[#This Row],[Enrollment_date]],"Mmm")</f>
        <v>Feb</v>
      </c>
      <c r="L479" s="4" t="str">
        <f>TEXT(Table2[[#This Row],[Enrollment_date]],"Ddd")</f>
        <v>Sat</v>
      </c>
      <c r="M479" s="4" t="s">
        <v>34</v>
      </c>
      <c r="N479" t="s">
        <v>35</v>
      </c>
      <c r="O479" t="s">
        <v>38</v>
      </c>
      <c r="P479" s="8">
        <v>4</v>
      </c>
      <c r="Q479" s="6">
        <v>0.83333333333333337</v>
      </c>
      <c r="R479" s="6">
        <v>67</v>
      </c>
      <c r="S479" s="6" t="str">
        <f>IF(Table2[[#This Row],[Avg_score]]&gt;=79,"Distinction",IF(Table2[[#This Row],[Avg_score]]&gt;=60,"Pass","Fail"))</f>
        <v>Pass</v>
      </c>
      <c r="T479" t="s">
        <v>39</v>
      </c>
      <c r="U479">
        <f>IF(Table2[[#This Row],[Completed]]="Yes",1,0)</f>
        <v>1</v>
      </c>
      <c r="V479" t="s">
        <v>40</v>
      </c>
      <c r="W479" t="s">
        <v>40</v>
      </c>
      <c r="X479" s="4">
        <v>45838</v>
      </c>
    </row>
    <row r="480" spans="1:24" x14ac:dyDescent="0.3">
      <c r="A480">
        <v>479</v>
      </c>
      <c r="B480" s="8">
        <v>160</v>
      </c>
      <c r="C480">
        <v>2</v>
      </c>
      <c r="D480" t="s">
        <v>19</v>
      </c>
      <c r="E480" t="s">
        <v>22</v>
      </c>
      <c r="F480">
        <v>31</v>
      </c>
      <c r="G480" t="str">
        <f>IF(Table2[[#This Row],[Age]]&gt;=30,"Experienced",IF(Table2[[#This Row],[Age]]&gt;=25,"Mid Level", "Entry Level"))</f>
        <v>Experienced</v>
      </c>
      <c r="H480" t="s">
        <v>25</v>
      </c>
      <c r="I480" t="s">
        <v>32</v>
      </c>
      <c r="J480" s="4">
        <v>45696</v>
      </c>
      <c r="K480" s="4" t="str">
        <f>TEXT(Table2[[#This Row],[Enrollment_date]],"Mmm")</f>
        <v>Feb</v>
      </c>
      <c r="L480" s="4" t="str">
        <f>TEXT(Table2[[#This Row],[Enrollment_date]],"Ddd")</f>
        <v>Sat</v>
      </c>
      <c r="M480" s="4" t="s">
        <v>34</v>
      </c>
      <c r="N480" t="s">
        <v>36</v>
      </c>
      <c r="O480" t="s">
        <v>38</v>
      </c>
      <c r="P480" s="8">
        <v>4</v>
      </c>
      <c r="Q480" s="6">
        <v>0.875</v>
      </c>
      <c r="R480" s="6">
        <v>56.5</v>
      </c>
      <c r="S480" s="6" t="str">
        <f>IF(Table2[[#This Row],[Avg_score]]&gt;=79,"Distinction",IF(Table2[[#This Row],[Avg_score]]&gt;=60,"Pass","Fail"))</f>
        <v>Fail</v>
      </c>
      <c r="T480" t="s">
        <v>39</v>
      </c>
      <c r="U480">
        <f>IF(Table2[[#This Row],[Completed]]="Yes",1,0)</f>
        <v>1</v>
      </c>
      <c r="V480" t="s">
        <v>40</v>
      </c>
      <c r="W480" t="s">
        <v>40</v>
      </c>
      <c r="X480" s="4">
        <v>45838</v>
      </c>
    </row>
    <row r="481" spans="1:24" x14ac:dyDescent="0.3">
      <c r="A481">
        <v>480</v>
      </c>
      <c r="B481" s="8">
        <v>160</v>
      </c>
      <c r="C481">
        <v>3</v>
      </c>
      <c r="D481" t="s">
        <v>19</v>
      </c>
      <c r="E481" t="s">
        <v>22</v>
      </c>
      <c r="F481">
        <v>31</v>
      </c>
      <c r="G481" t="str">
        <f>IF(Table2[[#This Row],[Age]]&gt;=30,"Experienced",IF(Table2[[#This Row],[Age]]&gt;=25,"Mid Level", "Entry Level"))</f>
        <v>Experienced</v>
      </c>
      <c r="H481" t="s">
        <v>25</v>
      </c>
      <c r="I481" t="s">
        <v>32</v>
      </c>
      <c r="J481" s="4">
        <v>45696</v>
      </c>
      <c r="K481" s="4" t="str">
        <f>TEXT(Table2[[#This Row],[Enrollment_date]],"Mmm")</f>
        <v>Feb</v>
      </c>
      <c r="L481" s="4" t="str">
        <f>TEXT(Table2[[#This Row],[Enrollment_date]],"Ddd")</f>
        <v>Sat</v>
      </c>
      <c r="M481" s="4" t="s">
        <v>34</v>
      </c>
      <c r="N481" t="s">
        <v>37</v>
      </c>
      <c r="O481" t="s">
        <v>38</v>
      </c>
      <c r="P481" s="8">
        <v>4</v>
      </c>
      <c r="Q481" s="6">
        <v>0.875</v>
      </c>
      <c r="R481" s="6">
        <v>68</v>
      </c>
      <c r="S481" s="6" t="str">
        <f>IF(Table2[[#This Row],[Avg_score]]&gt;=79,"Distinction",IF(Table2[[#This Row],[Avg_score]]&gt;=60,"Pass","Fail"))</f>
        <v>Pass</v>
      </c>
      <c r="T481" t="s">
        <v>39</v>
      </c>
      <c r="U481">
        <f>IF(Table2[[#This Row],[Completed]]="Yes",1,0)</f>
        <v>1</v>
      </c>
      <c r="V481" t="s">
        <v>40</v>
      </c>
      <c r="W481" t="s">
        <v>40</v>
      </c>
      <c r="X481" s="4">
        <v>45838</v>
      </c>
    </row>
    <row r="482" spans="1:24" x14ac:dyDescent="0.3">
      <c r="A482">
        <v>481</v>
      </c>
      <c r="B482" s="8">
        <v>161</v>
      </c>
      <c r="C482">
        <v>1</v>
      </c>
      <c r="D482" t="s">
        <v>19</v>
      </c>
      <c r="E482" t="s">
        <v>23</v>
      </c>
      <c r="F482">
        <v>22</v>
      </c>
      <c r="G482" t="str">
        <f>IF(Table2[[#This Row],[Age]]&gt;=30,"Experienced",IF(Table2[[#This Row],[Age]]&gt;=25,"Mid Level", "Entry Level"))</f>
        <v>Entry Level</v>
      </c>
      <c r="H482" t="s">
        <v>25</v>
      </c>
      <c r="I482" t="s">
        <v>68</v>
      </c>
      <c r="J482" s="4">
        <v>45700</v>
      </c>
      <c r="K482" s="4" t="str">
        <f>TEXT(Table2[[#This Row],[Enrollment_date]],"Mmm")</f>
        <v>Feb</v>
      </c>
      <c r="L482" s="4" t="str">
        <f>TEXT(Table2[[#This Row],[Enrollment_date]],"Ddd")</f>
        <v>Wed</v>
      </c>
      <c r="M482" s="4" t="s">
        <v>34</v>
      </c>
      <c r="N482" t="s">
        <v>35</v>
      </c>
      <c r="O482" t="s">
        <v>38</v>
      </c>
      <c r="P482" s="8">
        <v>4</v>
      </c>
      <c r="Q482" s="6">
        <v>0.875</v>
      </c>
      <c r="R482" s="6">
        <v>78</v>
      </c>
      <c r="S482" s="6" t="str">
        <f>IF(Table2[[#This Row],[Avg_score]]&gt;=79,"Distinction",IF(Table2[[#This Row],[Avg_score]]&gt;=60,"Pass","Fail"))</f>
        <v>Pass</v>
      </c>
      <c r="T482" t="s">
        <v>39</v>
      </c>
      <c r="U482">
        <f>IF(Table2[[#This Row],[Completed]]="Yes",1,0)</f>
        <v>1</v>
      </c>
      <c r="V482" t="s">
        <v>39</v>
      </c>
      <c r="W482" t="s">
        <v>40</v>
      </c>
      <c r="X482" s="4">
        <v>45838</v>
      </c>
    </row>
    <row r="483" spans="1:24" x14ac:dyDescent="0.3">
      <c r="A483">
        <v>482</v>
      </c>
      <c r="B483" s="8">
        <v>161</v>
      </c>
      <c r="C483">
        <v>2</v>
      </c>
      <c r="D483" t="s">
        <v>19</v>
      </c>
      <c r="E483" t="s">
        <v>23</v>
      </c>
      <c r="F483">
        <v>22</v>
      </c>
      <c r="G483" t="str">
        <f>IF(Table2[[#This Row],[Age]]&gt;=30,"Experienced",IF(Table2[[#This Row],[Age]]&gt;=25,"Mid Level", "Entry Level"))</f>
        <v>Entry Level</v>
      </c>
      <c r="H483" t="s">
        <v>25</v>
      </c>
      <c r="I483" t="s">
        <v>68</v>
      </c>
      <c r="J483" s="4">
        <v>45700</v>
      </c>
      <c r="K483" s="4" t="str">
        <f>TEXT(Table2[[#This Row],[Enrollment_date]],"Mmm")</f>
        <v>Feb</v>
      </c>
      <c r="L483" s="4" t="str">
        <f>TEXT(Table2[[#This Row],[Enrollment_date]],"Ddd")</f>
        <v>Wed</v>
      </c>
      <c r="M483" s="4" t="s">
        <v>34</v>
      </c>
      <c r="N483" t="s">
        <v>36</v>
      </c>
      <c r="O483" t="s">
        <v>38</v>
      </c>
      <c r="P483" s="8">
        <v>4</v>
      </c>
      <c r="Q483" s="6">
        <v>0.85416666666666663</v>
      </c>
      <c r="R483" s="6">
        <v>80.5</v>
      </c>
      <c r="S483" s="6" t="str">
        <f>IF(Table2[[#This Row],[Avg_score]]&gt;=79,"Distinction",IF(Table2[[#This Row],[Avg_score]]&gt;=60,"Pass","Fail"))</f>
        <v>Distinction</v>
      </c>
      <c r="T483" t="s">
        <v>39</v>
      </c>
      <c r="U483">
        <f>IF(Table2[[#This Row],[Completed]]="Yes",1,0)</f>
        <v>1</v>
      </c>
      <c r="V483" t="s">
        <v>39</v>
      </c>
      <c r="W483" t="s">
        <v>40</v>
      </c>
      <c r="X483" s="4">
        <v>45838</v>
      </c>
    </row>
    <row r="484" spans="1:24" x14ac:dyDescent="0.3">
      <c r="A484">
        <v>483</v>
      </c>
      <c r="B484" s="8">
        <v>161</v>
      </c>
      <c r="C484">
        <v>3</v>
      </c>
      <c r="D484" t="s">
        <v>19</v>
      </c>
      <c r="E484" t="s">
        <v>23</v>
      </c>
      <c r="F484">
        <v>22</v>
      </c>
      <c r="G484" t="str">
        <f>IF(Table2[[#This Row],[Age]]&gt;=30,"Experienced",IF(Table2[[#This Row],[Age]]&gt;=25,"Mid Level", "Entry Level"))</f>
        <v>Entry Level</v>
      </c>
      <c r="H484" t="s">
        <v>25</v>
      </c>
      <c r="I484" t="s">
        <v>68</v>
      </c>
      <c r="J484" s="4">
        <v>45700</v>
      </c>
      <c r="K484" s="4" t="str">
        <f>TEXT(Table2[[#This Row],[Enrollment_date]],"Mmm")</f>
        <v>Feb</v>
      </c>
      <c r="L484" s="4" t="str">
        <f>TEXT(Table2[[#This Row],[Enrollment_date]],"Ddd")</f>
        <v>Wed</v>
      </c>
      <c r="M484" s="4" t="s">
        <v>34</v>
      </c>
      <c r="N484" t="s">
        <v>37</v>
      </c>
      <c r="O484" t="s">
        <v>38</v>
      </c>
      <c r="P484" s="8">
        <v>4</v>
      </c>
      <c r="Q484" s="6">
        <v>0.75</v>
      </c>
      <c r="R484" s="6">
        <v>62.5</v>
      </c>
      <c r="S484" s="6" t="str">
        <f>IF(Table2[[#This Row],[Avg_score]]&gt;=79,"Distinction",IF(Table2[[#This Row],[Avg_score]]&gt;=60,"Pass","Fail"))</f>
        <v>Pass</v>
      </c>
      <c r="T484" t="s">
        <v>39</v>
      </c>
      <c r="U484">
        <f>IF(Table2[[#This Row],[Completed]]="Yes",1,0)</f>
        <v>1</v>
      </c>
      <c r="V484" t="s">
        <v>39</v>
      </c>
      <c r="W484" t="s">
        <v>40</v>
      </c>
      <c r="X484" s="4">
        <v>45838</v>
      </c>
    </row>
    <row r="485" spans="1:24" x14ac:dyDescent="0.3">
      <c r="A485">
        <v>484</v>
      </c>
      <c r="B485" s="8">
        <v>162</v>
      </c>
      <c r="C485">
        <v>1</v>
      </c>
      <c r="D485" t="s">
        <v>19</v>
      </c>
      <c r="E485" t="s">
        <v>23</v>
      </c>
      <c r="F485">
        <v>27</v>
      </c>
      <c r="G485" t="str">
        <f>IF(Table2[[#This Row],[Age]]&gt;=30,"Experienced",IF(Table2[[#This Row],[Age]]&gt;=25,"Mid Level", "Entry Level"))</f>
        <v>Mid Level</v>
      </c>
      <c r="H485" t="s">
        <v>27</v>
      </c>
      <c r="I485" t="s">
        <v>68</v>
      </c>
      <c r="J485" s="4">
        <v>45777</v>
      </c>
      <c r="K485" s="4" t="str">
        <f>TEXT(Table2[[#This Row],[Enrollment_date]],"Mmm")</f>
        <v>Apr</v>
      </c>
      <c r="L485" s="4" t="str">
        <f>TEXT(Table2[[#This Row],[Enrollment_date]],"Ddd")</f>
        <v>Wed</v>
      </c>
      <c r="M485" s="4" t="s">
        <v>34</v>
      </c>
      <c r="N485" t="s">
        <v>35</v>
      </c>
      <c r="O485" t="s">
        <v>38</v>
      </c>
      <c r="P485" s="8">
        <v>4</v>
      </c>
      <c r="Q485" s="6">
        <v>0.79166666666666663</v>
      </c>
      <c r="R485" s="6">
        <v>74.5</v>
      </c>
      <c r="S485" s="6" t="str">
        <f>IF(Table2[[#This Row],[Avg_score]]&gt;=79,"Distinction",IF(Table2[[#This Row],[Avg_score]]&gt;=60,"Pass","Fail"))</f>
        <v>Pass</v>
      </c>
      <c r="T485" t="s">
        <v>39</v>
      </c>
      <c r="U485">
        <f>IF(Table2[[#This Row],[Completed]]="Yes",1,0)</f>
        <v>1</v>
      </c>
      <c r="V485" t="s">
        <v>39</v>
      </c>
      <c r="W485" t="s">
        <v>40</v>
      </c>
      <c r="X485" s="4">
        <v>45838</v>
      </c>
    </row>
    <row r="486" spans="1:24" x14ac:dyDescent="0.3">
      <c r="A486">
        <v>485</v>
      </c>
      <c r="B486" s="8">
        <v>162</v>
      </c>
      <c r="C486">
        <v>2</v>
      </c>
      <c r="D486" t="s">
        <v>19</v>
      </c>
      <c r="E486" t="s">
        <v>23</v>
      </c>
      <c r="F486">
        <v>27</v>
      </c>
      <c r="G486" t="str">
        <f>IF(Table2[[#This Row],[Age]]&gt;=30,"Experienced",IF(Table2[[#This Row],[Age]]&gt;=25,"Mid Level", "Entry Level"))</f>
        <v>Mid Level</v>
      </c>
      <c r="H486" t="s">
        <v>27</v>
      </c>
      <c r="I486" t="s">
        <v>68</v>
      </c>
      <c r="J486" s="4">
        <v>45777</v>
      </c>
      <c r="K486" s="4" t="str">
        <f>TEXT(Table2[[#This Row],[Enrollment_date]],"Mmm")</f>
        <v>Apr</v>
      </c>
      <c r="L486" s="4" t="str">
        <f>TEXT(Table2[[#This Row],[Enrollment_date]],"Ddd")</f>
        <v>Wed</v>
      </c>
      <c r="M486" s="4" t="s">
        <v>34</v>
      </c>
      <c r="N486" t="s">
        <v>36</v>
      </c>
      <c r="O486" t="s">
        <v>38</v>
      </c>
      <c r="P486" s="8">
        <v>4</v>
      </c>
      <c r="Q486" s="6">
        <v>0.91666666666666663</v>
      </c>
      <c r="R486" s="6">
        <v>59</v>
      </c>
      <c r="S486" s="6" t="str">
        <f>IF(Table2[[#This Row],[Avg_score]]&gt;=79,"Distinction",IF(Table2[[#This Row],[Avg_score]]&gt;=60,"Pass","Fail"))</f>
        <v>Fail</v>
      </c>
      <c r="T486" t="s">
        <v>39</v>
      </c>
      <c r="U486">
        <f>IF(Table2[[#This Row],[Completed]]="Yes",1,0)</f>
        <v>1</v>
      </c>
      <c r="V486" t="s">
        <v>39</v>
      </c>
      <c r="W486" t="s">
        <v>40</v>
      </c>
      <c r="X486" s="4">
        <v>45838</v>
      </c>
    </row>
    <row r="487" spans="1:24" x14ac:dyDescent="0.3">
      <c r="A487">
        <v>486</v>
      </c>
      <c r="B487" s="8">
        <v>162</v>
      </c>
      <c r="C487">
        <v>3</v>
      </c>
      <c r="D487" t="s">
        <v>19</v>
      </c>
      <c r="E487" t="s">
        <v>23</v>
      </c>
      <c r="F487">
        <v>27</v>
      </c>
      <c r="G487" t="str">
        <f>IF(Table2[[#This Row],[Age]]&gt;=30,"Experienced",IF(Table2[[#This Row],[Age]]&gt;=25,"Mid Level", "Entry Level"))</f>
        <v>Mid Level</v>
      </c>
      <c r="H487" t="s">
        <v>27</v>
      </c>
      <c r="I487" t="s">
        <v>68</v>
      </c>
      <c r="J487" s="4">
        <v>45777</v>
      </c>
      <c r="K487" s="4" t="str">
        <f>TEXT(Table2[[#This Row],[Enrollment_date]],"Mmm")</f>
        <v>Apr</v>
      </c>
      <c r="L487" s="4" t="str">
        <f>TEXT(Table2[[#This Row],[Enrollment_date]],"Ddd")</f>
        <v>Wed</v>
      </c>
      <c r="M487" s="4" t="s">
        <v>34</v>
      </c>
      <c r="N487" t="s">
        <v>37</v>
      </c>
      <c r="O487" t="s">
        <v>38</v>
      </c>
      <c r="P487" s="8">
        <v>4</v>
      </c>
      <c r="Q487" s="6">
        <v>0.79166666666666663</v>
      </c>
      <c r="R487" s="6">
        <v>80.5</v>
      </c>
      <c r="S487" s="6" t="str">
        <f>IF(Table2[[#This Row],[Avg_score]]&gt;=79,"Distinction",IF(Table2[[#This Row],[Avg_score]]&gt;=60,"Pass","Fail"))</f>
        <v>Distinction</v>
      </c>
      <c r="T487" t="s">
        <v>39</v>
      </c>
      <c r="U487">
        <f>IF(Table2[[#This Row],[Completed]]="Yes",1,0)</f>
        <v>1</v>
      </c>
      <c r="V487" t="s">
        <v>39</v>
      </c>
      <c r="W487" t="s">
        <v>40</v>
      </c>
      <c r="X487" s="4">
        <v>45838</v>
      </c>
    </row>
    <row r="488" spans="1:24" x14ac:dyDescent="0.3">
      <c r="A488">
        <v>487</v>
      </c>
      <c r="B488" s="8">
        <v>163</v>
      </c>
      <c r="C488">
        <v>1</v>
      </c>
      <c r="D488" t="s">
        <v>19</v>
      </c>
      <c r="E488" t="s">
        <v>23</v>
      </c>
      <c r="F488">
        <v>30</v>
      </c>
      <c r="G488" t="str">
        <f>IF(Table2[[#This Row],[Age]]&gt;=30,"Experienced",IF(Table2[[#This Row],[Age]]&gt;=25,"Mid Level", "Entry Level"))</f>
        <v>Experienced</v>
      </c>
      <c r="H488" t="s">
        <v>29</v>
      </c>
      <c r="I488" t="s">
        <v>44</v>
      </c>
      <c r="J488" s="4">
        <v>45770</v>
      </c>
      <c r="K488" s="4" t="str">
        <f>TEXT(Table2[[#This Row],[Enrollment_date]],"Mmm")</f>
        <v>Apr</v>
      </c>
      <c r="L488" s="4" t="str">
        <f>TEXT(Table2[[#This Row],[Enrollment_date]],"Ddd")</f>
        <v>Wed</v>
      </c>
      <c r="M488" s="4" t="s">
        <v>34</v>
      </c>
      <c r="N488" t="s">
        <v>35</v>
      </c>
      <c r="O488" t="s">
        <v>38</v>
      </c>
      <c r="P488" s="8">
        <v>4</v>
      </c>
      <c r="Q488" s="6">
        <v>0.79166666666666663</v>
      </c>
      <c r="R488" s="6">
        <v>71</v>
      </c>
      <c r="S488" s="6" t="str">
        <f>IF(Table2[[#This Row],[Avg_score]]&gt;=79,"Distinction",IF(Table2[[#This Row],[Avg_score]]&gt;=60,"Pass","Fail"))</f>
        <v>Pass</v>
      </c>
      <c r="T488" t="s">
        <v>39</v>
      </c>
      <c r="U488">
        <f>IF(Table2[[#This Row],[Completed]]="Yes",1,0)</f>
        <v>1</v>
      </c>
      <c r="V488" t="s">
        <v>39</v>
      </c>
      <c r="W488" t="s">
        <v>40</v>
      </c>
      <c r="X488" s="4">
        <v>45838</v>
      </c>
    </row>
    <row r="489" spans="1:24" x14ac:dyDescent="0.3">
      <c r="A489">
        <v>488</v>
      </c>
      <c r="B489" s="8">
        <v>163</v>
      </c>
      <c r="C489">
        <v>2</v>
      </c>
      <c r="D489" t="s">
        <v>19</v>
      </c>
      <c r="E489" t="s">
        <v>23</v>
      </c>
      <c r="F489">
        <v>30</v>
      </c>
      <c r="G489" t="str">
        <f>IF(Table2[[#This Row],[Age]]&gt;=30,"Experienced",IF(Table2[[#This Row],[Age]]&gt;=25,"Mid Level", "Entry Level"))</f>
        <v>Experienced</v>
      </c>
      <c r="H489" t="s">
        <v>29</v>
      </c>
      <c r="I489" t="s">
        <v>44</v>
      </c>
      <c r="J489" s="4">
        <v>45770</v>
      </c>
      <c r="K489" s="4" t="str">
        <f>TEXT(Table2[[#This Row],[Enrollment_date]],"Mmm")</f>
        <v>Apr</v>
      </c>
      <c r="L489" s="4" t="str">
        <f>TEXT(Table2[[#This Row],[Enrollment_date]],"Ddd")</f>
        <v>Wed</v>
      </c>
      <c r="M489" s="4" t="s">
        <v>34</v>
      </c>
      <c r="N489" t="s">
        <v>36</v>
      </c>
      <c r="O489" t="s">
        <v>38</v>
      </c>
      <c r="P489" s="8">
        <v>4</v>
      </c>
      <c r="Q489" s="6">
        <v>0.89583333333333337</v>
      </c>
      <c r="R489" s="6">
        <v>72.5</v>
      </c>
      <c r="S489" s="6" t="str">
        <f>IF(Table2[[#This Row],[Avg_score]]&gt;=79,"Distinction",IF(Table2[[#This Row],[Avg_score]]&gt;=60,"Pass","Fail"))</f>
        <v>Pass</v>
      </c>
      <c r="T489" t="s">
        <v>39</v>
      </c>
      <c r="U489">
        <f>IF(Table2[[#This Row],[Completed]]="Yes",1,0)</f>
        <v>1</v>
      </c>
      <c r="V489" t="s">
        <v>39</v>
      </c>
      <c r="W489" t="s">
        <v>40</v>
      </c>
      <c r="X489" s="4">
        <v>45838</v>
      </c>
    </row>
    <row r="490" spans="1:24" x14ac:dyDescent="0.3">
      <c r="A490">
        <v>489</v>
      </c>
      <c r="B490" s="8">
        <v>163</v>
      </c>
      <c r="C490">
        <v>3</v>
      </c>
      <c r="D490" t="s">
        <v>20</v>
      </c>
      <c r="E490" t="s">
        <v>23</v>
      </c>
      <c r="F490">
        <v>30</v>
      </c>
      <c r="G490" t="str">
        <f>IF(Table2[[#This Row],[Age]]&gt;=30,"Experienced",IF(Table2[[#This Row],[Age]]&gt;=25,"Mid Level", "Entry Level"))</f>
        <v>Experienced</v>
      </c>
      <c r="H490" t="s">
        <v>29</v>
      </c>
      <c r="I490" t="s">
        <v>44</v>
      </c>
      <c r="J490" s="4">
        <v>45770</v>
      </c>
      <c r="K490" s="4" t="str">
        <f>TEXT(Table2[[#This Row],[Enrollment_date]],"Mmm")</f>
        <v>Apr</v>
      </c>
      <c r="L490" s="4" t="str">
        <f>TEXT(Table2[[#This Row],[Enrollment_date]],"Ddd")</f>
        <v>Wed</v>
      </c>
      <c r="M490" s="4" t="s">
        <v>34</v>
      </c>
      <c r="N490" t="s">
        <v>37</v>
      </c>
      <c r="O490" t="s">
        <v>38</v>
      </c>
      <c r="P490" s="8">
        <v>4</v>
      </c>
      <c r="Q490" s="6">
        <v>0.85416666666666663</v>
      </c>
      <c r="R490" s="6">
        <v>86</v>
      </c>
      <c r="S490" s="6" t="str">
        <f>IF(Table2[[#This Row],[Avg_score]]&gt;=79,"Distinction",IF(Table2[[#This Row],[Avg_score]]&gt;=60,"Pass","Fail"))</f>
        <v>Distinction</v>
      </c>
      <c r="T490" t="s">
        <v>39</v>
      </c>
      <c r="U490">
        <f>IF(Table2[[#This Row],[Completed]]="Yes",1,0)</f>
        <v>1</v>
      </c>
      <c r="V490" t="s">
        <v>39</v>
      </c>
      <c r="W490" t="s">
        <v>40</v>
      </c>
      <c r="X490" s="4">
        <v>45838</v>
      </c>
    </row>
    <row r="491" spans="1:24" x14ac:dyDescent="0.3">
      <c r="A491">
        <v>490</v>
      </c>
      <c r="B491" s="8">
        <v>164</v>
      </c>
      <c r="C491">
        <v>1</v>
      </c>
      <c r="D491" t="s">
        <v>19</v>
      </c>
      <c r="E491" t="s">
        <v>22</v>
      </c>
      <c r="F491">
        <v>19</v>
      </c>
      <c r="G491" t="str">
        <f>IF(Table2[[#This Row],[Age]]&gt;=30,"Experienced",IF(Table2[[#This Row],[Age]]&gt;=25,"Mid Level", "Entry Level"))</f>
        <v>Entry Level</v>
      </c>
      <c r="H491" t="s">
        <v>27</v>
      </c>
      <c r="I491" t="s">
        <v>30</v>
      </c>
      <c r="J491" s="4">
        <v>45722</v>
      </c>
      <c r="K491" s="4" t="str">
        <f>TEXT(Table2[[#This Row],[Enrollment_date]],"Mmm")</f>
        <v>Mar</v>
      </c>
      <c r="L491" s="4" t="str">
        <f>TEXT(Table2[[#This Row],[Enrollment_date]],"Ddd")</f>
        <v>Thu</v>
      </c>
      <c r="M491" s="4" t="s">
        <v>34</v>
      </c>
      <c r="N491" t="s">
        <v>35</v>
      </c>
      <c r="O491" t="s">
        <v>38</v>
      </c>
      <c r="P491" s="8">
        <v>4</v>
      </c>
      <c r="Q491" s="6">
        <v>0.75</v>
      </c>
      <c r="R491" s="6">
        <v>67</v>
      </c>
      <c r="S491" s="6" t="str">
        <f>IF(Table2[[#This Row],[Avg_score]]&gt;=79,"Distinction",IF(Table2[[#This Row],[Avg_score]]&gt;=60,"Pass","Fail"))</f>
        <v>Pass</v>
      </c>
      <c r="T491" t="s">
        <v>39</v>
      </c>
      <c r="U491">
        <f>IF(Table2[[#This Row],[Completed]]="Yes",1,0)</f>
        <v>1</v>
      </c>
      <c r="V491" t="s">
        <v>39</v>
      </c>
      <c r="W491" t="s">
        <v>39</v>
      </c>
      <c r="X491" s="4">
        <v>45838</v>
      </c>
    </row>
    <row r="492" spans="1:24" x14ac:dyDescent="0.3">
      <c r="A492">
        <v>491</v>
      </c>
      <c r="B492" s="8">
        <v>164</v>
      </c>
      <c r="C492">
        <v>2</v>
      </c>
      <c r="D492" t="s">
        <v>19</v>
      </c>
      <c r="E492" t="s">
        <v>22</v>
      </c>
      <c r="F492">
        <v>19</v>
      </c>
      <c r="G492" t="str">
        <f>IF(Table2[[#This Row],[Age]]&gt;=30,"Experienced",IF(Table2[[#This Row],[Age]]&gt;=25,"Mid Level", "Entry Level"))</f>
        <v>Entry Level</v>
      </c>
      <c r="H492" t="s">
        <v>27</v>
      </c>
      <c r="I492" t="s">
        <v>30</v>
      </c>
      <c r="J492" s="4">
        <v>45722</v>
      </c>
      <c r="K492" s="4" t="str">
        <f>TEXT(Table2[[#This Row],[Enrollment_date]],"Mmm")</f>
        <v>Mar</v>
      </c>
      <c r="L492" s="4" t="str">
        <f>TEXT(Table2[[#This Row],[Enrollment_date]],"Ddd")</f>
        <v>Thu</v>
      </c>
      <c r="M492" s="4" t="s">
        <v>34</v>
      </c>
      <c r="N492" t="s">
        <v>36</v>
      </c>
      <c r="O492" t="s">
        <v>38</v>
      </c>
      <c r="P492" s="8">
        <v>4</v>
      </c>
      <c r="Q492" s="6">
        <v>0.77083333333333337</v>
      </c>
      <c r="R492" s="6">
        <v>72.5</v>
      </c>
      <c r="S492" s="6" t="str">
        <f>IF(Table2[[#This Row],[Avg_score]]&gt;=79,"Distinction",IF(Table2[[#This Row],[Avg_score]]&gt;=60,"Pass","Fail"))</f>
        <v>Pass</v>
      </c>
      <c r="T492" t="s">
        <v>39</v>
      </c>
      <c r="U492">
        <f>IF(Table2[[#This Row],[Completed]]="Yes",1,0)</f>
        <v>1</v>
      </c>
      <c r="V492" t="s">
        <v>39</v>
      </c>
      <c r="W492" t="s">
        <v>39</v>
      </c>
      <c r="X492" s="4">
        <v>45838</v>
      </c>
    </row>
    <row r="493" spans="1:24" x14ac:dyDescent="0.3">
      <c r="A493">
        <v>492</v>
      </c>
      <c r="B493" s="8">
        <v>164</v>
      </c>
      <c r="C493">
        <v>3</v>
      </c>
      <c r="D493" t="s">
        <v>21</v>
      </c>
      <c r="E493" t="s">
        <v>22</v>
      </c>
      <c r="F493">
        <v>19</v>
      </c>
      <c r="G493" t="str">
        <f>IF(Table2[[#This Row],[Age]]&gt;=30,"Experienced",IF(Table2[[#This Row],[Age]]&gt;=25,"Mid Level", "Entry Level"))</f>
        <v>Entry Level</v>
      </c>
      <c r="H493" t="s">
        <v>27</v>
      </c>
      <c r="I493" t="s">
        <v>30</v>
      </c>
      <c r="J493" s="4">
        <v>45722</v>
      </c>
      <c r="K493" s="4" t="str">
        <f>TEXT(Table2[[#This Row],[Enrollment_date]],"Mmm")</f>
        <v>Mar</v>
      </c>
      <c r="L493" s="4" t="str">
        <f>TEXT(Table2[[#This Row],[Enrollment_date]],"Ddd")</f>
        <v>Thu</v>
      </c>
      <c r="M493" s="4" t="s">
        <v>34</v>
      </c>
      <c r="N493" t="s">
        <v>37</v>
      </c>
      <c r="O493" t="s">
        <v>38</v>
      </c>
      <c r="P493" s="8">
        <v>4</v>
      </c>
      <c r="Q493" s="6">
        <v>0.75</v>
      </c>
      <c r="R493" s="6">
        <v>77</v>
      </c>
      <c r="S493" s="6" t="str">
        <f>IF(Table2[[#This Row],[Avg_score]]&gt;=79,"Distinction",IF(Table2[[#This Row],[Avg_score]]&gt;=60,"Pass","Fail"))</f>
        <v>Pass</v>
      </c>
      <c r="T493" t="s">
        <v>39</v>
      </c>
      <c r="U493">
        <f>IF(Table2[[#This Row],[Completed]]="Yes",1,0)</f>
        <v>1</v>
      </c>
      <c r="V493" t="s">
        <v>39</v>
      </c>
      <c r="W493" t="s">
        <v>39</v>
      </c>
      <c r="X493" s="4">
        <v>45838</v>
      </c>
    </row>
    <row r="494" spans="1:24" x14ac:dyDescent="0.3">
      <c r="A494">
        <v>493</v>
      </c>
      <c r="B494" s="8">
        <v>165</v>
      </c>
      <c r="C494">
        <v>1</v>
      </c>
      <c r="D494" t="s">
        <v>19</v>
      </c>
      <c r="E494" t="s">
        <v>22</v>
      </c>
      <c r="F494">
        <v>20</v>
      </c>
      <c r="G494" t="str">
        <f>IF(Table2[[#This Row],[Age]]&gt;=30,"Experienced",IF(Table2[[#This Row],[Age]]&gt;=25,"Mid Level", "Entry Level"))</f>
        <v>Entry Level</v>
      </c>
      <c r="H494" t="s">
        <v>28</v>
      </c>
      <c r="I494" t="s">
        <v>68</v>
      </c>
      <c r="J494" s="4">
        <v>45726</v>
      </c>
      <c r="K494" s="4" t="str">
        <f>TEXT(Table2[[#This Row],[Enrollment_date]],"Mmm")</f>
        <v>Mar</v>
      </c>
      <c r="L494" s="4" t="str">
        <f>TEXT(Table2[[#This Row],[Enrollment_date]],"Ddd")</f>
        <v>Mon</v>
      </c>
      <c r="M494" s="4" t="s">
        <v>34</v>
      </c>
      <c r="N494" t="s">
        <v>35</v>
      </c>
      <c r="O494" t="s">
        <v>38</v>
      </c>
      <c r="P494" s="8">
        <v>4</v>
      </c>
      <c r="Q494" s="6">
        <v>0.85416666666666663</v>
      </c>
      <c r="R494" s="6">
        <v>82</v>
      </c>
      <c r="S494" s="6" t="str">
        <f>IF(Table2[[#This Row],[Avg_score]]&gt;=79,"Distinction",IF(Table2[[#This Row],[Avg_score]]&gt;=60,"Pass","Fail"))</f>
        <v>Distinction</v>
      </c>
      <c r="T494" t="s">
        <v>39</v>
      </c>
      <c r="U494">
        <f>IF(Table2[[#This Row],[Completed]]="Yes",1,0)</f>
        <v>1</v>
      </c>
      <c r="V494" t="s">
        <v>40</v>
      </c>
      <c r="W494" t="s">
        <v>40</v>
      </c>
      <c r="X494" s="4">
        <v>45838</v>
      </c>
    </row>
    <row r="495" spans="1:24" x14ac:dyDescent="0.3">
      <c r="A495">
        <v>494</v>
      </c>
      <c r="B495" s="8">
        <v>165</v>
      </c>
      <c r="C495">
        <v>2</v>
      </c>
      <c r="D495" t="s">
        <v>19</v>
      </c>
      <c r="E495" t="s">
        <v>22</v>
      </c>
      <c r="F495">
        <v>20</v>
      </c>
      <c r="G495" t="str">
        <f>IF(Table2[[#This Row],[Age]]&gt;=30,"Experienced",IF(Table2[[#This Row],[Age]]&gt;=25,"Mid Level", "Entry Level"))</f>
        <v>Entry Level</v>
      </c>
      <c r="H495" t="s">
        <v>28</v>
      </c>
      <c r="I495" t="s">
        <v>68</v>
      </c>
      <c r="J495" s="4">
        <v>45726</v>
      </c>
      <c r="K495" s="4" t="str">
        <f>TEXT(Table2[[#This Row],[Enrollment_date]],"Mmm")</f>
        <v>Mar</v>
      </c>
      <c r="L495" s="4" t="str">
        <f>TEXT(Table2[[#This Row],[Enrollment_date]],"Ddd")</f>
        <v>Mon</v>
      </c>
      <c r="M495" s="4" t="s">
        <v>34</v>
      </c>
      <c r="N495" t="s">
        <v>36</v>
      </c>
      <c r="O495" t="s">
        <v>38</v>
      </c>
      <c r="P495" s="8">
        <v>4</v>
      </c>
      <c r="Q495" s="6">
        <v>0.91666666666666663</v>
      </c>
      <c r="R495" s="6">
        <v>59</v>
      </c>
      <c r="S495" s="6" t="str">
        <f>IF(Table2[[#This Row],[Avg_score]]&gt;=79,"Distinction",IF(Table2[[#This Row],[Avg_score]]&gt;=60,"Pass","Fail"))</f>
        <v>Fail</v>
      </c>
      <c r="T495" t="s">
        <v>39</v>
      </c>
      <c r="U495">
        <f>IF(Table2[[#This Row],[Completed]]="Yes",1,0)</f>
        <v>1</v>
      </c>
      <c r="V495" t="s">
        <v>40</v>
      </c>
      <c r="W495" t="s">
        <v>40</v>
      </c>
      <c r="X495" s="4">
        <v>45838</v>
      </c>
    </row>
    <row r="496" spans="1:24" x14ac:dyDescent="0.3">
      <c r="A496">
        <v>495</v>
      </c>
      <c r="B496" s="8">
        <v>165</v>
      </c>
      <c r="C496">
        <v>3</v>
      </c>
      <c r="D496" t="s">
        <v>21</v>
      </c>
      <c r="E496" t="s">
        <v>22</v>
      </c>
      <c r="F496">
        <v>20</v>
      </c>
      <c r="G496" t="str">
        <f>IF(Table2[[#This Row],[Age]]&gt;=30,"Experienced",IF(Table2[[#This Row],[Age]]&gt;=25,"Mid Level", "Entry Level"))</f>
        <v>Entry Level</v>
      </c>
      <c r="H496" t="s">
        <v>28</v>
      </c>
      <c r="I496" t="s">
        <v>68</v>
      </c>
      <c r="J496" s="4">
        <v>45726</v>
      </c>
      <c r="K496" s="4" t="str">
        <f>TEXT(Table2[[#This Row],[Enrollment_date]],"Mmm")</f>
        <v>Mar</v>
      </c>
      <c r="L496" s="4" t="str">
        <f>TEXT(Table2[[#This Row],[Enrollment_date]],"Ddd")</f>
        <v>Mon</v>
      </c>
      <c r="M496" s="4" t="s">
        <v>34</v>
      </c>
      <c r="N496" t="s">
        <v>37</v>
      </c>
      <c r="O496" t="s">
        <v>38</v>
      </c>
      <c r="P496" s="8">
        <v>4</v>
      </c>
      <c r="Q496" s="6">
        <v>0.70833333333333337</v>
      </c>
      <c r="R496" s="6">
        <v>59</v>
      </c>
      <c r="S496" s="6" t="str">
        <f>IF(Table2[[#This Row],[Avg_score]]&gt;=79,"Distinction",IF(Table2[[#This Row],[Avg_score]]&gt;=60,"Pass","Fail"))</f>
        <v>Fail</v>
      </c>
      <c r="T496" t="s">
        <v>39</v>
      </c>
      <c r="U496">
        <f>IF(Table2[[#This Row],[Completed]]="Yes",1,0)</f>
        <v>1</v>
      </c>
      <c r="V496" t="s">
        <v>40</v>
      </c>
      <c r="W496" t="s">
        <v>40</v>
      </c>
      <c r="X496" s="4">
        <v>45838</v>
      </c>
    </row>
    <row r="497" spans="1:24" x14ac:dyDescent="0.3">
      <c r="A497">
        <v>496</v>
      </c>
      <c r="B497" s="8">
        <v>166</v>
      </c>
      <c r="C497">
        <v>1</v>
      </c>
      <c r="D497" t="s">
        <v>21</v>
      </c>
      <c r="E497" t="s">
        <v>22</v>
      </c>
      <c r="F497">
        <v>23</v>
      </c>
      <c r="G497" t="str">
        <f>IF(Table2[[#This Row],[Age]]&gt;=30,"Experienced",IF(Table2[[#This Row],[Age]]&gt;=25,"Mid Level", "Entry Level"))</f>
        <v>Entry Level</v>
      </c>
      <c r="H497" t="s">
        <v>27</v>
      </c>
      <c r="I497" t="s">
        <v>44</v>
      </c>
      <c r="J497" s="4">
        <v>45729</v>
      </c>
      <c r="K497" s="4" t="str">
        <f>TEXT(Table2[[#This Row],[Enrollment_date]],"Mmm")</f>
        <v>Mar</v>
      </c>
      <c r="L497" s="4" t="str">
        <f>TEXT(Table2[[#This Row],[Enrollment_date]],"Ddd")</f>
        <v>Thu</v>
      </c>
      <c r="M497" s="4" t="s">
        <v>34</v>
      </c>
      <c r="N497" t="s">
        <v>35</v>
      </c>
      <c r="O497" t="s">
        <v>38</v>
      </c>
      <c r="P497" s="8">
        <v>4</v>
      </c>
      <c r="Q497" s="6">
        <v>0.83333333333333337</v>
      </c>
      <c r="R497" s="6">
        <v>90.5</v>
      </c>
      <c r="S497" s="6" t="str">
        <f>IF(Table2[[#This Row],[Avg_score]]&gt;=79,"Distinction",IF(Table2[[#This Row],[Avg_score]]&gt;=60,"Pass","Fail"))</f>
        <v>Distinction</v>
      </c>
      <c r="T497" t="s">
        <v>39</v>
      </c>
      <c r="U497">
        <f>IF(Table2[[#This Row],[Completed]]="Yes",1,0)</f>
        <v>1</v>
      </c>
      <c r="V497" t="s">
        <v>39</v>
      </c>
      <c r="W497" t="s">
        <v>40</v>
      </c>
      <c r="X497" s="4">
        <v>45838</v>
      </c>
    </row>
    <row r="498" spans="1:24" x14ac:dyDescent="0.3">
      <c r="A498">
        <v>497</v>
      </c>
      <c r="B498" s="8">
        <v>166</v>
      </c>
      <c r="C498">
        <v>2</v>
      </c>
      <c r="D498" t="s">
        <v>20</v>
      </c>
      <c r="E498" t="s">
        <v>22</v>
      </c>
      <c r="F498">
        <v>23</v>
      </c>
      <c r="G498" t="str">
        <f>IF(Table2[[#This Row],[Age]]&gt;=30,"Experienced",IF(Table2[[#This Row],[Age]]&gt;=25,"Mid Level", "Entry Level"))</f>
        <v>Entry Level</v>
      </c>
      <c r="H498" t="s">
        <v>27</v>
      </c>
      <c r="I498" t="s">
        <v>44</v>
      </c>
      <c r="J498" s="4">
        <v>45729</v>
      </c>
      <c r="K498" s="4" t="str">
        <f>TEXT(Table2[[#This Row],[Enrollment_date]],"Mmm")</f>
        <v>Mar</v>
      </c>
      <c r="L498" s="4" t="str">
        <f>TEXT(Table2[[#This Row],[Enrollment_date]],"Ddd")</f>
        <v>Thu</v>
      </c>
      <c r="M498" s="4" t="s">
        <v>34</v>
      </c>
      <c r="N498" t="s">
        <v>36</v>
      </c>
      <c r="O498" t="s">
        <v>38</v>
      </c>
      <c r="P498" s="8">
        <v>4</v>
      </c>
      <c r="Q498" s="6">
        <v>0.89583333333333337</v>
      </c>
      <c r="R498" s="6">
        <v>54.5</v>
      </c>
      <c r="S498" s="6" t="str">
        <f>IF(Table2[[#This Row],[Avg_score]]&gt;=79,"Distinction",IF(Table2[[#This Row],[Avg_score]]&gt;=60,"Pass","Fail"))</f>
        <v>Fail</v>
      </c>
      <c r="T498" t="s">
        <v>39</v>
      </c>
      <c r="U498">
        <f>IF(Table2[[#This Row],[Completed]]="Yes",1,0)</f>
        <v>1</v>
      </c>
      <c r="V498" t="s">
        <v>39</v>
      </c>
      <c r="W498" t="s">
        <v>40</v>
      </c>
      <c r="X498" s="4">
        <v>45838</v>
      </c>
    </row>
    <row r="499" spans="1:24" x14ac:dyDescent="0.3">
      <c r="A499">
        <v>498</v>
      </c>
      <c r="B499" s="8">
        <v>166</v>
      </c>
      <c r="C499">
        <v>3</v>
      </c>
      <c r="D499" t="s">
        <v>19</v>
      </c>
      <c r="E499" t="s">
        <v>22</v>
      </c>
      <c r="F499">
        <v>23</v>
      </c>
      <c r="G499" t="str">
        <f>IF(Table2[[#This Row],[Age]]&gt;=30,"Experienced",IF(Table2[[#This Row],[Age]]&gt;=25,"Mid Level", "Entry Level"))</f>
        <v>Entry Level</v>
      </c>
      <c r="H499" t="s">
        <v>27</v>
      </c>
      <c r="I499" t="s">
        <v>44</v>
      </c>
      <c r="J499" s="4">
        <v>45729</v>
      </c>
      <c r="K499" s="4" t="str">
        <f>TEXT(Table2[[#This Row],[Enrollment_date]],"Mmm")</f>
        <v>Mar</v>
      </c>
      <c r="L499" s="4" t="str">
        <f>TEXT(Table2[[#This Row],[Enrollment_date]],"Ddd")</f>
        <v>Thu</v>
      </c>
      <c r="M499" s="4" t="s">
        <v>34</v>
      </c>
      <c r="N499" t="s">
        <v>37</v>
      </c>
      <c r="O499" t="s">
        <v>38</v>
      </c>
      <c r="P499" s="8">
        <v>4</v>
      </c>
      <c r="Q499" s="6">
        <v>0.85416666666666663</v>
      </c>
      <c r="R499" s="6">
        <v>51.5</v>
      </c>
      <c r="S499" s="6" t="str">
        <f>IF(Table2[[#This Row],[Avg_score]]&gt;=79,"Distinction",IF(Table2[[#This Row],[Avg_score]]&gt;=60,"Pass","Fail"))</f>
        <v>Fail</v>
      </c>
      <c r="T499" t="s">
        <v>39</v>
      </c>
      <c r="U499">
        <f>IF(Table2[[#This Row],[Completed]]="Yes",1,0)</f>
        <v>1</v>
      </c>
      <c r="V499" t="s">
        <v>39</v>
      </c>
      <c r="W499" t="s">
        <v>40</v>
      </c>
      <c r="X499" s="4">
        <v>45838</v>
      </c>
    </row>
    <row r="500" spans="1:24" x14ac:dyDescent="0.3">
      <c r="A500">
        <v>499</v>
      </c>
      <c r="B500" s="8">
        <v>167</v>
      </c>
      <c r="C500">
        <v>1</v>
      </c>
      <c r="D500" t="s">
        <v>19</v>
      </c>
      <c r="E500" t="s">
        <v>22</v>
      </c>
      <c r="F500">
        <v>31</v>
      </c>
      <c r="G500" t="str">
        <f>IF(Table2[[#This Row],[Age]]&gt;=30,"Experienced",IF(Table2[[#This Row],[Age]]&gt;=25,"Mid Level", "Entry Level"))</f>
        <v>Experienced</v>
      </c>
      <c r="H500" t="s">
        <v>24</v>
      </c>
      <c r="I500" t="s">
        <v>44</v>
      </c>
      <c r="J500" s="4">
        <v>45681</v>
      </c>
      <c r="K500" s="4" t="str">
        <f>TEXT(Table2[[#This Row],[Enrollment_date]],"Mmm")</f>
        <v>Jan</v>
      </c>
      <c r="L500" s="4" t="str">
        <f>TEXT(Table2[[#This Row],[Enrollment_date]],"Ddd")</f>
        <v>Fri</v>
      </c>
      <c r="M500" s="4" t="s">
        <v>34</v>
      </c>
      <c r="N500" t="s">
        <v>35</v>
      </c>
      <c r="O500" t="s">
        <v>38</v>
      </c>
      <c r="P500" s="8">
        <v>4</v>
      </c>
      <c r="Q500" s="6">
        <v>0.91666666666666663</v>
      </c>
      <c r="R500" s="6">
        <v>51.5</v>
      </c>
      <c r="S500" s="6" t="str">
        <f>IF(Table2[[#This Row],[Avg_score]]&gt;=79,"Distinction",IF(Table2[[#This Row],[Avg_score]]&gt;=60,"Pass","Fail"))</f>
        <v>Fail</v>
      </c>
      <c r="T500" t="s">
        <v>39</v>
      </c>
      <c r="U500">
        <f>IF(Table2[[#This Row],[Completed]]="Yes",1,0)</f>
        <v>1</v>
      </c>
      <c r="V500" t="s">
        <v>39</v>
      </c>
      <c r="W500" t="s">
        <v>40</v>
      </c>
      <c r="X500" s="4">
        <v>45838</v>
      </c>
    </row>
    <row r="501" spans="1:24" x14ac:dyDescent="0.3">
      <c r="A501">
        <v>500</v>
      </c>
      <c r="B501" s="8">
        <v>167</v>
      </c>
      <c r="C501">
        <v>2</v>
      </c>
      <c r="D501" t="s">
        <v>20</v>
      </c>
      <c r="E501" t="s">
        <v>22</v>
      </c>
      <c r="F501">
        <v>31</v>
      </c>
      <c r="G501" t="str">
        <f>IF(Table2[[#This Row],[Age]]&gt;=30,"Experienced",IF(Table2[[#This Row],[Age]]&gt;=25,"Mid Level", "Entry Level"))</f>
        <v>Experienced</v>
      </c>
      <c r="H501" t="s">
        <v>24</v>
      </c>
      <c r="I501" t="s">
        <v>44</v>
      </c>
      <c r="J501" s="4">
        <v>45681</v>
      </c>
      <c r="K501" s="4" t="str">
        <f>TEXT(Table2[[#This Row],[Enrollment_date]],"Mmm")</f>
        <v>Jan</v>
      </c>
      <c r="L501" s="4" t="str">
        <f>TEXT(Table2[[#This Row],[Enrollment_date]],"Ddd")</f>
        <v>Fri</v>
      </c>
      <c r="M501" s="4" t="s">
        <v>34</v>
      </c>
      <c r="N501" t="s">
        <v>36</v>
      </c>
      <c r="O501" t="s">
        <v>38</v>
      </c>
      <c r="P501" s="8">
        <v>4</v>
      </c>
      <c r="Q501" s="6">
        <v>0.75</v>
      </c>
      <c r="R501" s="6">
        <v>57.5</v>
      </c>
      <c r="S501" s="6" t="str">
        <f>IF(Table2[[#This Row],[Avg_score]]&gt;=79,"Distinction",IF(Table2[[#This Row],[Avg_score]]&gt;=60,"Pass","Fail"))</f>
        <v>Fail</v>
      </c>
      <c r="T501" t="s">
        <v>39</v>
      </c>
      <c r="U501">
        <f>IF(Table2[[#This Row],[Completed]]="Yes",1,0)</f>
        <v>1</v>
      </c>
      <c r="V501" t="s">
        <v>39</v>
      </c>
      <c r="W501" t="s">
        <v>40</v>
      </c>
      <c r="X501" s="4">
        <v>45838</v>
      </c>
    </row>
    <row r="502" spans="1:24" x14ac:dyDescent="0.3">
      <c r="A502">
        <v>501</v>
      </c>
      <c r="B502" s="8">
        <v>167</v>
      </c>
      <c r="C502">
        <v>3</v>
      </c>
      <c r="D502" t="s">
        <v>19</v>
      </c>
      <c r="E502" t="s">
        <v>22</v>
      </c>
      <c r="F502">
        <v>31</v>
      </c>
      <c r="G502" t="str">
        <f>IF(Table2[[#This Row],[Age]]&gt;=30,"Experienced",IF(Table2[[#This Row],[Age]]&gt;=25,"Mid Level", "Entry Level"))</f>
        <v>Experienced</v>
      </c>
      <c r="H502" t="s">
        <v>24</v>
      </c>
      <c r="I502" t="s">
        <v>44</v>
      </c>
      <c r="J502" s="4">
        <v>45681</v>
      </c>
      <c r="K502" s="4" t="str">
        <f>TEXT(Table2[[#This Row],[Enrollment_date]],"Mmm")</f>
        <v>Jan</v>
      </c>
      <c r="L502" s="4" t="str">
        <f>TEXT(Table2[[#This Row],[Enrollment_date]],"Ddd")</f>
        <v>Fri</v>
      </c>
      <c r="M502" s="4" t="s">
        <v>34</v>
      </c>
      <c r="N502" t="s">
        <v>37</v>
      </c>
      <c r="O502" t="s">
        <v>38</v>
      </c>
      <c r="P502" s="8">
        <v>4</v>
      </c>
      <c r="Q502" s="6">
        <v>0.875</v>
      </c>
      <c r="R502" s="6">
        <v>89.5</v>
      </c>
      <c r="S502" s="6" t="str">
        <f>IF(Table2[[#This Row],[Avg_score]]&gt;=79,"Distinction",IF(Table2[[#This Row],[Avg_score]]&gt;=60,"Pass","Fail"))</f>
        <v>Distinction</v>
      </c>
      <c r="T502" t="s">
        <v>39</v>
      </c>
      <c r="U502">
        <f>IF(Table2[[#This Row],[Completed]]="Yes",1,0)</f>
        <v>1</v>
      </c>
      <c r="V502" t="s">
        <v>39</v>
      </c>
      <c r="W502" t="s">
        <v>40</v>
      </c>
      <c r="X502" s="4">
        <v>45838</v>
      </c>
    </row>
    <row r="503" spans="1:24" x14ac:dyDescent="0.3">
      <c r="A503">
        <v>502</v>
      </c>
      <c r="B503" s="8">
        <v>168</v>
      </c>
      <c r="C503">
        <v>1</v>
      </c>
      <c r="D503" t="s">
        <v>19</v>
      </c>
      <c r="E503" t="s">
        <v>23</v>
      </c>
      <c r="F503">
        <v>29</v>
      </c>
      <c r="G503" t="str">
        <f>IF(Table2[[#This Row],[Age]]&gt;=30,"Experienced",IF(Table2[[#This Row],[Age]]&gt;=25,"Mid Level", "Entry Level"))</f>
        <v>Mid Level</v>
      </c>
      <c r="H503" t="s">
        <v>27</v>
      </c>
      <c r="I503" t="s">
        <v>30</v>
      </c>
      <c r="J503" s="4">
        <v>45740</v>
      </c>
      <c r="K503" s="4" t="str">
        <f>TEXT(Table2[[#This Row],[Enrollment_date]],"Mmm")</f>
        <v>Mar</v>
      </c>
      <c r="L503" s="4" t="str">
        <f>TEXT(Table2[[#This Row],[Enrollment_date]],"Ddd")</f>
        <v>Mon</v>
      </c>
      <c r="M503" s="4" t="s">
        <v>34</v>
      </c>
      <c r="N503" t="s">
        <v>35</v>
      </c>
      <c r="O503" t="s">
        <v>38</v>
      </c>
      <c r="P503" s="8">
        <v>4</v>
      </c>
      <c r="Q503" s="6">
        <v>0.8125</v>
      </c>
      <c r="R503" s="6">
        <v>87.5</v>
      </c>
      <c r="S503" s="6" t="str">
        <f>IF(Table2[[#This Row],[Avg_score]]&gt;=79,"Distinction",IF(Table2[[#This Row],[Avg_score]]&gt;=60,"Pass","Fail"))</f>
        <v>Distinction</v>
      </c>
      <c r="T503" t="s">
        <v>39</v>
      </c>
      <c r="U503">
        <f>IF(Table2[[#This Row],[Completed]]="Yes",1,0)</f>
        <v>1</v>
      </c>
      <c r="V503" t="s">
        <v>39</v>
      </c>
      <c r="W503" t="s">
        <v>40</v>
      </c>
      <c r="X503" s="4">
        <v>45838</v>
      </c>
    </row>
    <row r="504" spans="1:24" x14ac:dyDescent="0.3">
      <c r="A504">
        <v>503</v>
      </c>
      <c r="B504" s="8">
        <v>168</v>
      </c>
      <c r="C504">
        <v>2</v>
      </c>
      <c r="D504" t="s">
        <v>20</v>
      </c>
      <c r="E504" t="s">
        <v>23</v>
      </c>
      <c r="F504">
        <v>29</v>
      </c>
      <c r="G504" t="str">
        <f>IF(Table2[[#This Row],[Age]]&gt;=30,"Experienced",IF(Table2[[#This Row],[Age]]&gt;=25,"Mid Level", "Entry Level"))</f>
        <v>Mid Level</v>
      </c>
      <c r="H504" t="s">
        <v>27</v>
      </c>
      <c r="I504" t="s">
        <v>30</v>
      </c>
      <c r="J504" s="4">
        <v>45740</v>
      </c>
      <c r="K504" s="4" t="str">
        <f>TEXT(Table2[[#This Row],[Enrollment_date]],"Mmm")</f>
        <v>Mar</v>
      </c>
      <c r="L504" s="4" t="str">
        <f>TEXT(Table2[[#This Row],[Enrollment_date]],"Ddd")</f>
        <v>Mon</v>
      </c>
      <c r="M504" s="4" t="s">
        <v>34</v>
      </c>
      <c r="N504" t="s">
        <v>36</v>
      </c>
      <c r="O504" t="s">
        <v>38</v>
      </c>
      <c r="P504" s="8">
        <v>4</v>
      </c>
      <c r="Q504" s="6">
        <v>0.77083333333333337</v>
      </c>
      <c r="R504" s="6">
        <v>78</v>
      </c>
      <c r="S504" s="6" t="str">
        <f>IF(Table2[[#This Row],[Avg_score]]&gt;=79,"Distinction",IF(Table2[[#This Row],[Avg_score]]&gt;=60,"Pass","Fail"))</f>
        <v>Pass</v>
      </c>
      <c r="T504" t="s">
        <v>39</v>
      </c>
      <c r="U504">
        <f>IF(Table2[[#This Row],[Completed]]="Yes",1,0)</f>
        <v>1</v>
      </c>
      <c r="V504" t="s">
        <v>39</v>
      </c>
      <c r="W504" t="s">
        <v>40</v>
      </c>
      <c r="X504" s="4">
        <v>45838</v>
      </c>
    </row>
    <row r="505" spans="1:24" x14ac:dyDescent="0.3">
      <c r="A505">
        <v>504</v>
      </c>
      <c r="B505" s="8">
        <v>168</v>
      </c>
      <c r="C505">
        <v>3</v>
      </c>
      <c r="D505" t="s">
        <v>20</v>
      </c>
      <c r="E505" t="s">
        <v>23</v>
      </c>
      <c r="F505">
        <v>29</v>
      </c>
      <c r="G505" t="str">
        <f>IF(Table2[[#This Row],[Age]]&gt;=30,"Experienced",IF(Table2[[#This Row],[Age]]&gt;=25,"Mid Level", "Entry Level"))</f>
        <v>Mid Level</v>
      </c>
      <c r="H505" t="s">
        <v>27</v>
      </c>
      <c r="I505" t="s">
        <v>30</v>
      </c>
      <c r="J505" s="4">
        <v>45740</v>
      </c>
      <c r="K505" s="4" t="str">
        <f>TEXT(Table2[[#This Row],[Enrollment_date]],"Mmm")</f>
        <v>Mar</v>
      </c>
      <c r="L505" s="4" t="str">
        <f>TEXT(Table2[[#This Row],[Enrollment_date]],"Ddd")</f>
        <v>Mon</v>
      </c>
      <c r="M505" s="4" t="s">
        <v>34</v>
      </c>
      <c r="N505" t="s">
        <v>37</v>
      </c>
      <c r="O505" t="s">
        <v>38</v>
      </c>
      <c r="P505" s="8">
        <v>4</v>
      </c>
      <c r="Q505" s="6">
        <v>0.875</v>
      </c>
      <c r="R505" s="6">
        <v>45.5</v>
      </c>
      <c r="S505" s="6" t="str">
        <f>IF(Table2[[#This Row],[Avg_score]]&gt;=79,"Distinction",IF(Table2[[#This Row],[Avg_score]]&gt;=60,"Pass","Fail"))</f>
        <v>Fail</v>
      </c>
      <c r="T505" t="s">
        <v>39</v>
      </c>
      <c r="U505">
        <f>IF(Table2[[#This Row],[Completed]]="Yes",1,0)</f>
        <v>1</v>
      </c>
      <c r="V505" t="s">
        <v>39</v>
      </c>
      <c r="W505" t="s">
        <v>40</v>
      </c>
      <c r="X505" s="4">
        <v>45838</v>
      </c>
    </row>
    <row r="506" spans="1:24" x14ac:dyDescent="0.3">
      <c r="A506">
        <v>505</v>
      </c>
      <c r="B506" s="8">
        <v>169</v>
      </c>
      <c r="C506">
        <v>1</v>
      </c>
      <c r="D506" t="s">
        <v>19</v>
      </c>
      <c r="E506" t="s">
        <v>22</v>
      </c>
      <c r="F506">
        <v>23</v>
      </c>
      <c r="G506" t="str">
        <f>IF(Table2[[#This Row],[Age]]&gt;=30,"Experienced",IF(Table2[[#This Row],[Age]]&gt;=25,"Mid Level", "Entry Level"))</f>
        <v>Entry Level</v>
      </c>
      <c r="H506" t="s">
        <v>29</v>
      </c>
      <c r="I506" t="s">
        <v>44</v>
      </c>
      <c r="J506" s="4">
        <v>45784</v>
      </c>
      <c r="K506" s="4" t="str">
        <f>TEXT(Table2[[#This Row],[Enrollment_date]],"Mmm")</f>
        <v>May</v>
      </c>
      <c r="L506" s="4" t="str">
        <f>TEXT(Table2[[#This Row],[Enrollment_date]],"Ddd")</f>
        <v>Wed</v>
      </c>
      <c r="M506" s="4" t="s">
        <v>34</v>
      </c>
      <c r="N506" t="s">
        <v>35</v>
      </c>
      <c r="O506" t="s">
        <v>38</v>
      </c>
      <c r="P506" s="8">
        <v>4</v>
      </c>
      <c r="Q506" s="6">
        <v>0.79166666666666663</v>
      </c>
      <c r="R506" s="6">
        <v>87.5</v>
      </c>
      <c r="S506" s="6" t="str">
        <f>IF(Table2[[#This Row],[Avg_score]]&gt;=79,"Distinction",IF(Table2[[#This Row],[Avg_score]]&gt;=60,"Pass","Fail"))</f>
        <v>Distinction</v>
      </c>
      <c r="T506" t="s">
        <v>39</v>
      </c>
      <c r="U506">
        <f>IF(Table2[[#This Row],[Completed]]="Yes",1,0)</f>
        <v>1</v>
      </c>
      <c r="V506" t="s">
        <v>39</v>
      </c>
      <c r="W506" t="s">
        <v>40</v>
      </c>
      <c r="X506" s="4">
        <v>45838</v>
      </c>
    </row>
    <row r="507" spans="1:24" x14ac:dyDescent="0.3">
      <c r="A507">
        <v>506</v>
      </c>
      <c r="B507" s="8">
        <v>169</v>
      </c>
      <c r="C507">
        <v>2</v>
      </c>
      <c r="D507" t="s">
        <v>21</v>
      </c>
      <c r="E507" t="s">
        <v>22</v>
      </c>
      <c r="F507">
        <v>23</v>
      </c>
      <c r="G507" t="str">
        <f>IF(Table2[[#This Row],[Age]]&gt;=30,"Experienced",IF(Table2[[#This Row],[Age]]&gt;=25,"Mid Level", "Entry Level"))</f>
        <v>Entry Level</v>
      </c>
      <c r="H507" t="s">
        <v>29</v>
      </c>
      <c r="I507" t="s">
        <v>44</v>
      </c>
      <c r="J507" s="4">
        <v>45784</v>
      </c>
      <c r="K507" s="4" t="str">
        <f>TEXT(Table2[[#This Row],[Enrollment_date]],"Mmm")</f>
        <v>May</v>
      </c>
      <c r="L507" s="4" t="str">
        <f>TEXT(Table2[[#This Row],[Enrollment_date]],"Ddd")</f>
        <v>Wed</v>
      </c>
      <c r="M507" s="4" t="s">
        <v>34</v>
      </c>
      <c r="N507" t="s">
        <v>36</v>
      </c>
      <c r="O507" t="s">
        <v>38</v>
      </c>
      <c r="P507" s="8">
        <v>4</v>
      </c>
      <c r="Q507" s="6">
        <v>0.72916666666666663</v>
      </c>
      <c r="R507" s="6">
        <v>77</v>
      </c>
      <c r="S507" s="6" t="str">
        <f>IF(Table2[[#This Row],[Avg_score]]&gt;=79,"Distinction",IF(Table2[[#This Row],[Avg_score]]&gt;=60,"Pass","Fail"))</f>
        <v>Pass</v>
      </c>
      <c r="T507" t="s">
        <v>39</v>
      </c>
      <c r="U507">
        <f>IF(Table2[[#This Row],[Completed]]="Yes",1,0)</f>
        <v>1</v>
      </c>
      <c r="V507" t="s">
        <v>39</v>
      </c>
      <c r="W507" t="s">
        <v>40</v>
      </c>
      <c r="X507" s="4">
        <v>45838</v>
      </c>
    </row>
    <row r="508" spans="1:24" x14ac:dyDescent="0.3">
      <c r="A508">
        <v>507</v>
      </c>
      <c r="B508" s="8">
        <v>169</v>
      </c>
      <c r="C508">
        <v>3</v>
      </c>
      <c r="D508" t="s">
        <v>19</v>
      </c>
      <c r="E508" t="s">
        <v>22</v>
      </c>
      <c r="F508">
        <v>23</v>
      </c>
      <c r="G508" t="str">
        <f>IF(Table2[[#This Row],[Age]]&gt;=30,"Experienced",IF(Table2[[#This Row],[Age]]&gt;=25,"Mid Level", "Entry Level"))</f>
        <v>Entry Level</v>
      </c>
      <c r="H508" t="s">
        <v>29</v>
      </c>
      <c r="I508" t="s">
        <v>44</v>
      </c>
      <c r="J508" s="4">
        <v>45784</v>
      </c>
      <c r="K508" s="4" t="str">
        <f>TEXT(Table2[[#This Row],[Enrollment_date]],"Mmm")</f>
        <v>May</v>
      </c>
      <c r="L508" s="4" t="str">
        <f>TEXT(Table2[[#This Row],[Enrollment_date]],"Ddd")</f>
        <v>Wed</v>
      </c>
      <c r="M508" s="4" t="s">
        <v>34</v>
      </c>
      <c r="N508" t="s">
        <v>37</v>
      </c>
      <c r="O508" t="s">
        <v>38</v>
      </c>
      <c r="P508" s="8">
        <v>4</v>
      </c>
      <c r="Q508" s="6">
        <v>0.8125</v>
      </c>
      <c r="R508" s="6">
        <v>82</v>
      </c>
      <c r="S508" s="6" t="str">
        <f>IF(Table2[[#This Row],[Avg_score]]&gt;=79,"Distinction",IF(Table2[[#This Row],[Avg_score]]&gt;=60,"Pass","Fail"))</f>
        <v>Distinction</v>
      </c>
      <c r="T508" t="s">
        <v>39</v>
      </c>
      <c r="U508">
        <f>IF(Table2[[#This Row],[Completed]]="Yes",1,0)</f>
        <v>1</v>
      </c>
      <c r="V508" t="s">
        <v>39</v>
      </c>
      <c r="W508" t="s">
        <v>40</v>
      </c>
      <c r="X508" s="4">
        <v>45838</v>
      </c>
    </row>
    <row r="509" spans="1:24" x14ac:dyDescent="0.3">
      <c r="A509">
        <v>508</v>
      </c>
      <c r="B509" s="8">
        <v>170</v>
      </c>
      <c r="C509">
        <v>1</v>
      </c>
      <c r="D509" t="s">
        <v>19</v>
      </c>
      <c r="E509" t="s">
        <v>23</v>
      </c>
      <c r="F509">
        <v>30</v>
      </c>
      <c r="G509" t="str">
        <f>IF(Table2[[#This Row],[Age]]&gt;=30,"Experienced",IF(Table2[[#This Row],[Age]]&gt;=25,"Mid Level", "Entry Level"))</f>
        <v>Experienced</v>
      </c>
      <c r="H509" t="s">
        <v>26</v>
      </c>
      <c r="I509" t="s">
        <v>68</v>
      </c>
      <c r="J509" s="4">
        <v>45774</v>
      </c>
      <c r="K509" s="4" t="str">
        <f>TEXT(Table2[[#This Row],[Enrollment_date]],"Mmm")</f>
        <v>Apr</v>
      </c>
      <c r="L509" s="4" t="str">
        <f>TEXT(Table2[[#This Row],[Enrollment_date]],"Ddd")</f>
        <v>Sun</v>
      </c>
      <c r="M509" s="4" t="s">
        <v>34</v>
      </c>
      <c r="N509" t="s">
        <v>35</v>
      </c>
      <c r="O509" t="s">
        <v>38</v>
      </c>
      <c r="P509" s="8">
        <v>4</v>
      </c>
      <c r="Q509" s="6">
        <v>0.85416666666666663</v>
      </c>
      <c r="R509" s="6">
        <v>80.5</v>
      </c>
      <c r="S509" s="6" t="str">
        <f>IF(Table2[[#This Row],[Avg_score]]&gt;=79,"Distinction",IF(Table2[[#This Row],[Avg_score]]&gt;=60,"Pass","Fail"))</f>
        <v>Distinction</v>
      </c>
      <c r="T509" t="s">
        <v>39</v>
      </c>
      <c r="U509">
        <f>IF(Table2[[#This Row],[Completed]]="Yes",1,0)</f>
        <v>1</v>
      </c>
      <c r="V509" t="s">
        <v>39</v>
      </c>
      <c r="W509" t="s">
        <v>39</v>
      </c>
      <c r="X509" s="4">
        <v>45838</v>
      </c>
    </row>
    <row r="510" spans="1:24" x14ac:dyDescent="0.3">
      <c r="A510">
        <v>509</v>
      </c>
      <c r="B510" s="8">
        <v>170</v>
      </c>
      <c r="C510">
        <v>2</v>
      </c>
      <c r="D510" t="s">
        <v>19</v>
      </c>
      <c r="E510" t="s">
        <v>23</v>
      </c>
      <c r="F510">
        <v>30</v>
      </c>
      <c r="G510" t="str">
        <f>IF(Table2[[#This Row],[Age]]&gt;=30,"Experienced",IF(Table2[[#This Row],[Age]]&gt;=25,"Mid Level", "Entry Level"))</f>
        <v>Experienced</v>
      </c>
      <c r="H510" t="s">
        <v>26</v>
      </c>
      <c r="I510" t="s">
        <v>68</v>
      </c>
      <c r="J510" s="4">
        <v>45774</v>
      </c>
      <c r="K510" s="4" t="str">
        <f>TEXT(Table2[[#This Row],[Enrollment_date]],"Mmm")</f>
        <v>Apr</v>
      </c>
      <c r="L510" s="4" t="str">
        <f>TEXT(Table2[[#This Row],[Enrollment_date]],"Ddd")</f>
        <v>Sun</v>
      </c>
      <c r="M510" s="4" t="s">
        <v>34</v>
      </c>
      <c r="N510" t="s">
        <v>36</v>
      </c>
      <c r="O510" t="s">
        <v>38</v>
      </c>
      <c r="P510" s="8">
        <v>4</v>
      </c>
      <c r="Q510" s="6">
        <v>0.875</v>
      </c>
      <c r="R510" s="6">
        <v>82.5</v>
      </c>
      <c r="S510" s="6" t="str">
        <f>IF(Table2[[#This Row],[Avg_score]]&gt;=79,"Distinction",IF(Table2[[#This Row],[Avg_score]]&gt;=60,"Pass","Fail"))</f>
        <v>Distinction</v>
      </c>
      <c r="T510" t="s">
        <v>39</v>
      </c>
      <c r="U510">
        <f>IF(Table2[[#This Row],[Completed]]="Yes",1,0)</f>
        <v>1</v>
      </c>
      <c r="V510" t="s">
        <v>39</v>
      </c>
      <c r="W510" t="s">
        <v>39</v>
      </c>
      <c r="X510" s="4">
        <v>45838</v>
      </c>
    </row>
    <row r="511" spans="1:24" x14ac:dyDescent="0.3">
      <c r="A511">
        <v>510</v>
      </c>
      <c r="B511" s="8">
        <v>170</v>
      </c>
      <c r="C511">
        <v>3</v>
      </c>
      <c r="D511" t="s">
        <v>19</v>
      </c>
      <c r="E511" t="s">
        <v>23</v>
      </c>
      <c r="F511">
        <v>30</v>
      </c>
      <c r="G511" t="str">
        <f>IF(Table2[[#This Row],[Age]]&gt;=30,"Experienced",IF(Table2[[#This Row],[Age]]&gt;=25,"Mid Level", "Entry Level"))</f>
        <v>Experienced</v>
      </c>
      <c r="H511" t="s">
        <v>26</v>
      </c>
      <c r="I511" t="s">
        <v>68</v>
      </c>
      <c r="J511" s="4">
        <v>45774</v>
      </c>
      <c r="K511" s="4" t="str">
        <f>TEXT(Table2[[#This Row],[Enrollment_date]],"Mmm")</f>
        <v>Apr</v>
      </c>
      <c r="L511" s="4" t="str">
        <f>TEXT(Table2[[#This Row],[Enrollment_date]],"Ddd")</f>
        <v>Sun</v>
      </c>
      <c r="M511" s="4" t="s">
        <v>34</v>
      </c>
      <c r="N511" t="s">
        <v>37</v>
      </c>
      <c r="O511" t="s">
        <v>38</v>
      </c>
      <c r="P511" s="8">
        <v>4</v>
      </c>
      <c r="Q511" s="6">
        <v>0.875</v>
      </c>
      <c r="R511" s="6">
        <v>51.5</v>
      </c>
      <c r="S511" s="6" t="str">
        <f>IF(Table2[[#This Row],[Avg_score]]&gt;=79,"Distinction",IF(Table2[[#This Row],[Avg_score]]&gt;=60,"Pass","Fail"))</f>
        <v>Fail</v>
      </c>
      <c r="T511" t="s">
        <v>39</v>
      </c>
      <c r="U511">
        <f>IF(Table2[[#This Row],[Completed]]="Yes",1,0)</f>
        <v>1</v>
      </c>
      <c r="V511" t="s">
        <v>39</v>
      </c>
      <c r="W511" t="s">
        <v>39</v>
      </c>
      <c r="X511" s="4">
        <v>45838</v>
      </c>
    </row>
    <row r="512" spans="1:24" x14ac:dyDescent="0.3">
      <c r="A512">
        <v>511</v>
      </c>
      <c r="B512" s="8">
        <v>171</v>
      </c>
      <c r="C512">
        <v>1</v>
      </c>
      <c r="D512" t="s">
        <v>21</v>
      </c>
      <c r="E512" t="s">
        <v>22</v>
      </c>
      <c r="F512">
        <v>28</v>
      </c>
      <c r="G512" t="str">
        <f>IF(Table2[[#This Row],[Age]]&gt;=30,"Experienced",IF(Table2[[#This Row],[Age]]&gt;=25,"Mid Level", "Entry Level"))</f>
        <v>Mid Level</v>
      </c>
      <c r="H512" t="s">
        <v>29</v>
      </c>
      <c r="I512" t="s">
        <v>30</v>
      </c>
      <c r="J512" s="4">
        <v>45687</v>
      </c>
      <c r="K512" s="4" t="str">
        <f>TEXT(Table2[[#This Row],[Enrollment_date]],"Mmm")</f>
        <v>Jan</v>
      </c>
      <c r="L512" s="4" t="str">
        <f>TEXT(Table2[[#This Row],[Enrollment_date]],"Ddd")</f>
        <v>Thu</v>
      </c>
      <c r="M512" s="4" t="s">
        <v>34</v>
      </c>
      <c r="N512" t="s">
        <v>35</v>
      </c>
      <c r="O512" t="s">
        <v>38</v>
      </c>
      <c r="P512" s="8">
        <v>4</v>
      </c>
      <c r="Q512" s="6">
        <v>0.8125</v>
      </c>
      <c r="R512" s="6">
        <v>71</v>
      </c>
      <c r="S512" s="6" t="str">
        <f>IF(Table2[[#This Row],[Avg_score]]&gt;=79,"Distinction",IF(Table2[[#This Row],[Avg_score]]&gt;=60,"Pass","Fail"))</f>
        <v>Pass</v>
      </c>
      <c r="T512" t="s">
        <v>40</v>
      </c>
      <c r="U512">
        <f>IF(Table2[[#This Row],[Completed]]="Yes",1,0)</f>
        <v>0</v>
      </c>
      <c r="V512" t="s">
        <v>40</v>
      </c>
      <c r="W512" t="s">
        <v>40</v>
      </c>
      <c r="X512" s="4">
        <v>45838</v>
      </c>
    </row>
    <row r="513" spans="1:24" x14ac:dyDescent="0.3">
      <c r="A513">
        <v>512</v>
      </c>
      <c r="B513" s="8">
        <v>171</v>
      </c>
      <c r="C513">
        <v>2</v>
      </c>
      <c r="D513" t="s">
        <v>19</v>
      </c>
      <c r="E513" t="s">
        <v>22</v>
      </c>
      <c r="F513">
        <v>28</v>
      </c>
      <c r="G513" t="str">
        <f>IF(Table2[[#This Row],[Age]]&gt;=30,"Experienced",IF(Table2[[#This Row],[Age]]&gt;=25,"Mid Level", "Entry Level"))</f>
        <v>Mid Level</v>
      </c>
      <c r="H513" t="s">
        <v>29</v>
      </c>
      <c r="I513" t="s">
        <v>30</v>
      </c>
      <c r="J513" s="4">
        <v>45687</v>
      </c>
      <c r="K513" s="4" t="str">
        <f>TEXT(Table2[[#This Row],[Enrollment_date]],"Mmm")</f>
        <v>Jan</v>
      </c>
      <c r="L513" s="4" t="str">
        <f>TEXT(Table2[[#This Row],[Enrollment_date]],"Ddd")</f>
        <v>Thu</v>
      </c>
      <c r="M513" s="4" t="s">
        <v>34</v>
      </c>
      <c r="N513" t="s">
        <v>36</v>
      </c>
      <c r="O513" t="s">
        <v>38</v>
      </c>
      <c r="P513" s="8">
        <v>4</v>
      </c>
      <c r="Q513" s="6">
        <v>0.83333333333333337</v>
      </c>
      <c r="R513" s="6">
        <v>81</v>
      </c>
      <c r="S513" s="6" t="str">
        <f>IF(Table2[[#This Row],[Avg_score]]&gt;=79,"Distinction",IF(Table2[[#This Row],[Avg_score]]&gt;=60,"Pass","Fail"))</f>
        <v>Distinction</v>
      </c>
      <c r="T513" t="s">
        <v>40</v>
      </c>
      <c r="U513">
        <f>IF(Table2[[#This Row],[Completed]]="Yes",1,0)</f>
        <v>0</v>
      </c>
      <c r="V513" t="s">
        <v>40</v>
      </c>
      <c r="W513" t="s">
        <v>40</v>
      </c>
      <c r="X513" s="4">
        <v>45838</v>
      </c>
    </row>
    <row r="514" spans="1:24" x14ac:dyDescent="0.3">
      <c r="A514">
        <v>513</v>
      </c>
      <c r="B514" s="8">
        <v>171</v>
      </c>
      <c r="C514">
        <v>3</v>
      </c>
      <c r="D514" t="s">
        <v>19</v>
      </c>
      <c r="E514" t="s">
        <v>22</v>
      </c>
      <c r="F514">
        <v>28</v>
      </c>
      <c r="G514" t="str">
        <f>IF(Table2[[#This Row],[Age]]&gt;=30,"Experienced",IF(Table2[[#This Row],[Age]]&gt;=25,"Mid Level", "Entry Level"))</f>
        <v>Mid Level</v>
      </c>
      <c r="H514" t="s">
        <v>29</v>
      </c>
      <c r="I514" t="s">
        <v>30</v>
      </c>
      <c r="J514" s="4">
        <v>45687</v>
      </c>
      <c r="K514" s="4" t="str">
        <f>TEXT(Table2[[#This Row],[Enrollment_date]],"Mmm")</f>
        <v>Jan</v>
      </c>
      <c r="L514" s="4" t="str">
        <f>TEXT(Table2[[#This Row],[Enrollment_date]],"Ddd")</f>
        <v>Thu</v>
      </c>
      <c r="M514" s="4" t="s">
        <v>34</v>
      </c>
      <c r="N514" t="s">
        <v>37</v>
      </c>
      <c r="O514" t="s">
        <v>38</v>
      </c>
      <c r="P514" s="8">
        <v>4</v>
      </c>
      <c r="Q514" s="6">
        <v>0.8125</v>
      </c>
      <c r="R514" s="6">
        <v>61</v>
      </c>
      <c r="S514" s="6" t="str">
        <f>IF(Table2[[#This Row],[Avg_score]]&gt;=79,"Distinction",IF(Table2[[#This Row],[Avg_score]]&gt;=60,"Pass","Fail"))</f>
        <v>Pass</v>
      </c>
      <c r="T514" t="s">
        <v>40</v>
      </c>
      <c r="U514">
        <f>IF(Table2[[#This Row],[Completed]]="Yes",1,0)</f>
        <v>0</v>
      </c>
      <c r="V514" t="s">
        <v>40</v>
      </c>
      <c r="W514" t="s">
        <v>40</v>
      </c>
      <c r="X514" s="4">
        <v>45838</v>
      </c>
    </row>
    <row r="515" spans="1:24" x14ac:dyDescent="0.3">
      <c r="A515">
        <v>514</v>
      </c>
      <c r="B515" s="8">
        <v>172</v>
      </c>
      <c r="C515">
        <v>1</v>
      </c>
      <c r="D515" t="s">
        <v>19</v>
      </c>
      <c r="E515" t="s">
        <v>23</v>
      </c>
      <c r="F515">
        <v>34</v>
      </c>
      <c r="G515" t="str">
        <f>IF(Table2[[#This Row],[Age]]&gt;=30,"Experienced",IF(Table2[[#This Row],[Age]]&gt;=25,"Mid Level", "Entry Level"))</f>
        <v>Experienced</v>
      </c>
      <c r="H515" t="s">
        <v>25</v>
      </c>
      <c r="I515" t="s">
        <v>44</v>
      </c>
      <c r="J515" s="4">
        <v>45763</v>
      </c>
      <c r="K515" s="4" t="str">
        <f>TEXT(Table2[[#This Row],[Enrollment_date]],"Mmm")</f>
        <v>Apr</v>
      </c>
      <c r="L515" s="4" t="str">
        <f>TEXT(Table2[[#This Row],[Enrollment_date]],"Ddd")</f>
        <v>Wed</v>
      </c>
      <c r="M515" s="4" t="s">
        <v>34</v>
      </c>
      <c r="N515" t="s">
        <v>35</v>
      </c>
      <c r="O515" t="s">
        <v>38</v>
      </c>
      <c r="P515" s="8">
        <v>4</v>
      </c>
      <c r="Q515" s="6">
        <v>0.875</v>
      </c>
      <c r="R515" s="6">
        <v>68</v>
      </c>
      <c r="S515" s="6" t="str">
        <f>IF(Table2[[#This Row],[Avg_score]]&gt;=79,"Distinction",IF(Table2[[#This Row],[Avg_score]]&gt;=60,"Pass","Fail"))</f>
        <v>Pass</v>
      </c>
      <c r="T515" t="s">
        <v>39</v>
      </c>
      <c r="U515">
        <f>IF(Table2[[#This Row],[Completed]]="Yes",1,0)</f>
        <v>1</v>
      </c>
      <c r="V515" t="s">
        <v>40</v>
      </c>
      <c r="W515" t="s">
        <v>40</v>
      </c>
      <c r="X515" s="4">
        <v>45838</v>
      </c>
    </row>
    <row r="516" spans="1:24" x14ac:dyDescent="0.3">
      <c r="A516">
        <v>515</v>
      </c>
      <c r="B516" s="8">
        <v>172</v>
      </c>
      <c r="C516">
        <v>2</v>
      </c>
      <c r="D516" t="s">
        <v>19</v>
      </c>
      <c r="E516" t="s">
        <v>23</v>
      </c>
      <c r="F516">
        <v>34</v>
      </c>
      <c r="G516" t="str">
        <f>IF(Table2[[#This Row],[Age]]&gt;=30,"Experienced",IF(Table2[[#This Row],[Age]]&gt;=25,"Mid Level", "Entry Level"))</f>
        <v>Experienced</v>
      </c>
      <c r="H516" t="s">
        <v>25</v>
      </c>
      <c r="I516" t="s">
        <v>44</v>
      </c>
      <c r="J516" s="4">
        <v>45763</v>
      </c>
      <c r="K516" s="4" t="str">
        <f>TEXT(Table2[[#This Row],[Enrollment_date]],"Mmm")</f>
        <v>Apr</v>
      </c>
      <c r="L516" s="4" t="str">
        <f>TEXT(Table2[[#This Row],[Enrollment_date]],"Ddd")</f>
        <v>Wed</v>
      </c>
      <c r="M516" s="4" t="s">
        <v>34</v>
      </c>
      <c r="N516" t="s">
        <v>36</v>
      </c>
      <c r="O516" t="s">
        <v>38</v>
      </c>
      <c r="P516" s="8">
        <v>4</v>
      </c>
      <c r="Q516" s="6">
        <v>0.79166666666666663</v>
      </c>
      <c r="R516" s="6">
        <v>95.5</v>
      </c>
      <c r="S516" s="6" t="str">
        <f>IF(Table2[[#This Row],[Avg_score]]&gt;=79,"Distinction",IF(Table2[[#This Row],[Avg_score]]&gt;=60,"Pass","Fail"))</f>
        <v>Distinction</v>
      </c>
      <c r="T516" t="s">
        <v>39</v>
      </c>
      <c r="U516">
        <f>IF(Table2[[#This Row],[Completed]]="Yes",1,0)</f>
        <v>1</v>
      </c>
      <c r="V516" t="s">
        <v>40</v>
      </c>
      <c r="W516" t="s">
        <v>40</v>
      </c>
      <c r="X516" s="4">
        <v>45838</v>
      </c>
    </row>
    <row r="517" spans="1:24" x14ac:dyDescent="0.3">
      <c r="A517">
        <v>516</v>
      </c>
      <c r="B517" s="8">
        <v>172</v>
      </c>
      <c r="C517">
        <v>3</v>
      </c>
      <c r="D517" t="s">
        <v>19</v>
      </c>
      <c r="E517" t="s">
        <v>23</v>
      </c>
      <c r="F517">
        <v>34</v>
      </c>
      <c r="G517" t="str">
        <f>IF(Table2[[#This Row],[Age]]&gt;=30,"Experienced",IF(Table2[[#This Row],[Age]]&gt;=25,"Mid Level", "Entry Level"))</f>
        <v>Experienced</v>
      </c>
      <c r="H517" t="s">
        <v>25</v>
      </c>
      <c r="I517" t="s">
        <v>44</v>
      </c>
      <c r="J517" s="4">
        <v>45763</v>
      </c>
      <c r="K517" s="4" t="str">
        <f>TEXT(Table2[[#This Row],[Enrollment_date]],"Mmm")</f>
        <v>Apr</v>
      </c>
      <c r="L517" s="4" t="str">
        <f>TEXT(Table2[[#This Row],[Enrollment_date]],"Ddd")</f>
        <v>Wed</v>
      </c>
      <c r="M517" s="4" t="s">
        <v>34</v>
      </c>
      <c r="N517" t="s">
        <v>37</v>
      </c>
      <c r="O517" t="s">
        <v>38</v>
      </c>
      <c r="P517" s="8">
        <v>4</v>
      </c>
      <c r="Q517" s="6">
        <v>0.72916666666666663</v>
      </c>
      <c r="R517" s="6">
        <v>52.5</v>
      </c>
      <c r="S517" s="6" t="str">
        <f>IF(Table2[[#This Row],[Avg_score]]&gt;=79,"Distinction",IF(Table2[[#This Row],[Avg_score]]&gt;=60,"Pass","Fail"))</f>
        <v>Fail</v>
      </c>
      <c r="T517" t="s">
        <v>39</v>
      </c>
      <c r="U517">
        <f>IF(Table2[[#This Row],[Completed]]="Yes",1,0)</f>
        <v>1</v>
      </c>
      <c r="V517" t="s">
        <v>40</v>
      </c>
      <c r="W517" t="s">
        <v>40</v>
      </c>
      <c r="X517" s="4">
        <v>45838</v>
      </c>
    </row>
    <row r="518" spans="1:24" x14ac:dyDescent="0.3">
      <c r="A518">
        <v>517</v>
      </c>
      <c r="B518" s="8">
        <v>173</v>
      </c>
      <c r="C518">
        <v>1</v>
      </c>
      <c r="D518" t="s">
        <v>21</v>
      </c>
      <c r="E518" t="s">
        <v>22</v>
      </c>
      <c r="F518">
        <v>24</v>
      </c>
      <c r="G518" t="str">
        <f>IF(Table2[[#This Row],[Age]]&gt;=30,"Experienced",IF(Table2[[#This Row],[Age]]&gt;=25,"Mid Level", "Entry Level"))</f>
        <v>Entry Level</v>
      </c>
      <c r="H518" t="s">
        <v>26</v>
      </c>
      <c r="I518" t="s">
        <v>30</v>
      </c>
      <c r="J518" s="4">
        <v>45785</v>
      </c>
      <c r="K518" s="4" t="str">
        <f>TEXT(Table2[[#This Row],[Enrollment_date]],"Mmm")</f>
        <v>May</v>
      </c>
      <c r="L518" s="4" t="str">
        <f>TEXT(Table2[[#This Row],[Enrollment_date]],"Ddd")</f>
        <v>Thu</v>
      </c>
      <c r="M518" s="4" t="s">
        <v>34</v>
      </c>
      <c r="N518" t="s">
        <v>35</v>
      </c>
      <c r="O518" t="s">
        <v>38</v>
      </c>
      <c r="P518" s="8">
        <v>4</v>
      </c>
      <c r="Q518" s="6">
        <v>0.79166666666666663</v>
      </c>
      <c r="R518" s="6">
        <v>95</v>
      </c>
      <c r="S518" s="6" t="str">
        <f>IF(Table2[[#This Row],[Avg_score]]&gt;=79,"Distinction",IF(Table2[[#This Row],[Avg_score]]&gt;=60,"Pass","Fail"))</f>
        <v>Distinction</v>
      </c>
      <c r="T518" t="s">
        <v>39</v>
      </c>
      <c r="U518">
        <f>IF(Table2[[#This Row],[Completed]]="Yes",1,0)</f>
        <v>1</v>
      </c>
      <c r="V518" t="s">
        <v>39</v>
      </c>
      <c r="W518" t="s">
        <v>40</v>
      </c>
      <c r="X518" s="4">
        <v>45838</v>
      </c>
    </row>
    <row r="519" spans="1:24" x14ac:dyDescent="0.3">
      <c r="A519">
        <v>518</v>
      </c>
      <c r="B519" s="8">
        <v>173</v>
      </c>
      <c r="C519">
        <v>2</v>
      </c>
      <c r="D519" t="s">
        <v>19</v>
      </c>
      <c r="E519" t="s">
        <v>22</v>
      </c>
      <c r="F519">
        <v>24</v>
      </c>
      <c r="G519" t="str">
        <f>IF(Table2[[#This Row],[Age]]&gt;=30,"Experienced",IF(Table2[[#This Row],[Age]]&gt;=25,"Mid Level", "Entry Level"))</f>
        <v>Entry Level</v>
      </c>
      <c r="H519" t="s">
        <v>26</v>
      </c>
      <c r="I519" t="s">
        <v>30</v>
      </c>
      <c r="J519" s="4">
        <v>45785</v>
      </c>
      <c r="K519" s="4" t="str">
        <f>TEXT(Table2[[#This Row],[Enrollment_date]],"Mmm")</f>
        <v>May</v>
      </c>
      <c r="L519" s="4" t="str">
        <f>TEXT(Table2[[#This Row],[Enrollment_date]],"Ddd")</f>
        <v>Thu</v>
      </c>
      <c r="M519" s="4" t="s">
        <v>34</v>
      </c>
      <c r="N519" t="s">
        <v>36</v>
      </c>
      <c r="O519" t="s">
        <v>38</v>
      </c>
      <c r="P519" s="8">
        <v>4</v>
      </c>
      <c r="Q519" s="6">
        <v>0.75</v>
      </c>
      <c r="R519" s="6">
        <v>98.5</v>
      </c>
      <c r="S519" s="6" t="str">
        <f>IF(Table2[[#This Row],[Avg_score]]&gt;=79,"Distinction",IF(Table2[[#This Row],[Avg_score]]&gt;=60,"Pass","Fail"))</f>
        <v>Distinction</v>
      </c>
      <c r="T519" t="s">
        <v>39</v>
      </c>
      <c r="U519">
        <f>IF(Table2[[#This Row],[Completed]]="Yes",1,0)</f>
        <v>1</v>
      </c>
      <c r="V519" t="s">
        <v>39</v>
      </c>
      <c r="W519" t="s">
        <v>40</v>
      </c>
      <c r="X519" s="4">
        <v>45838</v>
      </c>
    </row>
    <row r="520" spans="1:24" x14ac:dyDescent="0.3">
      <c r="A520">
        <v>519</v>
      </c>
      <c r="B520" s="8">
        <v>173</v>
      </c>
      <c r="C520">
        <v>3</v>
      </c>
      <c r="D520" t="s">
        <v>20</v>
      </c>
      <c r="E520" t="s">
        <v>22</v>
      </c>
      <c r="F520">
        <v>24</v>
      </c>
      <c r="G520" t="str">
        <f>IF(Table2[[#This Row],[Age]]&gt;=30,"Experienced",IF(Table2[[#This Row],[Age]]&gt;=25,"Mid Level", "Entry Level"))</f>
        <v>Entry Level</v>
      </c>
      <c r="H520" t="s">
        <v>26</v>
      </c>
      <c r="I520" t="s">
        <v>30</v>
      </c>
      <c r="J520" s="4">
        <v>45785</v>
      </c>
      <c r="K520" s="4" t="str">
        <f>TEXT(Table2[[#This Row],[Enrollment_date]],"Mmm")</f>
        <v>May</v>
      </c>
      <c r="L520" s="4" t="str">
        <f>TEXT(Table2[[#This Row],[Enrollment_date]],"Ddd")</f>
        <v>Thu</v>
      </c>
      <c r="M520" s="4" t="s">
        <v>34</v>
      </c>
      <c r="N520" t="s">
        <v>37</v>
      </c>
      <c r="O520" t="s">
        <v>38</v>
      </c>
      <c r="P520" s="8">
        <v>4</v>
      </c>
      <c r="Q520" s="6">
        <v>0.89583333333333337</v>
      </c>
      <c r="R520" s="6">
        <v>75.5</v>
      </c>
      <c r="S520" s="6" t="str">
        <f>IF(Table2[[#This Row],[Avg_score]]&gt;=79,"Distinction",IF(Table2[[#This Row],[Avg_score]]&gt;=60,"Pass","Fail"))</f>
        <v>Pass</v>
      </c>
      <c r="T520" t="s">
        <v>39</v>
      </c>
      <c r="U520">
        <f>IF(Table2[[#This Row],[Completed]]="Yes",1,0)</f>
        <v>1</v>
      </c>
      <c r="V520" t="s">
        <v>39</v>
      </c>
      <c r="W520" t="s">
        <v>40</v>
      </c>
      <c r="X520" s="4">
        <v>45838</v>
      </c>
    </row>
    <row r="521" spans="1:24" x14ac:dyDescent="0.3">
      <c r="A521">
        <v>520</v>
      </c>
      <c r="B521" s="8">
        <v>174</v>
      </c>
      <c r="C521">
        <v>1</v>
      </c>
      <c r="D521" t="s">
        <v>19</v>
      </c>
      <c r="E521" t="s">
        <v>23</v>
      </c>
      <c r="F521">
        <v>19</v>
      </c>
      <c r="G521" t="str">
        <f>IF(Table2[[#This Row],[Age]]&gt;=30,"Experienced",IF(Table2[[#This Row],[Age]]&gt;=25,"Mid Level", "Entry Level"))</f>
        <v>Entry Level</v>
      </c>
      <c r="H521" t="s">
        <v>28</v>
      </c>
      <c r="I521" t="s">
        <v>30</v>
      </c>
      <c r="J521" s="4">
        <v>45798</v>
      </c>
      <c r="K521" s="4" t="str">
        <f>TEXT(Table2[[#This Row],[Enrollment_date]],"Mmm")</f>
        <v>May</v>
      </c>
      <c r="L521" s="4" t="str">
        <f>TEXT(Table2[[#This Row],[Enrollment_date]],"Ddd")</f>
        <v>Wed</v>
      </c>
      <c r="M521" s="4" t="s">
        <v>34</v>
      </c>
      <c r="N521" t="s">
        <v>35</v>
      </c>
      <c r="O521" t="s">
        <v>38</v>
      </c>
      <c r="P521" s="8">
        <v>4</v>
      </c>
      <c r="Q521" s="6">
        <v>0.85416666666666663</v>
      </c>
      <c r="R521" s="6">
        <v>79</v>
      </c>
      <c r="S521" s="6" t="str">
        <f>IF(Table2[[#This Row],[Avg_score]]&gt;=79,"Distinction",IF(Table2[[#This Row],[Avg_score]]&gt;=60,"Pass","Fail"))</f>
        <v>Distinction</v>
      </c>
      <c r="T521" t="s">
        <v>39</v>
      </c>
      <c r="U521">
        <f>IF(Table2[[#This Row],[Completed]]="Yes",1,0)</f>
        <v>1</v>
      </c>
      <c r="V521" t="s">
        <v>39</v>
      </c>
      <c r="W521" t="s">
        <v>39</v>
      </c>
      <c r="X521" s="4">
        <v>45838</v>
      </c>
    </row>
    <row r="522" spans="1:24" x14ac:dyDescent="0.3">
      <c r="A522">
        <v>521</v>
      </c>
      <c r="B522" s="8">
        <v>174</v>
      </c>
      <c r="C522">
        <v>2</v>
      </c>
      <c r="D522" t="s">
        <v>21</v>
      </c>
      <c r="E522" t="s">
        <v>23</v>
      </c>
      <c r="F522">
        <v>19</v>
      </c>
      <c r="G522" t="str">
        <f>IF(Table2[[#This Row],[Age]]&gt;=30,"Experienced",IF(Table2[[#This Row],[Age]]&gt;=25,"Mid Level", "Entry Level"))</f>
        <v>Entry Level</v>
      </c>
      <c r="H522" t="s">
        <v>28</v>
      </c>
      <c r="I522" t="s">
        <v>30</v>
      </c>
      <c r="J522" s="4">
        <v>45798</v>
      </c>
      <c r="K522" s="4" t="str">
        <f>TEXT(Table2[[#This Row],[Enrollment_date]],"Mmm")</f>
        <v>May</v>
      </c>
      <c r="L522" s="4" t="str">
        <f>TEXT(Table2[[#This Row],[Enrollment_date]],"Ddd")</f>
        <v>Wed</v>
      </c>
      <c r="M522" s="4" t="s">
        <v>34</v>
      </c>
      <c r="N522" t="s">
        <v>36</v>
      </c>
      <c r="O522" t="s">
        <v>38</v>
      </c>
      <c r="P522" s="8">
        <v>4</v>
      </c>
      <c r="Q522" s="6">
        <v>0.9375</v>
      </c>
      <c r="R522" s="6">
        <v>92</v>
      </c>
      <c r="S522" s="6" t="str">
        <f>IF(Table2[[#This Row],[Avg_score]]&gt;=79,"Distinction",IF(Table2[[#This Row],[Avg_score]]&gt;=60,"Pass","Fail"))</f>
        <v>Distinction</v>
      </c>
      <c r="T522" t="s">
        <v>39</v>
      </c>
      <c r="U522">
        <f>IF(Table2[[#This Row],[Completed]]="Yes",1,0)</f>
        <v>1</v>
      </c>
      <c r="V522" t="s">
        <v>39</v>
      </c>
      <c r="W522" t="s">
        <v>39</v>
      </c>
      <c r="X522" s="4">
        <v>45838</v>
      </c>
    </row>
    <row r="523" spans="1:24" x14ac:dyDescent="0.3">
      <c r="A523">
        <v>522</v>
      </c>
      <c r="B523" s="8">
        <v>174</v>
      </c>
      <c r="C523">
        <v>3</v>
      </c>
      <c r="D523" t="s">
        <v>19</v>
      </c>
      <c r="E523" t="s">
        <v>23</v>
      </c>
      <c r="F523">
        <v>19</v>
      </c>
      <c r="G523" t="str">
        <f>IF(Table2[[#This Row],[Age]]&gt;=30,"Experienced",IF(Table2[[#This Row],[Age]]&gt;=25,"Mid Level", "Entry Level"))</f>
        <v>Entry Level</v>
      </c>
      <c r="H523" t="s">
        <v>28</v>
      </c>
      <c r="I523" t="s">
        <v>30</v>
      </c>
      <c r="J523" s="4">
        <v>45798</v>
      </c>
      <c r="K523" s="4" t="str">
        <f>TEXT(Table2[[#This Row],[Enrollment_date]],"Mmm")</f>
        <v>May</v>
      </c>
      <c r="L523" s="4" t="str">
        <f>TEXT(Table2[[#This Row],[Enrollment_date]],"Ddd")</f>
        <v>Wed</v>
      </c>
      <c r="M523" s="4" t="s">
        <v>34</v>
      </c>
      <c r="N523" t="s">
        <v>37</v>
      </c>
      <c r="O523" t="s">
        <v>38</v>
      </c>
      <c r="P523" s="8">
        <v>4</v>
      </c>
      <c r="Q523" s="6">
        <v>0.89583333333333337</v>
      </c>
      <c r="R523" s="6">
        <v>78.5</v>
      </c>
      <c r="S523" s="6" t="str">
        <f>IF(Table2[[#This Row],[Avg_score]]&gt;=79,"Distinction",IF(Table2[[#This Row],[Avg_score]]&gt;=60,"Pass","Fail"))</f>
        <v>Pass</v>
      </c>
      <c r="T523" t="s">
        <v>39</v>
      </c>
      <c r="U523">
        <f>IF(Table2[[#This Row],[Completed]]="Yes",1,0)</f>
        <v>1</v>
      </c>
      <c r="V523" t="s">
        <v>39</v>
      </c>
      <c r="W523" t="s">
        <v>39</v>
      </c>
      <c r="X523" s="4">
        <v>45838</v>
      </c>
    </row>
    <row r="524" spans="1:24" x14ac:dyDescent="0.3">
      <c r="A524">
        <v>523</v>
      </c>
      <c r="B524" s="8">
        <v>175</v>
      </c>
      <c r="C524">
        <v>1</v>
      </c>
      <c r="D524" t="s">
        <v>19</v>
      </c>
      <c r="E524" t="s">
        <v>22</v>
      </c>
      <c r="F524">
        <v>27</v>
      </c>
      <c r="G524" t="str">
        <f>IF(Table2[[#This Row],[Age]]&gt;=30,"Experienced",IF(Table2[[#This Row],[Age]]&gt;=25,"Mid Level", "Entry Level"))</f>
        <v>Mid Level</v>
      </c>
      <c r="H524" t="s">
        <v>27</v>
      </c>
      <c r="I524" t="s">
        <v>44</v>
      </c>
      <c r="J524" s="4">
        <v>45689</v>
      </c>
      <c r="K524" s="4" t="str">
        <f>TEXT(Table2[[#This Row],[Enrollment_date]],"Mmm")</f>
        <v>Feb</v>
      </c>
      <c r="L524" s="4" t="str">
        <f>TEXT(Table2[[#This Row],[Enrollment_date]],"Ddd")</f>
        <v>Sat</v>
      </c>
      <c r="M524" s="4" t="s">
        <v>34</v>
      </c>
      <c r="N524" t="s">
        <v>35</v>
      </c>
      <c r="O524" t="s">
        <v>38</v>
      </c>
      <c r="P524" s="8">
        <v>4</v>
      </c>
      <c r="Q524" s="6">
        <v>0.79166666666666663</v>
      </c>
      <c r="R524" s="6">
        <v>49.5</v>
      </c>
      <c r="S524" s="6" t="str">
        <f>IF(Table2[[#This Row],[Avg_score]]&gt;=79,"Distinction",IF(Table2[[#This Row],[Avg_score]]&gt;=60,"Pass","Fail"))</f>
        <v>Fail</v>
      </c>
      <c r="T524" t="s">
        <v>40</v>
      </c>
      <c r="U524">
        <f>IF(Table2[[#This Row],[Completed]]="Yes",1,0)</f>
        <v>0</v>
      </c>
      <c r="V524" t="s">
        <v>40</v>
      </c>
      <c r="W524" t="s">
        <v>40</v>
      </c>
      <c r="X524" s="4">
        <v>45838</v>
      </c>
    </row>
    <row r="525" spans="1:24" x14ac:dyDescent="0.3">
      <c r="A525">
        <v>524</v>
      </c>
      <c r="B525" s="8">
        <v>175</v>
      </c>
      <c r="C525">
        <v>2</v>
      </c>
      <c r="D525" t="s">
        <v>21</v>
      </c>
      <c r="E525" t="s">
        <v>22</v>
      </c>
      <c r="F525">
        <v>27</v>
      </c>
      <c r="G525" t="str">
        <f>IF(Table2[[#This Row],[Age]]&gt;=30,"Experienced",IF(Table2[[#This Row],[Age]]&gt;=25,"Mid Level", "Entry Level"))</f>
        <v>Mid Level</v>
      </c>
      <c r="H525" t="s">
        <v>27</v>
      </c>
      <c r="I525" t="s">
        <v>44</v>
      </c>
      <c r="J525" s="4">
        <v>45689</v>
      </c>
      <c r="K525" s="4" t="str">
        <f>TEXT(Table2[[#This Row],[Enrollment_date]],"Mmm")</f>
        <v>Feb</v>
      </c>
      <c r="L525" s="4" t="str">
        <f>TEXT(Table2[[#This Row],[Enrollment_date]],"Ddd")</f>
        <v>Sat</v>
      </c>
      <c r="M525" s="4" t="s">
        <v>34</v>
      </c>
      <c r="N525" t="s">
        <v>36</v>
      </c>
      <c r="O525" t="s">
        <v>38</v>
      </c>
      <c r="P525" s="8">
        <v>4</v>
      </c>
      <c r="Q525" s="6">
        <v>0.875</v>
      </c>
      <c r="R525" s="6">
        <v>67</v>
      </c>
      <c r="S525" s="6" t="str">
        <f>IF(Table2[[#This Row],[Avg_score]]&gt;=79,"Distinction",IF(Table2[[#This Row],[Avg_score]]&gt;=60,"Pass","Fail"))</f>
        <v>Pass</v>
      </c>
      <c r="T525" t="s">
        <v>40</v>
      </c>
      <c r="U525">
        <f>IF(Table2[[#This Row],[Completed]]="Yes",1,0)</f>
        <v>0</v>
      </c>
      <c r="V525" t="s">
        <v>40</v>
      </c>
      <c r="W525" t="s">
        <v>40</v>
      </c>
      <c r="X525" s="4">
        <v>45838</v>
      </c>
    </row>
    <row r="526" spans="1:24" x14ac:dyDescent="0.3">
      <c r="A526">
        <v>525</v>
      </c>
      <c r="B526" s="8">
        <v>175</v>
      </c>
      <c r="C526">
        <v>3</v>
      </c>
      <c r="D526" t="s">
        <v>21</v>
      </c>
      <c r="E526" t="s">
        <v>22</v>
      </c>
      <c r="F526">
        <v>27</v>
      </c>
      <c r="G526" t="str">
        <f>IF(Table2[[#This Row],[Age]]&gt;=30,"Experienced",IF(Table2[[#This Row],[Age]]&gt;=25,"Mid Level", "Entry Level"))</f>
        <v>Mid Level</v>
      </c>
      <c r="H526" t="s">
        <v>27</v>
      </c>
      <c r="I526" t="s">
        <v>44</v>
      </c>
      <c r="J526" s="4">
        <v>45689</v>
      </c>
      <c r="K526" s="4" t="str">
        <f>TEXT(Table2[[#This Row],[Enrollment_date]],"Mmm")</f>
        <v>Feb</v>
      </c>
      <c r="L526" s="4" t="str">
        <f>TEXT(Table2[[#This Row],[Enrollment_date]],"Ddd")</f>
        <v>Sat</v>
      </c>
      <c r="M526" s="4" t="s">
        <v>34</v>
      </c>
      <c r="N526" t="s">
        <v>37</v>
      </c>
      <c r="O526" t="s">
        <v>38</v>
      </c>
      <c r="P526" s="8">
        <v>4</v>
      </c>
      <c r="Q526" s="6">
        <v>0.83333333333333337</v>
      </c>
      <c r="R526" s="6">
        <v>70</v>
      </c>
      <c r="S526" s="6" t="str">
        <f>IF(Table2[[#This Row],[Avg_score]]&gt;=79,"Distinction",IF(Table2[[#This Row],[Avg_score]]&gt;=60,"Pass","Fail"))</f>
        <v>Pass</v>
      </c>
      <c r="T526" t="s">
        <v>40</v>
      </c>
      <c r="U526">
        <f>IF(Table2[[#This Row],[Completed]]="Yes",1,0)</f>
        <v>0</v>
      </c>
      <c r="V526" t="s">
        <v>40</v>
      </c>
      <c r="W526" t="s">
        <v>40</v>
      </c>
      <c r="X526" s="4">
        <v>45838</v>
      </c>
    </row>
    <row r="527" spans="1:24" x14ac:dyDescent="0.3">
      <c r="A527">
        <v>526</v>
      </c>
      <c r="B527" s="8">
        <v>176</v>
      </c>
      <c r="C527">
        <v>1</v>
      </c>
      <c r="D527" t="s">
        <v>21</v>
      </c>
      <c r="E527" t="s">
        <v>22</v>
      </c>
      <c r="F527">
        <v>25</v>
      </c>
      <c r="G527" t="str">
        <f>IF(Table2[[#This Row],[Age]]&gt;=30,"Experienced",IF(Table2[[#This Row],[Age]]&gt;=25,"Mid Level", "Entry Level"))</f>
        <v>Mid Level</v>
      </c>
      <c r="H527" t="s">
        <v>24</v>
      </c>
      <c r="I527" t="s">
        <v>32</v>
      </c>
      <c r="J527" s="4">
        <v>45737</v>
      </c>
      <c r="K527" s="4" t="str">
        <f>TEXT(Table2[[#This Row],[Enrollment_date]],"Mmm")</f>
        <v>Mar</v>
      </c>
      <c r="L527" s="4" t="str">
        <f>TEXT(Table2[[#This Row],[Enrollment_date]],"Ddd")</f>
        <v>Fri</v>
      </c>
      <c r="M527" s="4" t="s">
        <v>34</v>
      </c>
      <c r="N527" t="s">
        <v>35</v>
      </c>
      <c r="O527" t="s">
        <v>38</v>
      </c>
      <c r="P527" s="8">
        <v>4</v>
      </c>
      <c r="Q527" s="6">
        <v>0.85416666666666663</v>
      </c>
      <c r="R527" s="6">
        <v>88.5</v>
      </c>
      <c r="S527" s="6" t="str">
        <f>IF(Table2[[#This Row],[Avg_score]]&gt;=79,"Distinction",IF(Table2[[#This Row],[Avg_score]]&gt;=60,"Pass","Fail"))</f>
        <v>Distinction</v>
      </c>
      <c r="T527" t="s">
        <v>39</v>
      </c>
      <c r="U527">
        <f>IF(Table2[[#This Row],[Completed]]="Yes",1,0)</f>
        <v>1</v>
      </c>
      <c r="V527" t="s">
        <v>39</v>
      </c>
      <c r="W527" t="s">
        <v>39</v>
      </c>
      <c r="X527" s="4">
        <v>45838</v>
      </c>
    </row>
    <row r="528" spans="1:24" x14ac:dyDescent="0.3">
      <c r="A528">
        <v>527</v>
      </c>
      <c r="B528" s="8">
        <v>176</v>
      </c>
      <c r="C528">
        <v>2</v>
      </c>
      <c r="D528" t="s">
        <v>19</v>
      </c>
      <c r="E528" t="s">
        <v>22</v>
      </c>
      <c r="F528">
        <v>25</v>
      </c>
      <c r="G528" t="str">
        <f>IF(Table2[[#This Row],[Age]]&gt;=30,"Experienced",IF(Table2[[#This Row],[Age]]&gt;=25,"Mid Level", "Entry Level"))</f>
        <v>Mid Level</v>
      </c>
      <c r="H528" t="s">
        <v>24</v>
      </c>
      <c r="I528" t="s">
        <v>32</v>
      </c>
      <c r="J528" s="4">
        <v>45737</v>
      </c>
      <c r="K528" s="4" t="str">
        <f>TEXT(Table2[[#This Row],[Enrollment_date]],"Mmm")</f>
        <v>Mar</v>
      </c>
      <c r="L528" s="4" t="str">
        <f>TEXT(Table2[[#This Row],[Enrollment_date]],"Ddd")</f>
        <v>Fri</v>
      </c>
      <c r="M528" s="4" t="s">
        <v>34</v>
      </c>
      <c r="N528" t="s">
        <v>36</v>
      </c>
      <c r="O528" t="s">
        <v>38</v>
      </c>
      <c r="P528" s="8">
        <v>4</v>
      </c>
      <c r="Q528" s="6">
        <v>0.85416666666666663</v>
      </c>
      <c r="R528" s="6">
        <v>76</v>
      </c>
      <c r="S528" s="6" t="str">
        <f>IF(Table2[[#This Row],[Avg_score]]&gt;=79,"Distinction",IF(Table2[[#This Row],[Avg_score]]&gt;=60,"Pass","Fail"))</f>
        <v>Pass</v>
      </c>
      <c r="T528" t="s">
        <v>39</v>
      </c>
      <c r="U528">
        <f>IF(Table2[[#This Row],[Completed]]="Yes",1,0)</f>
        <v>1</v>
      </c>
      <c r="V528" t="s">
        <v>39</v>
      </c>
      <c r="W528" t="s">
        <v>39</v>
      </c>
      <c r="X528" s="4">
        <v>45838</v>
      </c>
    </row>
    <row r="529" spans="1:24" x14ac:dyDescent="0.3">
      <c r="A529">
        <v>528</v>
      </c>
      <c r="B529" s="8">
        <v>176</v>
      </c>
      <c r="C529">
        <v>3</v>
      </c>
      <c r="D529" t="s">
        <v>19</v>
      </c>
      <c r="E529" t="s">
        <v>22</v>
      </c>
      <c r="F529">
        <v>25</v>
      </c>
      <c r="G529" t="str">
        <f>IF(Table2[[#This Row],[Age]]&gt;=30,"Experienced",IF(Table2[[#This Row],[Age]]&gt;=25,"Mid Level", "Entry Level"))</f>
        <v>Mid Level</v>
      </c>
      <c r="H529" t="s">
        <v>24</v>
      </c>
      <c r="I529" t="s">
        <v>32</v>
      </c>
      <c r="J529" s="4">
        <v>45737</v>
      </c>
      <c r="K529" s="4" t="str">
        <f>TEXT(Table2[[#This Row],[Enrollment_date]],"Mmm")</f>
        <v>Mar</v>
      </c>
      <c r="L529" s="4" t="str">
        <f>TEXT(Table2[[#This Row],[Enrollment_date]],"Ddd")</f>
        <v>Fri</v>
      </c>
      <c r="M529" s="4" t="s">
        <v>34</v>
      </c>
      <c r="N529" t="s">
        <v>37</v>
      </c>
      <c r="O529" t="s">
        <v>38</v>
      </c>
      <c r="P529" s="8">
        <v>4</v>
      </c>
      <c r="Q529" s="6">
        <v>1</v>
      </c>
      <c r="R529" s="6">
        <v>46.5</v>
      </c>
      <c r="S529" s="6" t="str">
        <f>IF(Table2[[#This Row],[Avg_score]]&gt;=79,"Distinction",IF(Table2[[#This Row],[Avg_score]]&gt;=60,"Pass","Fail"))</f>
        <v>Fail</v>
      </c>
      <c r="T529" t="s">
        <v>39</v>
      </c>
      <c r="U529">
        <f>IF(Table2[[#This Row],[Completed]]="Yes",1,0)</f>
        <v>1</v>
      </c>
      <c r="V529" t="s">
        <v>39</v>
      </c>
      <c r="W529" t="s">
        <v>39</v>
      </c>
      <c r="X529" s="4">
        <v>45838</v>
      </c>
    </row>
    <row r="530" spans="1:24" x14ac:dyDescent="0.3">
      <c r="A530">
        <v>529</v>
      </c>
      <c r="B530" s="8">
        <v>177</v>
      </c>
      <c r="C530">
        <v>1</v>
      </c>
      <c r="D530" t="s">
        <v>19</v>
      </c>
      <c r="E530" t="s">
        <v>22</v>
      </c>
      <c r="F530">
        <v>35</v>
      </c>
      <c r="G530" t="str">
        <f>IF(Table2[[#This Row],[Age]]&gt;=30,"Experienced",IF(Table2[[#This Row],[Age]]&gt;=25,"Mid Level", "Entry Level"))</f>
        <v>Experienced</v>
      </c>
      <c r="H530" t="s">
        <v>27</v>
      </c>
      <c r="I530" t="s">
        <v>68</v>
      </c>
      <c r="J530" s="4">
        <v>45715</v>
      </c>
      <c r="K530" s="4" t="str">
        <f>TEXT(Table2[[#This Row],[Enrollment_date]],"Mmm")</f>
        <v>Feb</v>
      </c>
      <c r="L530" s="4" t="str">
        <f>TEXT(Table2[[#This Row],[Enrollment_date]],"Ddd")</f>
        <v>Thu</v>
      </c>
      <c r="M530" s="4" t="s">
        <v>34</v>
      </c>
      <c r="N530" t="s">
        <v>35</v>
      </c>
      <c r="O530" t="s">
        <v>38</v>
      </c>
      <c r="P530" s="8">
        <v>4</v>
      </c>
      <c r="Q530" s="6">
        <v>0.79166666666666663</v>
      </c>
      <c r="R530" s="6">
        <v>54</v>
      </c>
      <c r="S530" s="6" t="str">
        <f>IF(Table2[[#This Row],[Avg_score]]&gt;=79,"Distinction",IF(Table2[[#This Row],[Avg_score]]&gt;=60,"Pass","Fail"))</f>
        <v>Fail</v>
      </c>
      <c r="T530" t="s">
        <v>39</v>
      </c>
      <c r="U530">
        <f>IF(Table2[[#This Row],[Completed]]="Yes",1,0)</f>
        <v>1</v>
      </c>
      <c r="V530" t="s">
        <v>39</v>
      </c>
      <c r="W530" t="s">
        <v>39</v>
      </c>
      <c r="X530" s="4">
        <v>45838</v>
      </c>
    </row>
    <row r="531" spans="1:24" x14ac:dyDescent="0.3">
      <c r="A531">
        <v>530</v>
      </c>
      <c r="B531" s="8">
        <v>177</v>
      </c>
      <c r="C531">
        <v>2</v>
      </c>
      <c r="D531" t="s">
        <v>19</v>
      </c>
      <c r="E531" t="s">
        <v>22</v>
      </c>
      <c r="F531">
        <v>35</v>
      </c>
      <c r="G531" t="str">
        <f>IF(Table2[[#This Row],[Age]]&gt;=30,"Experienced",IF(Table2[[#This Row],[Age]]&gt;=25,"Mid Level", "Entry Level"))</f>
        <v>Experienced</v>
      </c>
      <c r="H531" t="s">
        <v>27</v>
      </c>
      <c r="I531" t="s">
        <v>68</v>
      </c>
      <c r="J531" s="4">
        <v>45715</v>
      </c>
      <c r="K531" s="4" t="str">
        <f>TEXT(Table2[[#This Row],[Enrollment_date]],"Mmm")</f>
        <v>Feb</v>
      </c>
      <c r="L531" s="4" t="str">
        <f>TEXT(Table2[[#This Row],[Enrollment_date]],"Ddd")</f>
        <v>Thu</v>
      </c>
      <c r="M531" s="4" t="s">
        <v>34</v>
      </c>
      <c r="N531" t="s">
        <v>36</v>
      </c>
      <c r="O531" t="s">
        <v>38</v>
      </c>
      <c r="P531" s="8">
        <v>4</v>
      </c>
      <c r="Q531" s="6">
        <v>0.79166666666666663</v>
      </c>
      <c r="R531" s="6">
        <v>63.5</v>
      </c>
      <c r="S531" s="6" t="str">
        <f>IF(Table2[[#This Row],[Avg_score]]&gt;=79,"Distinction",IF(Table2[[#This Row],[Avg_score]]&gt;=60,"Pass","Fail"))</f>
        <v>Pass</v>
      </c>
      <c r="T531" t="s">
        <v>39</v>
      </c>
      <c r="U531">
        <f>IF(Table2[[#This Row],[Completed]]="Yes",1,0)</f>
        <v>1</v>
      </c>
      <c r="V531" t="s">
        <v>39</v>
      </c>
      <c r="W531" t="s">
        <v>39</v>
      </c>
      <c r="X531" s="4">
        <v>45838</v>
      </c>
    </row>
    <row r="532" spans="1:24" x14ac:dyDescent="0.3">
      <c r="A532">
        <v>531</v>
      </c>
      <c r="B532" s="8">
        <v>177</v>
      </c>
      <c r="C532">
        <v>3</v>
      </c>
      <c r="D532" t="s">
        <v>19</v>
      </c>
      <c r="E532" t="s">
        <v>22</v>
      </c>
      <c r="F532">
        <v>35</v>
      </c>
      <c r="G532" t="str">
        <f>IF(Table2[[#This Row],[Age]]&gt;=30,"Experienced",IF(Table2[[#This Row],[Age]]&gt;=25,"Mid Level", "Entry Level"))</f>
        <v>Experienced</v>
      </c>
      <c r="H532" t="s">
        <v>27</v>
      </c>
      <c r="I532" t="s">
        <v>68</v>
      </c>
      <c r="J532" s="4">
        <v>45715</v>
      </c>
      <c r="K532" s="4" t="str">
        <f>TEXT(Table2[[#This Row],[Enrollment_date]],"Mmm")</f>
        <v>Feb</v>
      </c>
      <c r="L532" s="4" t="str">
        <f>TEXT(Table2[[#This Row],[Enrollment_date]],"Ddd")</f>
        <v>Thu</v>
      </c>
      <c r="M532" s="4" t="s">
        <v>34</v>
      </c>
      <c r="N532" t="s">
        <v>37</v>
      </c>
      <c r="O532" t="s">
        <v>38</v>
      </c>
      <c r="P532" s="8">
        <v>4</v>
      </c>
      <c r="Q532" s="6">
        <v>0.77083333333333337</v>
      </c>
      <c r="R532" s="6">
        <v>94.5</v>
      </c>
      <c r="S532" s="6" t="str">
        <f>IF(Table2[[#This Row],[Avg_score]]&gt;=79,"Distinction",IF(Table2[[#This Row],[Avg_score]]&gt;=60,"Pass","Fail"))</f>
        <v>Distinction</v>
      </c>
      <c r="T532" t="s">
        <v>39</v>
      </c>
      <c r="U532">
        <f>IF(Table2[[#This Row],[Completed]]="Yes",1,0)</f>
        <v>1</v>
      </c>
      <c r="V532" t="s">
        <v>39</v>
      </c>
      <c r="W532" t="s">
        <v>39</v>
      </c>
      <c r="X532" s="4">
        <v>45838</v>
      </c>
    </row>
    <row r="533" spans="1:24" x14ac:dyDescent="0.3">
      <c r="A533">
        <v>532</v>
      </c>
      <c r="B533" s="8">
        <v>178</v>
      </c>
      <c r="C533">
        <v>1</v>
      </c>
      <c r="D533" t="s">
        <v>21</v>
      </c>
      <c r="E533" t="s">
        <v>22</v>
      </c>
      <c r="F533">
        <v>32</v>
      </c>
      <c r="G533" t="str">
        <f>IF(Table2[[#This Row],[Age]]&gt;=30,"Experienced",IF(Table2[[#This Row],[Age]]&gt;=25,"Mid Level", "Entry Level"))</f>
        <v>Experienced</v>
      </c>
      <c r="H533" t="s">
        <v>25</v>
      </c>
      <c r="I533" t="s">
        <v>32</v>
      </c>
      <c r="J533" s="4">
        <v>45785</v>
      </c>
      <c r="K533" s="4" t="str">
        <f>TEXT(Table2[[#This Row],[Enrollment_date]],"Mmm")</f>
        <v>May</v>
      </c>
      <c r="L533" s="4" t="str">
        <f>TEXT(Table2[[#This Row],[Enrollment_date]],"Ddd")</f>
        <v>Thu</v>
      </c>
      <c r="M533" s="4" t="s">
        <v>34</v>
      </c>
      <c r="N533" t="s">
        <v>35</v>
      </c>
      <c r="O533" t="s">
        <v>38</v>
      </c>
      <c r="P533" s="8">
        <v>4</v>
      </c>
      <c r="Q533" s="6">
        <v>0.77083333333333337</v>
      </c>
      <c r="R533" s="6">
        <v>70.5</v>
      </c>
      <c r="S533" s="6" t="str">
        <f>IF(Table2[[#This Row],[Avg_score]]&gt;=79,"Distinction",IF(Table2[[#This Row],[Avg_score]]&gt;=60,"Pass","Fail"))</f>
        <v>Pass</v>
      </c>
      <c r="T533" t="s">
        <v>39</v>
      </c>
      <c r="U533">
        <f>IF(Table2[[#This Row],[Completed]]="Yes",1,0)</f>
        <v>1</v>
      </c>
      <c r="V533" t="s">
        <v>40</v>
      </c>
      <c r="W533" t="s">
        <v>39</v>
      </c>
      <c r="X533" s="4">
        <v>45838</v>
      </c>
    </row>
    <row r="534" spans="1:24" x14ac:dyDescent="0.3">
      <c r="A534">
        <v>533</v>
      </c>
      <c r="B534" s="8">
        <v>178</v>
      </c>
      <c r="C534">
        <v>2</v>
      </c>
      <c r="D534" t="s">
        <v>21</v>
      </c>
      <c r="E534" t="s">
        <v>22</v>
      </c>
      <c r="F534">
        <v>32</v>
      </c>
      <c r="G534" t="str">
        <f>IF(Table2[[#This Row],[Age]]&gt;=30,"Experienced",IF(Table2[[#This Row],[Age]]&gt;=25,"Mid Level", "Entry Level"))</f>
        <v>Experienced</v>
      </c>
      <c r="H534" t="s">
        <v>25</v>
      </c>
      <c r="I534" t="s">
        <v>32</v>
      </c>
      <c r="J534" s="4">
        <v>45785</v>
      </c>
      <c r="K534" s="4" t="str">
        <f>TEXT(Table2[[#This Row],[Enrollment_date]],"Mmm")</f>
        <v>May</v>
      </c>
      <c r="L534" s="4" t="str">
        <f>TEXT(Table2[[#This Row],[Enrollment_date]],"Ddd")</f>
        <v>Thu</v>
      </c>
      <c r="M534" s="4" t="s">
        <v>34</v>
      </c>
      <c r="N534" t="s">
        <v>36</v>
      </c>
      <c r="O534" t="s">
        <v>38</v>
      </c>
      <c r="P534" s="8">
        <v>4</v>
      </c>
      <c r="Q534" s="6">
        <v>0.85416666666666663</v>
      </c>
      <c r="R534" s="6">
        <v>69</v>
      </c>
      <c r="S534" s="6" t="str">
        <f>IF(Table2[[#This Row],[Avg_score]]&gt;=79,"Distinction",IF(Table2[[#This Row],[Avg_score]]&gt;=60,"Pass","Fail"))</f>
        <v>Pass</v>
      </c>
      <c r="T534" t="s">
        <v>39</v>
      </c>
      <c r="U534">
        <f>IF(Table2[[#This Row],[Completed]]="Yes",1,0)</f>
        <v>1</v>
      </c>
      <c r="V534" t="s">
        <v>40</v>
      </c>
      <c r="W534" t="s">
        <v>39</v>
      </c>
      <c r="X534" s="4">
        <v>45838</v>
      </c>
    </row>
    <row r="535" spans="1:24" x14ac:dyDescent="0.3">
      <c r="A535">
        <v>534</v>
      </c>
      <c r="B535" s="8">
        <v>178</v>
      </c>
      <c r="C535">
        <v>3</v>
      </c>
      <c r="D535" t="s">
        <v>19</v>
      </c>
      <c r="E535" t="s">
        <v>22</v>
      </c>
      <c r="F535">
        <v>32</v>
      </c>
      <c r="G535" t="str">
        <f>IF(Table2[[#This Row],[Age]]&gt;=30,"Experienced",IF(Table2[[#This Row],[Age]]&gt;=25,"Mid Level", "Entry Level"))</f>
        <v>Experienced</v>
      </c>
      <c r="H535" t="s">
        <v>25</v>
      </c>
      <c r="I535" t="s">
        <v>32</v>
      </c>
      <c r="J535" s="4">
        <v>45785</v>
      </c>
      <c r="K535" s="4" t="str">
        <f>TEXT(Table2[[#This Row],[Enrollment_date]],"Mmm")</f>
        <v>May</v>
      </c>
      <c r="L535" s="4" t="str">
        <f>TEXT(Table2[[#This Row],[Enrollment_date]],"Ddd")</f>
        <v>Thu</v>
      </c>
      <c r="M535" s="4" t="s">
        <v>34</v>
      </c>
      <c r="N535" t="s">
        <v>37</v>
      </c>
      <c r="O535" t="s">
        <v>38</v>
      </c>
      <c r="P535" s="8">
        <v>4</v>
      </c>
      <c r="Q535" s="6">
        <v>0.8125</v>
      </c>
      <c r="R535" s="6">
        <v>72</v>
      </c>
      <c r="S535" s="6" t="str">
        <f>IF(Table2[[#This Row],[Avg_score]]&gt;=79,"Distinction",IF(Table2[[#This Row],[Avg_score]]&gt;=60,"Pass","Fail"))</f>
        <v>Pass</v>
      </c>
      <c r="T535" t="s">
        <v>39</v>
      </c>
      <c r="U535">
        <f>IF(Table2[[#This Row],[Completed]]="Yes",1,0)</f>
        <v>1</v>
      </c>
      <c r="V535" t="s">
        <v>40</v>
      </c>
      <c r="W535" t="s">
        <v>39</v>
      </c>
      <c r="X535" s="4">
        <v>45838</v>
      </c>
    </row>
    <row r="536" spans="1:24" x14ac:dyDescent="0.3">
      <c r="A536">
        <v>535</v>
      </c>
      <c r="B536" s="8">
        <v>179</v>
      </c>
      <c r="C536">
        <v>1</v>
      </c>
      <c r="D536" t="s">
        <v>20</v>
      </c>
      <c r="E536" t="s">
        <v>23</v>
      </c>
      <c r="F536">
        <v>34</v>
      </c>
      <c r="G536" t="str">
        <f>IF(Table2[[#This Row],[Age]]&gt;=30,"Experienced",IF(Table2[[#This Row],[Age]]&gt;=25,"Mid Level", "Entry Level"))</f>
        <v>Experienced</v>
      </c>
      <c r="H536" t="s">
        <v>24</v>
      </c>
      <c r="I536" t="s">
        <v>30</v>
      </c>
      <c r="J536" s="4">
        <v>45764</v>
      </c>
      <c r="K536" s="4" t="str">
        <f>TEXT(Table2[[#This Row],[Enrollment_date]],"Mmm")</f>
        <v>Apr</v>
      </c>
      <c r="L536" s="4" t="str">
        <f>TEXT(Table2[[#This Row],[Enrollment_date]],"Ddd")</f>
        <v>Thu</v>
      </c>
      <c r="M536" s="4" t="s">
        <v>34</v>
      </c>
      <c r="N536" t="s">
        <v>35</v>
      </c>
      <c r="O536" t="s">
        <v>38</v>
      </c>
      <c r="P536" s="8">
        <v>4</v>
      </c>
      <c r="Q536" s="6">
        <v>0.83333333333333337</v>
      </c>
      <c r="R536" s="6">
        <v>82.5</v>
      </c>
      <c r="S536" s="6" t="str">
        <f>IF(Table2[[#This Row],[Avg_score]]&gt;=79,"Distinction",IF(Table2[[#This Row],[Avg_score]]&gt;=60,"Pass","Fail"))</f>
        <v>Distinction</v>
      </c>
      <c r="T536" t="s">
        <v>39</v>
      </c>
      <c r="U536">
        <f>IF(Table2[[#This Row],[Completed]]="Yes",1,0)</f>
        <v>1</v>
      </c>
      <c r="V536" t="s">
        <v>39</v>
      </c>
      <c r="W536" t="s">
        <v>39</v>
      </c>
      <c r="X536" s="4">
        <v>45838</v>
      </c>
    </row>
    <row r="537" spans="1:24" x14ac:dyDescent="0.3">
      <c r="A537">
        <v>536</v>
      </c>
      <c r="B537" s="8">
        <v>179</v>
      </c>
      <c r="C537">
        <v>2</v>
      </c>
      <c r="D537" t="s">
        <v>19</v>
      </c>
      <c r="E537" t="s">
        <v>23</v>
      </c>
      <c r="F537">
        <v>34</v>
      </c>
      <c r="G537" t="str">
        <f>IF(Table2[[#This Row],[Age]]&gt;=30,"Experienced",IF(Table2[[#This Row],[Age]]&gt;=25,"Mid Level", "Entry Level"))</f>
        <v>Experienced</v>
      </c>
      <c r="H537" t="s">
        <v>24</v>
      </c>
      <c r="I537" t="s">
        <v>30</v>
      </c>
      <c r="J537" s="4">
        <v>45764</v>
      </c>
      <c r="K537" s="4" t="str">
        <f>TEXT(Table2[[#This Row],[Enrollment_date]],"Mmm")</f>
        <v>Apr</v>
      </c>
      <c r="L537" s="4" t="str">
        <f>TEXT(Table2[[#This Row],[Enrollment_date]],"Ddd")</f>
        <v>Thu</v>
      </c>
      <c r="M537" s="4" t="s">
        <v>34</v>
      </c>
      <c r="N537" t="s">
        <v>36</v>
      </c>
      <c r="O537" t="s">
        <v>38</v>
      </c>
      <c r="P537" s="8">
        <v>4</v>
      </c>
      <c r="Q537" s="6">
        <v>0.89583333333333337</v>
      </c>
      <c r="R537" s="6">
        <v>79</v>
      </c>
      <c r="S537" s="6" t="str">
        <f>IF(Table2[[#This Row],[Avg_score]]&gt;=79,"Distinction",IF(Table2[[#This Row],[Avg_score]]&gt;=60,"Pass","Fail"))</f>
        <v>Distinction</v>
      </c>
      <c r="T537" t="s">
        <v>39</v>
      </c>
      <c r="U537">
        <f>IF(Table2[[#This Row],[Completed]]="Yes",1,0)</f>
        <v>1</v>
      </c>
      <c r="V537" t="s">
        <v>39</v>
      </c>
      <c r="W537" t="s">
        <v>39</v>
      </c>
      <c r="X537" s="4">
        <v>45838</v>
      </c>
    </row>
    <row r="538" spans="1:24" x14ac:dyDescent="0.3">
      <c r="A538">
        <v>537</v>
      </c>
      <c r="B538" s="8">
        <v>179</v>
      </c>
      <c r="C538">
        <v>3</v>
      </c>
      <c r="D538" t="s">
        <v>19</v>
      </c>
      <c r="E538" t="s">
        <v>23</v>
      </c>
      <c r="F538">
        <v>34</v>
      </c>
      <c r="G538" t="str">
        <f>IF(Table2[[#This Row],[Age]]&gt;=30,"Experienced",IF(Table2[[#This Row],[Age]]&gt;=25,"Mid Level", "Entry Level"))</f>
        <v>Experienced</v>
      </c>
      <c r="H538" t="s">
        <v>24</v>
      </c>
      <c r="I538" t="s">
        <v>30</v>
      </c>
      <c r="J538" s="4">
        <v>45764</v>
      </c>
      <c r="K538" s="4" t="str">
        <f>TEXT(Table2[[#This Row],[Enrollment_date]],"Mmm")</f>
        <v>Apr</v>
      </c>
      <c r="L538" s="4" t="str">
        <f>TEXT(Table2[[#This Row],[Enrollment_date]],"Ddd")</f>
        <v>Thu</v>
      </c>
      <c r="M538" s="4" t="s">
        <v>34</v>
      </c>
      <c r="N538" t="s">
        <v>37</v>
      </c>
      <c r="O538" t="s">
        <v>38</v>
      </c>
      <c r="P538" s="8">
        <v>4</v>
      </c>
      <c r="Q538" s="6">
        <v>0.75</v>
      </c>
      <c r="R538" s="6">
        <v>67.5</v>
      </c>
      <c r="S538" s="6" t="str">
        <f>IF(Table2[[#This Row],[Avg_score]]&gt;=79,"Distinction",IF(Table2[[#This Row],[Avg_score]]&gt;=60,"Pass","Fail"))</f>
        <v>Pass</v>
      </c>
      <c r="T538" t="s">
        <v>39</v>
      </c>
      <c r="U538">
        <f>IF(Table2[[#This Row],[Completed]]="Yes",1,0)</f>
        <v>1</v>
      </c>
      <c r="V538" t="s">
        <v>39</v>
      </c>
      <c r="W538" t="s">
        <v>39</v>
      </c>
      <c r="X538" s="4">
        <v>45838</v>
      </c>
    </row>
    <row r="539" spans="1:24" x14ac:dyDescent="0.3">
      <c r="A539">
        <v>538</v>
      </c>
      <c r="B539" s="8">
        <v>180</v>
      </c>
      <c r="C539">
        <v>1</v>
      </c>
      <c r="D539" t="s">
        <v>19</v>
      </c>
      <c r="E539" t="s">
        <v>23</v>
      </c>
      <c r="F539">
        <v>33</v>
      </c>
      <c r="G539" t="str">
        <f>IF(Table2[[#This Row],[Age]]&gt;=30,"Experienced",IF(Table2[[#This Row],[Age]]&gt;=25,"Mid Level", "Entry Level"))</f>
        <v>Experienced</v>
      </c>
      <c r="H539" t="s">
        <v>28</v>
      </c>
      <c r="I539" t="s">
        <v>44</v>
      </c>
      <c r="J539" s="4">
        <v>45799</v>
      </c>
      <c r="K539" s="4" t="str">
        <f>TEXT(Table2[[#This Row],[Enrollment_date]],"Mmm")</f>
        <v>May</v>
      </c>
      <c r="L539" s="4" t="str">
        <f>TEXT(Table2[[#This Row],[Enrollment_date]],"Ddd")</f>
        <v>Thu</v>
      </c>
      <c r="M539" s="4" t="s">
        <v>34</v>
      </c>
      <c r="N539" t="s">
        <v>35</v>
      </c>
      <c r="O539" t="s">
        <v>38</v>
      </c>
      <c r="P539" s="8">
        <v>4</v>
      </c>
      <c r="Q539" s="6">
        <v>0.89583333333333337</v>
      </c>
      <c r="R539" s="6">
        <v>59.5</v>
      </c>
      <c r="S539" s="6" t="str">
        <f>IF(Table2[[#This Row],[Avg_score]]&gt;=79,"Distinction",IF(Table2[[#This Row],[Avg_score]]&gt;=60,"Pass","Fail"))</f>
        <v>Fail</v>
      </c>
      <c r="T539" t="s">
        <v>39</v>
      </c>
      <c r="U539">
        <f>IF(Table2[[#This Row],[Completed]]="Yes",1,0)</f>
        <v>1</v>
      </c>
      <c r="V539" t="s">
        <v>39</v>
      </c>
      <c r="W539" t="s">
        <v>39</v>
      </c>
      <c r="X539" s="4">
        <v>45838</v>
      </c>
    </row>
    <row r="540" spans="1:24" x14ac:dyDescent="0.3">
      <c r="A540">
        <v>539</v>
      </c>
      <c r="B540" s="8">
        <v>180</v>
      </c>
      <c r="C540">
        <v>2</v>
      </c>
      <c r="D540" t="s">
        <v>20</v>
      </c>
      <c r="E540" t="s">
        <v>23</v>
      </c>
      <c r="F540">
        <v>33</v>
      </c>
      <c r="G540" t="str">
        <f>IF(Table2[[#This Row],[Age]]&gt;=30,"Experienced",IF(Table2[[#This Row],[Age]]&gt;=25,"Mid Level", "Entry Level"))</f>
        <v>Experienced</v>
      </c>
      <c r="H540" t="s">
        <v>28</v>
      </c>
      <c r="I540" t="s">
        <v>44</v>
      </c>
      <c r="J540" s="4">
        <v>45799</v>
      </c>
      <c r="K540" s="4" t="str">
        <f>TEXT(Table2[[#This Row],[Enrollment_date]],"Mmm")</f>
        <v>May</v>
      </c>
      <c r="L540" s="4" t="str">
        <f>TEXT(Table2[[#This Row],[Enrollment_date]],"Ddd")</f>
        <v>Thu</v>
      </c>
      <c r="M540" s="4" t="s">
        <v>34</v>
      </c>
      <c r="N540" t="s">
        <v>36</v>
      </c>
      <c r="O540" t="s">
        <v>38</v>
      </c>
      <c r="P540" s="8">
        <v>4</v>
      </c>
      <c r="Q540" s="6">
        <v>0.875</v>
      </c>
      <c r="R540" s="6">
        <v>79</v>
      </c>
      <c r="S540" s="6" t="str">
        <f>IF(Table2[[#This Row],[Avg_score]]&gt;=79,"Distinction",IF(Table2[[#This Row],[Avg_score]]&gt;=60,"Pass","Fail"))</f>
        <v>Distinction</v>
      </c>
      <c r="T540" t="s">
        <v>39</v>
      </c>
      <c r="U540">
        <f>IF(Table2[[#This Row],[Completed]]="Yes",1,0)</f>
        <v>1</v>
      </c>
      <c r="V540" t="s">
        <v>39</v>
      </c>
      <c r="W540" t="s">
        <v>39</v>
      </c>
      <c r="X540" s="4">
        <v>45838</v>
      </c>
    </row>
    <row r="541" spans="1:24" x14ac:dyDescent="0.3">
      <c r="A541">
        <v>540</v>
      </c>
      <c r="B541" s="8">
        <v>180</v>
      </c>
      <c r="C541">
        <v>3</v>
      </c>
      <c r="D541" t="s">
        <v>21</v>
      </c>
      <c r="E541" t="s">
        <v>23</v>
      </c>
      <c r="F541">
        <v>33</v>
      </c>
      <c r="G541" t="str">
        <f>IF(Table2[[#This Row],[Age]]&gt;=30,"Experienced",IF(Table2[[#This Row],[Age]]&gt;=25,"Mid Level", "Entry Level"))</f>
        <v>Experienced</v>
      </c>
      <c r="H541" t="s">
        <v>28</v>
      </c>
      <c r="I541" t="s">
        <v>44</v>
      </c>
      <c r="J541" s="4">
        <v>45799</v>
      </c>
      <c r="K541" s="4" t="str">
        <f>TEXT(Table2[[#This Row],[Enrollment_date]],"Mmm")</f>
        <v>May</v>
      </c>
      <c r="L541" s="4" t="str">
        <f>TEXT(Table2[[#This Row],[Enrollment_date]],"Ddd")</f>
        <v>Thu</v>
      </c>
      <c r="M541" s="4" t="s">
        <v>34</v>
      </c>
      <c r="N541" t="s">
        <v>37</v>
      </c>
      <c r="O541" t="s">
        <v>38</v>
      </c>
      <c r="P541" s="8">
        <v>4</v>
      </c>
      <c r="Q541" s="6">
        <v>0.83333333333333337</v>
      </c>
      <c r="R541" s="6">
        <v>49.5</v>
      </c>
      <c r="S541" s="6" t="str">
        <f>IF(Table2[[#This Row],[Avg_score]]&gt;=79,"Distinction",IF(Table2[[#This Row],[Avg_score]]&gt;=60,"Pass","Fail"))</f>
        <v>Fail</v>
      </c>
      <c r="T541" t="s">
        <v>39</v>
      </c>
      <c r="U541">
        <f>IF(Table2[[#This Row],[Completed]]="Yes",1,0)</f>
        <v>1</v>
      </c>
      <c r="V541" t="s">
        <v>39</v>
      </c>
      <c r="W541" t="s">
        <v>39</v>
      </c>
      <c r="X541" s="4">
        <v>45838</v>
      </c>
    </row>
    <row r="542" spans="1:24" x14ac:dyDescent="0.3">
      <c r="A542">
        <v>541</v>
      </c>
      <c r="B542" s="8">
        <v>181</v>
      </c>
      <c r="C542">
        <v>1</v>
      </c>
      <c r="D542" t="s">
        <v>19</v>
      </c>
      <c r="E542" t="s">
        <v>22</v>
      </c>
      <c r="F542">
        <v>30</v>
      </c>
      <c r="G542" t="str">
        <f>IF(Table2[[#This Row],[Age]]&gt;=30,"Experienced",IF(Table2[[#This Row],[Age]]&gt;=25,"Mid Level", "Entry Level"))</f>
        <v>Experienced</v>
      </c>
      <c r="H542" t="s">
        <v>28</v>
      </c>
      <c r="I542" t="s">
        <v>32</v>
      </c>
      <c r="J542" s="4">
        <v>45675</v>
      </c>
      <c r="K542" s="4" t="str">
        <f>TEXT(Table2[[#This Row],[Enrollment_date]],"Mmm")</f>
        <v>Jan</v>
      </c>
      <c r="L542" s="4" t="str">
        <f>TEXT(Table2[[#This Row],[Enrollment_date]],"Ddd")</f>
        <v>Sat</v>
      </c>
      <c r="M542" s="4" t="s">
        <v>34</v>
      </c>
      <c r="N542" t="s">
        <v>35</v>
      </c>
      <c r="O542" t="s">
        <v>38</v>
      </c>
      <c r="P542" s="8">
        <v>4</v>
      </c>
      <c r="Q542" s="6">
        <v>0.75</v>
      </c>
      <c r="R542" s="6">
        <v>50</v>
      </c>
      <c r="S542" s="6" t="str">
        <f>IF(Table2[[#This Row],[Avg_score]]&gt;=79,"Distinction",IF(Table2[[#This Row],[Avg_score]]&gt;=60,"Pass","Fail"))</f>
        <v>Fail</v>
      </c>
      <c r="T542" t="s">
        <v>39</v>
      </c>
      <c r="U542">
        <f>IF(Table2[[#This Row],[Completed]]="Yes",1,0)</f>
        <v>1</v>
      </c>
      <c r="V542" t="s">
        <v>39</v>
      </c>
      <c r="W542" t="s">
        <v>40</v>
      </c>
      <c r="X542" s="4">
        <v>45838</v>
      </c>
    </row>
    <row r="543" spans="1:24" x14ac:dyDescent="0.3">
      <c r="A543">
        <v>542</v>
      </c>
      <c r="B543" s="8">
        <v>181</v>
      </c>
      <c r="C543">
        <v>2</v>
      </c>
      <c r="D543" t="s">
        <v>21</v>
      </c>
      <c r="E543" t="s">
        <v>22</v>
      </c>
      <c r="F543">
        <v>30</v>
      </c>
      <c r="G543" t="str">
        <f>IF(Table2[[#This Row],[Age]]&gt;=30,"Experienced",IF(Table2[[#This Row],[Age]]&gt;=25,"Mid Level", "Entry Level"))</f>
        <v>Experienced</v>
      </c>
      <c r="H543" t="s">
        <v>28</v>
      </c>
      <c r="I543" t="s">
        <v>32</v>
      </c>
      <c r="J543" s="4">
        <v>45675</v>
      </c>
      <c r="K543" s="4" t="str">
        <f>TEXT(Table2[[#This Row],[Enrollment_date]],"Mmm")</f>
        <v>Jan</v>
      </c>
      <c r="L543" s="4" t="str">
        <f>TEXT(Table2[[#This Row],[Enrollment_date]],"Ddd")</f>
        <v>Sat</v>
      </c>
      <c r="M543" s="4" t="s">
        <v>34</v>
      </c>
      <c r="N543" t="s">
        <v>36</v>
      </c>
      <c r="O543" t="s">
        <v>38</v>
      </c>
      <c r="P543" s="8">
        <v>4</v>
      </c>
      <c r="Q543" s="6">
        <v>0.875</v>
      </c>
      <c r="R543" s="6">
        <v>72.5</v>
      </c>
      <c r="S543" s="6" t="str">
        <f>IF(Table2[[#This Row],[Avg_score]]&gt;=79,"Distinction",IF(Table2[[#This Row],[Avg_score]]&gt;=60,"Pass","Fail"))</f>
        <v>Pass</v>
      </c>
      <c r="T543" t="s">
        <v>39</v>
      </c>
      <c r="U543">
        <f>IF(Table2[[#This Row],[Completed]]="Yes",1,0)</f>
        <v>1</v>
      </c>
      <c r="V543" t="s">
        <v>39</v>
      </c>
      <c r="W543" t="s">
        <v>40</v>
      </c>
      <c r="X543" s="4">
        <v>45838</v>
      </c>
    </row>
    <row r="544" spans="1:24" x14ac:dyDescent="0.3">
      <c r="A544">
        <v>543</v>
      </c>
      <c r="B544" s="8">
        <v>181</v>
      </c>
      <c r="C544">
        <v>3</v>
      </c>
      <c r="D544" t="s">
        <v>19</v>
      </c>
      <c r="E544" t="s">
        <v>22</v>
      </c>
      <c r="F544">
        <v>30</v>
      </c>
      <c r="G544" t="str">
        <f>IF(Table2[[#This Row],[Age]]&gt;=30,"Experienced",IF(Table2[[#This Row],[Age]]&gt;=25,"Mid Level", "Entry Level"))</f>
        <v>Experienced</v>
      </c>
      <c r="H544" t="s">
        <v>28</v>
      </c>
      <c r="I544" t="s">
        <v>32</v>
      </c>
      <c r="J544" s="4">
        <v>45675</v>
      </c>
      <c r="K544" s="4" t="str">
        <f>TEXT(Table2[[#This Row],[Enrollment_date]],"Mmm")</f>
        <v>Jan</v>
      </c>
      <c r="L544" s="4" t="str">
        <f>TEXT(Table2[[#This Row],[Enrollment_date]],"Ddd")</f>
        <v>Sat</v>
      </c>
      <c r="M544" s="4" t="s">
        <v>34</v>
      </c>
      <c r="N544" t="s">
        <v>37</v>
      </c>
      <c r="O544" t="s">
        <v>38</v>
      </c>
      <c r="P544" s="8">
        <v>4</v>
      </c>
      <c r="Q544" s="6">
        <v>0.91666666666666663</v>
      </c>
      <c r="R544" s="6">
        <v>50</v>
      </c>
      <c r="S544" s="6" t="str">
        <f>IF(Table2[[#This Row],[Avg_score]]&gt;=79,"Distinction",IF(Table2[[#This Row],[Avg_score]]&gt;=60,"Pass","Fail"))</f>
        <v>Fail</v>
      </c>
      <c r="T544" t="s">
        <v>39</v>
      </c>
      <c r="U544">
        <f>IF(Table2[[#This Row],[Completed]]="Yes",1,0)</f>
        <v>1</v>
      </c>
      <c r="V544" t="s">
        <v>39</v>
      </c>
      <c r="W544" t="s">
        <v>40</v>
      </c>
      <c r="X544" s="4">
        <v>45838</v>
      </c>
    </row>
    <row r="545" spans="1:24" x14ac:dyDescent="0.3">
      <c r="A545">
        <v>544</v>
      </c>
      <c r="B545" s="8">
        <v>182</v>
      </c>
      <c r="C545">
        <v>1</v>
      </c>
      <c r="D545" t="s">
        <v>20</v>
      </c>
      <c r="E545" t="s">
        <v>23</v>
      </c>
      <c r="F545">
        <v>31</v>
      </c>
      <c r="G545" t="str">
        <f>IF(Table2[[#This Row],[Age]]&gt;=30,"Experienced",IF(Table2[[#This Row],[Age]]&gt;=25,"Mid Level", "Entry Level"))</f>
        <v>Experienced</v>
      </c>
      <c r="H545" t="s">
        <v>29</v>
      </c>
      <c r="I545" t="s">
        <v>30</v>
      </c>
      <c r="J545" s="4">
        <v>45658</v>
      </c>
      <c r="K545" s="4" t="str">
        <f>TEXT(Table2[[#This Row],[Enrollment_date]],"Mmm")</f>
        <v>Jan</v>
      </c>
      <c r="L545" s="4" t="str">
        <f>TEXT(Table2[[#This Row],[Enrollment_date]],"Ddd")</f>
        <v>Wed</v>
      </c>
      <c r="M545" s="4" t="s">
        <v>34</v>
      </c>
      <c r="N545" t="s">
        <v>35</v>
      </c>
      <c r="O545" t="s">
        <v>38</v>
      </c>
      <c r="P545" s="8">
        <v>4</v>
      </c>
      <c r="Q545" s="6">
        <v>0.75</v>
      </c>
      <c r="R545" s="6">
        <v>56.5</v>
      </c>
      <c r="S545" s="6" t="str">
        <f>IF(Table2[[#This Row],[Avg_score]]&gt;=79,"Distinction",IF(Table2[[#This Row],[Avg_score]]&gt;=60,"Pass","Fail"))</f>
        <v>Fail</v>
      </c>
      <c r="T545" t="s">
        <v>39</v>
      </c>
      <c r="U545">
        <f>IF(Table2[[#This Row],[Completed]]="Yes",1,0)</f>
        <v>1</v>
      </c>
      <c r="V545" t="s">
        <v>39</v>
      </c>
      <c r="W545" t="s">
        <v>40</v>
      </c>
      <c r="X545" s="4">
        <v>45838</v>
      </c>
    </row>
    <row r="546" spans="1:24" x14ac:dyDescent="0.3">
      <c r="A546">
        <v>545</v>
      </c>
      <c r="B546" s="8">
        <v>182</v>
      </c>
      <c r="C546">
        <v>2</v>
      </c>
      <c r="D546" t="s">
        <v>19</v>
      </c>
      <c r="E546" t="s">
        <v>23</v>
      </c>
      <c r="F546">
        <v>31</v>
      </c>
      <c r="G546" t="str">
        <f>IF(Table2[[#This Row],[Age]]&gt;=30,"Experienced",IF(Table2[[#This Row],[Age]]&gt;=25,"Mid Level", "Entry Level"))</f>
        <v>Experienced</v>
      </c>
      <c r="H546" t="s">
        <v>29</v>
      </c>
      <c r="I546" t="s">
        <v>30</v>
      </c>
      <c r="J546" s="4">
        <v>45658</v>
      </c>
      <c r="K546" s="4" t="str">
        <f>TEXT(Table2[[#This Row],[Enrollment_date]],"Mmm")</f>
        <v>Jan</v>
      </c>
      <c r="L546" s="4" t="str">
        <f>TEXT(Table2[[#This Row],[Enrollment_date]],"Ddd")</f>
        <v>Wed</v>
      </c>
      <c r="M546" s="4" t="s">
        <v>34</v>
      </c>
      <c r="N546" t="s">
        <v>36</v>
      </c>
      <c r="O546" t="s">
        <v>38</v>
      </c>
      <c r="P546" s="8">
        <v>4</v>
      </c>
      <c r="Q546" s="6">
        <v>0.8125</v>
      </c>
      <c r="R546" s="6">
        <v>72</v>
      </c>
      <c r="S546" s="6" t="str">
        <f>IF(Table2[[#This Row],[Avg_score]]&gt;=79,"Distinction",IF(Table2[[#This Row],[Avg_score]]&gt;=60,"Pass","Fail"))</f>
        <v>Pass</v>
      </c>
      <c r="T546" t="s">
        <v>39</v>
      </c>
      <c r="U546">
        <f>IF(Table2[[#This Row],[Completed]]="Yes",1,0)</f>
        <v>1</v>
      </c>
      <c r="V546" t="s">
        <v>39</v>
      </c>
      <c r="W546" t="s">
        <v>40</v>
      </c>
      <c r="X546" s="4">
        <v>45838</v>
      </c>
    </row>
    <row r="547" spans="1:24" x14ac:dyDescent="0.3">
      <c r="A547">
        <v>546</v>
      </c>
      <c r="B547" s="8">
        <v>182</v>
      </c>
      <c r="C547">
        <v>3</v>
      </c>
      <c r="D547" t="s">
        <v>19</v>
      </c>
      <c r="E547" t="s">
        <v>23</v>
      </c>
      <c r="F547">
        <v>31</v>
      </c>
      <c r="G547" t="str">
        <f>IF(Table2[[#This Row],[Age]]&gt;=30,"Experienced",IF(Table2[[#This Row],[Age]]&gt;=25,"Mid Level", "Entry Level"))</f>
        <v>Experienced</v>
      </c>
      <c r="H547" t="s">
        <v>29</v>
      </c>
      <c r="I547" t="s">
        <v>30</v>
      </c>
      <c r="J547" s="4">
        <v>45658</v>
      </c>
      <c r="K547" s="4" t="str">
        <f>TEXT(Table2[[#This Row],[Enrollment_date]],"Mmm")</f>
        <v>Jan</v>
      </c>
      <c r="L547" s="4" t="str">
        <f>TEXT(Table2[[#This Row],[Enrollment_date]],"Ddd")</f>
        <v>Wed</v>
      </c>
      <c r="M547" s="4" t="s">
        <v>34</v>
      </c>
      <c r="N547" t="s">
        <v>37</v>
      </c>
      <c r="O547" t="s">
        <v>38</v>
      </c>
      <c r="P547" s="8">
        <v>4</v>
      </c>
      <c r="Q547" s="6">
        <v>0.875</v>
      </c>
      <c r="R547" s="6">
        <v>76</v>
      </c>
      <c r="S547" s="6" t="str">
        <f>IF(Table2[[#This Row],[Avg_score]]&gt;=79,"Distinction",IF(Table2[[#This Row],[Avg_score]]&gt;=60,"Pass","Fail"))</f>
        <v>Pass</v>
      </c>
      <c r="T547" t="s">
        <v>39</v>
      </c>
      <c r="U547">
        <f>IF(Table2[[#This Row],[Completed]]="Yes",1,0)</f>
        <v>1</v>
      </c>
      <c r="V547" t="s">
        <v>39</v>
      </c>
      <c r="W547" t="s">
        <v>40</v>
      </c>
      <c r="X547" s="4">
        <v>45838</v>
      </c>
    </row>
    <row r="548" spans="1:24" x14ac:dyDescent="0.3">
      <c r="A548">
        <v>547</v>
      </c>
      <c r="B548" s="8">
        <v>183</v>
      </c>
      <c r="C548">
        <v>1</v>
      </c>
      <c r="D548" t="s">
        <v>19</v>
      </c>
      <c r="E548" t="s">
        <v>23</v>
      </c>
      <c r="F548">
        <v>27</v>
      </c>
      <c r="G548" t="str">
        <f>IF(Table2[[#This Row],[Age]]&gt;=30,"Experienced",IF(Table2[[#This Row],[Age]]&gt;=25,"Mid Level", "Entry Level"))</f>
        <v>Mid Level</v>
      </c>
      <c r="H548" t="s">
        <v>26</v>
      </c>
      <c r="I548" t="s">
        <v>44</v>
      </c>
      <c r="J548" s="4">
        <v>45696</v>
      </c>
      <c r="K548" s="4" t="str">
        <f>TEXT(Table2[[#This Row],[Enrollment_date]],"Mmm")</f>
        <v>Feb</v>
      </c>
      <c r="L548" s="4" t="str">
        <f>TEXT(Table2[[#This Row],[Enrollment_date]],"Ddd")</f>
        <v>Sat</v>
      </c>
      <c r="M548" s="4" t="s">
        <v>34</v>
      </c>
      <c r="N548" t="s">
        <v>35</v>
      </c>
      <c r="O548" t="s">
        <v>38</v>
      </c>
      <c r="P548" s="8">
        <v>4</v>
      </c>
      <c r="Q548" s="6">
        <v>0.79166666666666663</v>
      </c>
      <c r="R548" s="6">
        <v>76</v>
      </c>
      <c r="S548" s="6" t="str">
        <f>IF(Table2[[#This Row],[Avg_score]]&gt;=79,"Distinction",IF(Table2[[#This Row],[Avg_score]]&gt;=60,"Pass","Fail"))</f>
        <v>Pass</v>
      </c>
      <c r="T548" t="s">
        <v>39</v>
      </c>
      <c r="U548">
        <f>IF(Table2[[#This Row],[Completed]]="Yes",1,0)</f>
        <v>1</v>
      </c>
      <c r="V548" t="s">
        <v>40</v>
      </c>
      <c r="W548" t="s">
        <v>39</v>
      </c>
      <c r="X548" s="4">
        <v>45838</v>
      </c>
    </row>
    <row r="549" spans="1:24" x14ac:dyDescent="0.3">
      <c r="A549">
        <v>548</v>
      </c>
      <c r="B549" s="8">
        <v>183</v>
      </c>
      <c r="C549">
        <v>2</v>
      </c>
      <c r="D549" t="s">
        <v>21</v>
      </c>
      <c r="E549" t="s">
        <v>23</v>
      </c>
      <c r="F549">
        <v>27</v>
      </c>
      <c r="G549" t="str">
        <f>IF(Table2[[#This Row],[Age]]&gt;=30,"Experienced",IF(Table2[[#This Row],[Age]]&gt;=25,"Mid Level", "Entry Level"))</f>
        <v>Mid Level</v>
      </c>
      <c r="H549" t="s">
        <v>26</v>
      </c>
      <c r="I549" t="s">
        <v>44</v>
      </c>
      <c r="J549" s="4">
        <v>45696</v>
      </c>
      <c r="K549" s="4" t="str">
        <f>TEXT(Table2[[#This Row],[Enrollment_date]],"Mmm")</f>
        <v>Feb</v>
      </c>
      <c r="L549" s="4" t="str">
        <f>TEXT(Table2[[#This Row],[Enrollment_date]],"Ddd")</f>
        <v>Sat</v>
      </c>
      <c r="M549" s="4" t="s">
        <v>34</v>
      </c>
      <c r="N549" t="s">
        <v>36</v>
      </c>
      <c r="O549" t="s">
        <v>38</v>
      </c>
      <c r="P549" s="8">
        <v>4</v>
      </c>
      <c r="Q549" s="6">
        <v>0.83333333333333337</v>
      </c>
      <c r="R549" s="6">
        <v>85</v>
      </c>
      <c r="S549" s="6" t="str">
        <f>IF(Table2[[#This Row],[Avg_score]]&gt;=79,"Distinction",IF(Table2[[#This Row],[Avg_score]]&gt;=60,"Pass","Fail"))</f>
        <v>Distinction</v>
      </c>
      <c r="T549" t="s">
        <v>39</v>
      </c>
      <c r="U549">
        <f>IF(Table2[[#This Row],[Completed]]="Yes",1,0)</f>
        <v>1</v>
      </c>
      <c r="V549" t="s">
        <v>40</v>
      </c>
      <c r="W549" t="s">
        <v>39</v>
      </c>
      <c r="X549" s="4">
        <v>45838</v>
      </c>
    </row>
    <row r="550" spans="1:24" x14ac:dyDescent="0.3">
      <c r="A550">
        <v>549</v>
      </c>
      <c r="B550" s="8">
        <v>183</v>
      </c>
      <c r="C550">
        <v>3</v>
      </c>
      <c r="D550" t="s">
        <v>19</v>
      </c>
      <c r="E550" t="s">
        <v>23</v>
      </c>
      <c r="F550">
        <v>27</v>
      </c>
      <c r="G550" t="str">
        <f>IF(Table2[[#This Row],[Age]]&gt;=30,"Experienced",IF(Table2[[#This Row],[Age]]&gt;=25,"Mid Level", "Entry Level"))</f>
        <v>Mid Level</v>
      </c>
      <c r="H550" t="s">
        <v>26</v>
      </c>
      <c r="I550" t="s">
        <v>44</v>
      </c>
      <c r="J550" s="4">
        <v>45696</v>
      </c>
      <c r="K550" s="4" t="str">
        <f>TEXT(Table2[[#This Row],[Enrollment_date]],"Mmm")</f>
        <v>Feb</v>
      </c>
      <c r="L550" s="4" t="str">
        <f>TEXT(Table2[[#This Row],[Enrollment_date]],"Ddd")</f>
        <v>Sat</v>
      </c>
      <c r="M550" s="4" t="s">
        <v>34</v>
      </c>
      <c r="N550" t="s">
        <v>37</v>
      </c>
      <c r="O550" t="s">
        <v>38</v>
      </c>
      <c r="P550" s="8">
        <v>4</v>
      </c>
      <c r="Q550" s="6">
        <v>0.85416666666666663</v>
      </c>
      <c r="R550" s="6">
        <v>98.5</v>
      </c>
      <c r="S550" s="6" t="str">
        <f>IF(Table2[[#This Row],[Avg_score]]&gt;=79,"Distinction",IF(Table2[[#This Row],[Avg_score]]&gt;=60,"Pass","Fail"))</f>
        <v>Distinction</v>
      </c>
      <c r="T550" t="s">
        <v>39</v>
      </c>
      <c r="U550">
        <f>IF(Table2[[#This Row],[Completed]]="Yes",1,0)</f>
        <v>1</v>
      </c>
      <c r="V550" t="s">
        <v>40</v>
      </c>
      <c r="W550" t="s">
        <v>39</v>
      </c>
      <c r="X550" s="4">
        <v>45838</v>
      </c>
    </row>
    <row r="551" spans="1:24" x14ac:dyDescent="0.3">
      <c r="A551">
        <v>550</v>
      </c>
      <c r="B551" s="8">
        <v>184</v>
      </c>
      <c r="C551">
        <v>1</v>
      </c>
      <c r="D551" t="s">
        <v>19</v>
      </c>
      <c r="E551" t="s">
        <v>23</v>
      </c>
      <c r="F551">
        <v>35</v>
      </c>
      <c r="G551" t="str">
        <f>IF(Table2[[#This Row],[Age]]&gt;=30,"Experienced",IF(Table2[[#This Row],[Age]]&gt;=25,"Mid Level", "Entry Level"))</f>
        <v>Experienced</v>
      </c>
      <c r="H551" t="s">
        <v>27</v>
      </c>
      <c r="I551" t="s">
        <v>30</v>
      </c>
      <c r="J551" s="4">
        <v>45743</v>
      </c>
      <c r="K551" s="4" t="str">
        <f>TEXT(Table2[[#This Row],[Enrollment_date]],"Mmm")</f>
        <v>Mar</v>
      </c>
      <c r="L551" s="4" t="str">
        <f>TEXT(Table2[[#This Row],[Enrollment_date]],"Ddd")</f>
        <v>Thu</v>
      </c>
      <c r="M551" s="4" t="s">
        <v>34</v>
      </c>
      <c r="N551" t="s">
        <v>35</v>
      </c>
      <c r="O551" t="s">
        <v>38</v>
      </c>
      <c r="P551" s="8">
        <v>4</v>
      </c>
      <c r="Q551" s="6">
        <v>0.83333333333333337</v>
      </c>
      <c r="R551" s="6">
        <v>69</v>
      </c>
      <c r="S551" s="6" t="str">
        <f>IF(Table2[[#This Row],[Avg_score]]&gt;=79,"Distinction",IF(Table2[[#This Row],[Avg_score]]&gt;=60,"Pass","Fail"))</f>
        <v>Pass</v>
      </c>
      <c r="T551" t="s">
        <v>39</v>
      </c>
      <c r="U551">
        <f>IF(Table2[[#This Row],[Completed]]="Yes",1,0)</f>
        <v>1</v>
      </c>
      <c r="V551" t="s">
        <v>39</v>
      </c>
      <c r="W551" t="s">
        <v>40</v>
      </c>
      <c r="X551" s="4">
        <v>45838</v>
      </c>
    </row>
    <row r="552" spans="1:24" x14ac:dyDescent="0.3">
      <c r="A552">
        <v>551</v>
      </c>
      <c r="B552" s="8">
        <v>184</v>
      </c>
      <c r="C552">
        <v>2</v>
      </c>
      <c r="D552" t="s">
        <v>19</v>
      </c>
      <c r="E552" t="s">
        <v>23</v>
      </c>
      <c r="F552">
        <v>35</v>
      </c>
      <c r="G552" t="str">
        <f>IF(Table2[[#This Row],[Age]]&gt;=30,"Experienced",IF(Table2[[#This Row],[Age]]&gt;=25,"Mid Level", "Entry Level"))</f>
        <v>Experienced</v>
      </c>
      <c r="H552" t="s">
        <v>27</v>
      </c>
      <c r="I552" t="s">
        <v>30</v>
      </c>
      <c r="J552" s="4">
        <v>45743</v>
      </c>
      <c r="K552" s="4" t="str">
        <f>TEXT(Table2[[#This Row],[Enrollment_date]],"Mmm")</f>
        <v>Mar</v>
      </c>
      <c r="L552" s="4" t="str">
        <f>TEXT(Table2[[#This Row],[Enrollment_date]],"Ddd")</f>
        <v>Thu</v>
      </c>
      <c r="M552" s="4" t="s">
        <v>34</v>
      </c>
      <c r="N552" t="s">
        <v>36</v>
      </c>
      <c r="O552" t="s">
        <v>38</v>
      </c>
      <c r="P552" s="8">
        <v>4</v>
      </c>
      <c r="Q552" s="6">
        <v>0.79166666666666663</v>
      </c>
      <c r="R552" s="6">
        <v>57</v>
      </c>
      <c r="S552" s="6" t="str">
        <f>IF(Table2[[#This Row],[Avg_score]]&gt;=79,"Distinction",IF(Table2[[#This Row],[Avg_score]]&gt;=60,"Pass","Fail"))</f>
        <v>Fail</v>
      </c>
      <c r="T552" t="s">
        <v>39</v>
      </c>
      <c r="U552">
        <f>IF(Table2[[#This Row],[Completed]]="Yes",1,0)</f>
        <v>1</v>
      </c>
      <c r="V552" t="s">
        <v>39</v>
      </c>
      <c r="W552" t="s">
        <v>40</v>
      </c>
      <c r="X552" s="4">
        <v>45838</v>
      </c>
    </row>
    <row r="553" spans="1:24" x14ac:dyDescent="0.3">
      <c r="A553">
        <v>552</v>
      </c>
      <c r="B553" s="8">
        <v>184</v>
      </c>
      <c r="C553">
        <v>3</v>
      </c>
      <c r="D553" t="s">
        <v>19</v>
      </c>
      <c r="E553" t="s">
        <v>23</v>
      </c>
      <c r="F553">
        <v>35</v>
      </c>
      <c r="G553" t="str">
        <f>IF(Table2[[#This Row],[Age]]&gt;=30,"Experienced",IF(Table2[[#This Row],[Age]]&gt;=25,"Mid Level", "Entry Level"))</f>
        <v>Experienced</v>
      </c>
      <c r="H553" t="s">
        <v>27</v>
      </c>
      <c r="I553" t="s">
        <v>30</v>
      </c>
      <c r="J553" s="4">
        <v>45743</v>
      </c>
      <c r="K553" s="4" t="str">
        <f>TEXT(Table2[[#This Row],[Enrollment_date]],"Mmm")</f>
        <v>Mar</v>
      </c>
      <c r="L553" s="4" t="str">
        <f>TEXT(Table2[[#This Row],[Enrollment_date]],"Ddd")</f>
        <v>Thu</v>
      </c>
      <c r="M553" s="4" t="s">
        <v>34</v>
      </c>
      <c r="N553" t="s">
        <v>37</v>
      </c>
      <c r="O553" t="s">
        <v>38</v>
      </c>
      <c r="P553" s="8">
        <v>4</v>
      </c>
      <c r="Q553" s="6">
        <v>0.83333333333333337</v>
      </c>
      <c r="R553" s="6">
        <v>51</v>
      </c>
      <c r="S553" s="6" t="str">
        <f>IF(Table2[[#This Row],[Avg_score]]&gt;=79,"Distinction",IF(Table2[[#This Row],[Avg_score]]&gt;=60,"Pass","Fail"))</f>
        <v>Fail</v>
      </c>
      <c r="T553" t="s">
        <v>39</v>
      </c>
      <c r="U553">
        <f>IF(Table2[[#This Row],[Completed]]="Yes",1,0)</f>
        <v>1</v>
      </c>
      <c r="V553" t="s">
        <v>39</v>
      </c>
      <c r="W553" t="s">
        <v>40</v>
      </c>
      <c r="X553" s="4">
        <v>45838</v>
      </c>
    </row>
    <row r="554" spans="1:24" x14ac:dyDescent="0.3">
      <c r="A554">
        <v>553</v>
      </c>
      <c r="B554" s="8">
        <v>185</v>
      </c>
      <c r="C554">
        <v>1</v>
      </c>
      <c r="D554" t="s">
        <v>20</v>
      </c>
      <c r="E554" t="s">
        <v>23</v>
      </c>
      <c r="F554">
        <v>32</v>
      </c>
      <c r="G554" t="str">
        <f>IF(Table2[[#This Row],[Age]]&gt;=30,"Experienced",IF(Table2[[#This Row],[Age]]&gt;=25,"Mid Level", "Entry Level"))</f>
        <v>Experienced</v>
      </c>
      <c r="H554" t="s">
        <v>29</v>
      </c>
      <c r="I554" t="s">
        <v>32</v>
      </c>
      <c r="J554" s="4">
        <v>45719</v>
      </c>
      <c r="K554" s="4" t="str">
        <f>TEXT(Table2[[#This Row],[Enrollment_date]],"Mmm")</f>
        <v>Mar</v>
      </c>
      <c r="L554" s="4" t="str">
        <f>TEXT(Table2[[#This Row],[Enrollment_date]],"Ddd")</f>
        <v>Mon</v>
      </c>
      <c r="M554" s="4" t="s">
        <v>34</v>
      </c>
      <c r="N554" t="s">
        <v>35</v>
      </c>
      <c r="O554" t="s">
        <v>38</v>
      </c>
      <c r="P554" s="8">
        <v>4</v>
      </c>
      <c r="Q554" s="6">
        <v>0.875</v>
      </c>
      <c r="R554" s="6">
        <v>61.5</v>
      </c>
      <c r="S554" s="6" t="str">
        <f>IF(Table2[[#This Row],[Avg_score]]&gt;=79,"Distinction",IF(Table2[[#This Row],[Avg_score]]&gt;=60,"Pass","Fail"))</f>
        <v>Pass</v>
      </c>
      <c r="T554" t="s">
        <v>39</v>
      </c>
      <c r="U554">
        <f>IF(Table2[[#This Row],[Completed]]="Yes",1,0)</f>
        <v>1</v>
      </c>
      <c r="V554" t="s">
        <v>39</v>
      </c>
      <c r="W554" t="s">
        <v>39</v>
      </c>
      <c r="X554" s="4">
        <v>45838</v>
      </c>
    </row>
    <row r="555" spans="1:24" x14ac:dyDescent="0.3">
      <c r="A555">
        <v>554</v>
      </c>
      <c r="B555" s="8">
        <v>185</v>
      </c>
      <c r="C555">
        <v>2</v>
      </c>
      <c r="D555" t="s">
        <v>19</v>
      </c>
      <c r="E555" t="s">
        <v>23</v>
      </c>
      <c r="F555">
        <v>32</v>
      </c>
      <c r="G555" t="str">
        <f>IF(Table2[[#This Row],[Age]]&gt;=30,"Experienced",IF(Table2[[#This Row],[Age]]&gt;=25,"Mid Level", "Entry Level"))</f>
        <v>Experienced</v>
      </c>
      <c r="H555" t="s">
        <v>29</v>
      </c>
      <c r="I555" t="s">
        <v>32</v>
      </c>
      <c r="J555" s="4">
        <v>45719</v>
      </c>
      <c r="K555" s="4" t="str">
        <f>TEXT(Table2[[#This Row],[Enrollment_date]],"Mmm")</f>
        <v>Mar</v>
      </c>
      <c r="L555" s="4" t="str">
        <f>TEXT(Table2[[#This Row],[Enrollment_date]],"Ddd")</f>
        <v>Mon</v>
      </c>
      <c r="M555" s="4" t="s">
        <v>34</v>
      </c>
      <c r="N555" t="s">
        <v>36</v>
      </c>
      <c r="O555" t="s">
        <v>38</v>
      </c>
      <c r="P555" s="8">
        <v>4</v>
      </c>
      <c r="Q555" s="6">
        <v>0.875</v>
      </c>
      <c r="R555" s="6">
        <v>52.5</v>
      </c>
      <c r="S555" s="6" t="str">
        <f>IF(Table2[[#This Row],[Avg_score]]&gt;=79,"Distinction",IF(Table2[[#This Row],[Avg_score]]&gt;=60,"Pass","Fail"))</f>
        <v>Fail</v>
      </c>
      <c r="T555" t="s">
        <v>39</v>
      </c>
      <c r="U555">
        <f>IF(Table2[[#This Row],[Completed]]="Yes",1,0)</f>
        <v>1</v>
      </c>
      <c r="V555" t="s">
        <v>39</v>
      </c>
      <c r="W555" t="s">
        <v>39</v>
      </c>
      <c r="X555" s="4">
        <v>45838</v>
      </c>
    </row>
    <row r="556" spans="1:24" x14ac:dyDescent="0.3">
      <c r="A556">
        <v>555</v>
      </c>
      <c r="B556" s="8">
        <v>185</v>
      </c>
      <c r="C556">
        <v>3</v>
      </c>
      <c r="D556" t="s">
        <v>19</v>
      </c>
      <c r="E556" t="s">
        <v>23</v>
      </c>
      <c r="F556">
        <v>32</v>
      </c>
      <c r="G556" t="str">
        <f>IF(Table2[[#This Row],[Age]]&gt;=30,"Experienced",IF(Table2[[#This Row],[Age]]&gt;=25,"Mid Level", "Entry Level"))</f>
        <v>Experienced</v>
      </c>
      <c r="H556" t="s">
        <v>29</v>
      </c>
      <c r="I556" t="s">
        <v>32</v>
      </c>
      <c r="J556" s="4">
        <v>45719</v>
      </c>
      <c r="K556" s="4" t="str">
        <f>TEXT(Table2[[#This Row],[Enrollment_date]],"Mmm")</f>
        <v>Mar</v>
      </c>
      <c r="L556" s="4" t="str">
        <f>TEXT(Table2[[#This Row],[Enrollment_date]],"Ddd")</f>
        <v>Mon</v>
      </c>
      <c r="M556" s="4" t="s">
        <v>34</v>
      </c>
      <c r="N556" t="s">
        <v>37</v>
      </c>
      <c r="O556" t="s">
        <v>38</v>
      </c>
      <c r="P556" s="8">
        <v>4</v>
      </c>
      <c r="Q556" s="6">
        <v>0.91666666666666663</v>
      </c>
      <c r="R556" s="6">
        <v>97</v>
      </c>
      <c r="S556" s="6" t="str">
        <f>IF(Table2[[#This Row],[Avg_score]]&gt;=79,"Distinction",IF(Table2[[#This Row],[Avg_score]]&gt;=60,"Pass","Fail"))</f>
        <v>Distinction</v>
      </c>
      <c r="T556" t="s">
        <v>39</v>
      </c>
      <c r="U556">
        <f>IF(Table2[[#This Row],[Completed]]="Yes",1,0)</f>
        <v>1</v>
      </c>
      <c r="V556" t="s">
        <v>39</v>
      </c>
      <c r="W556" t="s">
        <v>39</v>
      </c>
      <c r="X556" s="4">
        <v>45838</v>
      </c>
    </row>
    <row r="557" spans="1:24" x14ac:dyDescent="0.3">
      <c r="A557">
        <v>556</v>
      </c>
      <c r="B557" s="8">
        <v>186</v>
      </c>
      <c r="C557">
        <v>1</v>
      </c>
      <c r="D557" t="s">
        <v>21</v>
      </c>
      <c r="E557" t="s">
        <v>23</v>
      </c>
      <c r="F557">
        <v>25</v>
      </c>
      <c r="G557" t="str">
        <f>IF(Table2[[#This Row],[Age]]&gt;=30,"Experienced",IF(Table2[[#This Row],[Age]]&gt;=25,"Mid Level", "Entry Level"))</f>
        <v>Mid Level</v>
      </c>
      <c r="H557" t="s">
        <v>27</v>
      </c>
      <c r="I557" t="s">
        <v>68</v>
      </c>
      <c r="J557" s="4">
        <v>45739</v>
      </c>
      <c r="K557" s="4" t="str">
        <f>TEXT(Table2[[#This Row],[Enrollment_date]],"Mmm")</f>
        <v>Mar</v>
      </c>
      <c r="L557" s="4" t="str">
        <f>TEXT(Table2[[#This Row],[Enrollment_date]],"Ddd")</f>
        <v>Sun</v>
      </c>
      <c r="M557" s="4" t="s">
        <v>34</v>
      </c>
      <c r="N557" t="s">
        <v>35</v>
      </c>
      <c r="O557" t="s">
        <v>38</v>
      </c>
      <c r="P557" s="8">
        <v>4</v>
      </c>
      <c r="Q557" s="6">
        <v>0.83333333333333337</v>
      </c>
      <c r="R557" s="6">
        <v>65.5</v>
      </c>
      <c r="S557" s="6" t="str">
        <f>IF(Table2[[#This Row],[Avg_score]]&gt;=79,"Distinction",IF(Table2[[#This Row],[Avg_score]]&gt;=60,"Pass","Fail"))</f>
        <v>Pass</v>
      </c>
      <c r="T557" t="s">
        <v>40</v>
      </c>
      <c r="U557">
        <f>IF(Table2[[#This Row],[Completed]]="Yes",1,0)</f>
        <v>0</v>
      </c>
      <c r="V557" t="s">
        <v>40</v>
      </c>
      <c r="W557" t="s">
        <v>40</v>
      </c>
      <c r="X557" s="4">
        <v>45838</v>
      </c>
    </row>
    <row r="558" spans="1:24" x14ac:dyDescent="0.3">
      <c r="A558">
        <v>557</v>
      </c>
      <c r="B558" s="8">
        <v>186</v>
      </c>
      <c r="C558">
        <v>2</v>
      </c>
      <c r="D558" t="s">
        <v>20</v>
      </c>
      <c r="E558" t="s">
        <v>23</v>
      </c>
      <c r="F558">
        <v>25</v>
      </c>
      <c r="G558" t="str">
        <f>IF(Table2[[#This Row],[Age]]&gt;=30,"Experienced",IF(Table2[[#This Row],[Age]]&gt;=25,"Mid Level", "Entry Level"))</f>
        <v>Mid Level</v>
      </c>
      <c r="H558" t="s">
        <v>27</v>
      </c>
      <c r="I558" t="s">
        <v>68</v>
      </c>
      <c r="J558" s="4">
        <v>45739</v>
      </c>
      <c r="K558" s="4" t="str">
        <f>TEXT(Table2[[#This Row],[Enrollment_date]],"Mmm")</f>
        <v>Mar</v>
      </c>
      <c r="L558" s="4" t="str">
        <f>TEXT(Table2[[#This Row],[Enrollment_date]],"Ddd")</f>
        <v>Sun</v>
      </c>
      <c r="M558" s="4" t="s">
        <v>34</v>
      </c>
      <c r="N558" t="s">
        <v>36</v>
      </c>
      <c r="O558" t="s">
        <v>38</v>
      </c>
      <c r="P558" s="8">
        <v>4</v>
      </c>
      <c r="Q558" s="6">
        <v>0.83333333333333337</v>
      </c>
      <c r="R558" s="6">
        <v>63</v>
      </c>
      <c r="S558" s="6" t="str">
        <f>IF(Table2[[#This Row],[Avg_score]]&gt;=79,"Distinction",IF(Table2[[#This Row],[Avg_score]]&gt;=60,"Pass","Fail"))</f>
        <v>Pass</v>
      </c>
      <c r="T558" t="s">
        <v>40</v>
      </c>
      <c r="U558">
        <f>IF(Table2[[#This Row],[Completed]]="Yes",1,0)</f>
        <v>0</v>
      </c>
      <c r="V558" t="s">
        <v>40</v>
      </c>
      <c r="W558" t="s">
        <v>40</v>
      </c>
      <c r="X558" s="4">
        <v>45838</v>
      </c>
    </row>
    <row r="559" spans="1:24" x14ac:dyDescent="0.3">
      <c r="A559">
        <v>558</v>
      </c>
      <c r="B559" s="8">
        <v>186</v>
      </c>
      <c r="C559">
        <v>3</v>
      </c>
      <c r="D559" t="s">
        <v>19</v>
      </c>
      <c r="E559" t="s">
        <v>23</v>
      </c>
      <c r="F559">
        <v>25</v>
      </c>
      <c r="G559" t="str">
        <f>IF(Table2[[#This Row],[Age]]&gt;=30,"Experienced",IF(Table2[[#This Row],[Age]]&gt;=25,"Mid Level", "Entry Level"))</f>
        <v>Mid Level</v>
      </c>
      <c r="H559" t="s">
        <v>27</v>
      </c>
      <c r="I559" t="s">
        <v>68</v>
      </c>
      <c r="J559" s="4">
        <v>45739</v>
      </c>
      <c r="K559" s="4" t="str">
        <f>TEXT(Table2[[#This Row],[Enrollment_date]],"Mmm")</f>
        <v>Mar</v>
      </c>
      <c r="L559" s="4" t="str">
        <f>TEXT(Table2[[#This Row],[Enrollment_date]],"Ddd")</f>
        <v>Sun</v>
      </c>
      <c r="M559" s="4" t="s">
        <v>34</v>
      </c>
      <c r="N559" t="s">
        <v>37</v>
      </c>
      <c r="O559" t="s">
        <v>38</v>
      </c>
      <c r="P559" s="8">
        <v>4</v>
      </c>
      <c r="Q559" s="6">
        <v>0.875</v>
      </c>
      <c r="R559" s="6">
        <v>95.5</v>
      </c>
      <c r="S559" s="6" t="str">
        <f>IF(Table2[[#This Row],[Avg_score]]&gt;=79,"Distinction",IF(Table2[[#This Row],[Avg_score]]&gt;=60,"Pass","Fail"))</f>
        <v>Distinction</v>
      </c>
      <c r="T559" t="s">
        <v>40</v>
      </c>
      <c r="U559">
        <f>IF(Table2[[#This Row],[Completed]]="Yes",1,0)</f>
        <v>0</v>
      </c>
      <c r="V559" t="s">
        <v>40</v>
      </c>
      <c r="W559" t="s">
        <v>40</v>
      </c>
      <c r="X559" s="4">
        <v>45838</v>
      </c>
    </row>
    <row r="560" spans="1:24" x14ac:dyDescent="0.3">
      <c r="A560">
        <v>559</v>
      </c>
      <c r="B560" s="8">
        <v>187</v>
      </c>
      <c r="C560">
        <v>1</v>
      </c>
      <c r="D560" t="s">
        <v>19</v>
      </c>
      <c r="E560" t="s">
        <v>23</v>
      </c>
      <c r="F560">
        <v>30</v>
      </c>
      <c r="G560" t="str">
        <f>IF(Table2[[#This Row],[Age]]&gt;=30,"Experienced",IF(Table2[[#This Row],[Age]]&gt;=25,"Mid Level", "Entry Level"))</f>
        <v>Experienced</v>
      </c>
      <c r="H560" t="s">
        <v>27</v>
      </c>
      <c r="I560" t="s">
        <v>32</v>
      </c>
      <c r="J560" s="4">
        <v>45784</v>
      </c>
      <c r="K560" s="4" t="str">
        <f>TEXT(Table2[[#This Row],[Enrollment_date]],"Mmm")</f>
        <v>May</v>
      </c>
      <c r="L560" s="4" t="str">
        <f>TEXT(Table2[[#This Row],[Enrollment_date]],"Ddd")</f>
        <v>Wed</v>
      </c>
      <c r="M560" s="4" t="s">
        <v>34</v>
      </c>
      <c r="N560" t="s">
        <v>35</v>
      </c>
      <c r="O560" t="s">
        <v>38</v>
      </c>
      <c r="P560" s="8">
        <v>4</v>
      </c>
      <c r="Q560" s="6">
        <v>0.875</v>
      </c>
      <c r="R560" s="6">
        <v>75</v>
      </c>
      <c r="S560" s="6" t="str">
        <f>IF(Table2[[#This Row],[Avg_score]]&gt;=79,"Distinction",IF(Table2[[#This Row],[Avg_score]]&gt;=60,"Pass","Fail"))</f>
        <v>Pass</v>
      </c>
      <c r="T560" t="s">
        <v>40</v>
      </c>
      <c r="U560">
        <f>IF(Table2[[#This Row],[Completed]]="Yes",1,0)</f>
        <v>0</v>
      </c>
      <c r="V560" t="s">
        <v>40</v>
      </c>
      <c r="W560" t="s">
        <v>40</v>
      </c>
      <c r="X560" s="4">
        <v>45838</v>
      </c>
    </row>
    <row r="561" spans="1:24" x14ac:dyDescent="0.3">
      <c r="A561">
        <v>560</v>
      </c>
      <c r="B561" s="8">
        <v>187</v>
      </c>
      <c r="C561">
        <v>2</v>
      </c>
      <c r="D561" t="s">
        <v>19</v>
      </c>
      <c r="E561" t="s">
        <v>23</v>
      </c>
      <c r="F561">
        <v>30</v>
      </c>
      <c r="G561" t="str">
        <f>IF(Table2[[#This Row],[Age]]&gt;=30,"Experienced",IF(Table2[[#This Row],[Age]]&gt;=25,"Mid Level", "Entry Level"))</f>
        <v>Experienced</v>
      </c>
      <c r="H561" t="s">
        <v>27</v>
      </c>
      <c r="I561" t="s">
        <v>32</v>
      </c>
      <c r="J561" s="4">
        <v>45784</v>
      </c>
      <c r="K561" s="4" t="str">
        <f>TEXT(Table2[[#This Row],[Enrollment_date]],"Mmm")</f>
        <v>May</v>
      </c>
      <c r="L561" s="4" t="str">
        <f>TEXT(Table2[[#This Row],[Enrollment_date]],"Ddd")</f>
        <v>Wed</v>
      </c>
      <c r="M561" s="4" t="s">
        <v>34</v>
      </c>
      <c r="N561" t="s">
        <v>36</v>
      </c>
      <c r="O561" t="s">
        <v>38</v>
      </c>
      <c r="P561" s="8">
        <v>4</v>
      </c>
      <c r="Q561" s="6">
        <v>0.77083333333333337</v>
      </c>
      <c r="R561" s="6">
        <v>70.5</v>
      </c>
      <c r="S561" s="6" t="str">
        <f>IF(Table2[[#This Row],[Avg_score]]&gt;=79,"Distinction",IF(Table2[[#This Row],[Avg_score]]&gt;=60,"Pass","Fail"))</f>
        <v>Pass</v>
      </c>
      <c r="T561" t="s">
        <v>40</v>
      </c>
      <c r="U561">
        <f>IF(Table2[[#This Row],[Completed]]="Yes",1,0)</f>
        <v>0</v>
      </c>
      <c r="V561" t="s">
        <v>40</v>
      </c>
      <c r="W561" t="s">
        <v>40</v>
      </c>
      <c r="X561" s="4">
        <v>45838</v>
      </c>
    </row>
    <row r="562" spans="1:24" x14ac:dyDescent="0.3">
      <c r="A562">
        <v>561</v>
      </c>
      <c r="B562" s="8">
        <v>187</v>
      </c>
      <c r="C562">
        <v>3</v>
      </c>
      <c r="D562" t="s">
        <v>19</v>
      </c>
      <c r="E562" t="s">
        <v>23</v>
      </c>
      <c r="F562">
        <v>30</v>
      </c>
      <c r="G562" t="str">
        <f>IF(Table2[[#This Row],[Age]]&gt;=30,"Experienced",IF(Table2[[#This Row],[Age]]&gt;=25,"Mid Level", "Entry Level"))</f>
        <v>Experienced</v>
      </c>
      <c r="H562" t="s">
        <v>27</v>
      </c>
      <c r="I562" t="s">
        <v>32</v>
      </c>
      <c r="J562" s="4">
        <v>45784</v>
      </c>
      <c r="K562" s="4" t="str">
        <f>TEXT(Table2[[#This Row],[Enrollment_date]],"Mmm")</f>
        <v>May</v>
      </c>
      <c r="L562" s="4" t="str">
        <f>TEXT(Table2[[#This Row],[Enrollment_date]],"Ddd")</f>
        <v>Wed</v>
      </c>
      <c r="M562" s="4" t="s">
        <v>34</v>
      </c>
      <c r="N562" t="s">
        <v>37</v>
      </c>
      <c r="O562" t="s">
        <v>38</v>
      </c>
      <c r="P562" s="8">
        <v>4</v>
      </c>
      <c r="Q562" s="6">
        <v>0.75</v>
      </c>
      <c r="R562" s="6">
        <v>72</v>
      </c>
      <c r="S562" s="6" t="str">
        <f>IF(Table2[[#This Row],[Avg_score]]&gt;=79,"Distinction",IF(Table2[[#This Row],[Avg_score]]&gt;=60,"Pass","Fail"))</f>
        <v>Pass</v>
      </c>
      <c r="T562" t="s">
        <v>40</v>
      </c>
      <c r="U562">
        <f>IF(Table2[[#This Row],[Completed]]="Yes",1,0)</f>
        <v>0</v>
      </c>
      <c r="V562" t="s">
        <v>40</v>
      </c>
      <c r="W562" t="s">
        <v>40</v>
      </c>
      <c r="X562" s="4">
        <v>45838</v>
      </c>
    </row>
    <row r="563" spans="1:24" x14ac:dyDescent="0.3">
      <c r="A563">
        <v>562</v>
      </c>
      <c r="B563" s="8">
        <v>188</v>
      </c>
      <c r="C563">
        <v>1</v>
      </c>
      <c r="D563" t="s">
        <v>19</v>
      </c>
      <c r="E563" t="s">
        <v>22</v>
      </c>
      <c r="F563">
        <v>22</v>
      </c>
      <c r="G563" t="str">
        <f>IF(Table2[[#This Row],[Age]]&gt;=30,"Experienced",IF(Table2[[#This Row],[Age]]&gt;=25,"Mid Level", "Entry Level"))</f>
        <v>Entry Level</v>
      </c>
      <c r="H563" t="s">
        <v>26</v>
      </c>
      <c r="I563" t="s">
        <v>30</v>
      </c>
      <c r="J563" s="4">
        <v>45683</v>
      </c>
      <c r="K563" s="4" t="str">
        <f>TEXT(Table2[[#This Row],[Enrollment_date]],"Mmm")</f>
        <v>Jan</v>
      </c>
      <c r="L563" s="4" t="str">
        <f>TEXT(Table2[[#This Row],[Enrollment_date]],"Ddd")</f>
        <v>Sun</v>
      </c>
      <c r="M563" s="4" t="s">
        <v>34</v>
      </c>
      <c r="N563" t="s">
        <v>35</v>
      </c>
      <c r="O563" t="s">
        <v>38</v>
      </c>
      <c r="P563" s="8">
        <v>4</v>
      </c>
      <c r="Q563" s="6">
        <v>0.875</v>
      </c>
      <c r="R563" s="6">
        <v>81.5</v>
      </c>
      <c r="S563" s="6" t="str">
        <f>IF(Table2[[#This Row],[Avg_score]]&gt;=79,"Distinction",IF(Table2[[#This Row],[Avg_score]]&gt;=60,"Pass","Fail"))</f>
        <v>Distinction</v>
      </c>
      <c r="T563" t="s">
        <v>40</v>
      </c>
      <c r="U563">
        <f>IF(Table2[[#This Row],[Completed]]="Yes",1,0)</f>
        <v>0</v>
      </c>
      <c r="V563" t="s">
        <v>40</v>
      </c>
      <c r="W563" t="s">
        <v>40</v>
      </c>
      <c r="X563" s="4">
        <v>45838</v>
      </c>
    </row>
    <row r="564" spans="1:24" x14ac:dyDescent="0.3">
      <c r="A564">
        <v>563</v>
      </c>
      <c r="B564" s="8">
        <v>188</v>
      </c>
      <c r="C564">
        <v>2</v>
      </c>
      <c r="D564" t="s">
        <v>19</v>
      </c>
      <c r="E564" t="s">
        <v>22</v>
      </c>
      <c r="F564">
        <v>22</v>
      </c>
      <c r="G564" t="str">
        <f>IF(Table2[[#This Row],[Age]]&gt;=30,"Experienced",IF(Table2[[#This Row],[Age]]&gt;=25,"Mid Level", "Entry Level"))</f>
        <v>Entry Level</v>
      </c>
      <c r="H564" t="s">
        <v>26</v>
      </c>
      <c r="I564" t="s">
        <v>30</v>
      </c>
      <c r="J564" s="4">
        <v>45683</v>
      </c>
      <c r="K564" s="4" t="str">
        <f>TEXT(Table2[[#This Row],[Enrollment_date]],"Mmm")</f>
        <v>Jan</v>
      </c>
      <c r="L564" s="4" t="str">
        <f>TEXT(Table2[[#This Row],[Enrollment_date]],"Ddd")</f>
        <v>Sun</v>
      </c>
      <c r="M564" s="4" t="s">
        <v>34</v>
      </c>
      <c r="N564" t="s">
        <v>36</v>
      </c>
      <c r="O564" t="s">
        <v>38</v>
      </c>
      <c r="P564" s="8">
        <v>4</v>
      </c>
      <c r="Q564" s="6">
        <v>0.83333333333333337</v>
      </c>
      <c r="R564" s="6">
        <v>83</v>
      </c>
      <c r="S564" s="6" t="str">
        <f>IF(Table2[[#This Row],[Avg_score]]&gt;=79,"Distinction",IF(Table2[[#This Row],[Avg_score]]&gt;=60,"Pass","Fail"))</f>
        <v>Distinction</v>
      </c>
      <c r="T564" t="s">
        <v>40</v>
      </c>
      <c r="U564">
        <f>IF(Table2[[#This Row],[Completed]]="Yes",1,0)</f>
        <v>0</v>
      </c>
      <c r="V564" t="s">
        <v>40</v>
      </c>
      <c r="W564" t="s">
        <v>40</v>
      </c>
      <c r="X564" s="4">
        <v>45838</v>
      </c>
    </row>
    <row r="565" spans="1:24" x14ac:dyDescent="0.3">
      <c r="A565">
        <v>564</v>
      </c>
      <c r="B565" s="8">
        <v>188</v>
      </c>
      <c r="C565">
        <v>3</v>
      </c>
      <c r="D565" t="s">
        <v>19</v>
      </c>
      <c r="E565" t="s">
        <v>22</v>
      </c>
      <c r="F565">
        <v>22</v>
      </c>
      <c r="G565" t="str">
        <f>IF(Table2[[#This Row],[Age]]&gt;=30,"Experienced",IF(Table2[[#This Row],[Age]]&gt;=25,"Mid Level", "Entry Level"))</f>
        <v>Entry Level</v>
      </c>
      <c r="H565" t="s">
        <v>26</v>
      </c>
      <c r="I565" t="s">
        <v>30</v>
      </c>
      <c r="J565" s="4">
        <v>45683</v>
      </c>
      <c r="K565" s="4" t="str">
        <f>TEXT(Table2[[#This Row],[Enrollment_date]],"Mmm")</f>
        <v>Jan</v>
      </c>
      <c r="L565" s="4" t="str">
        <f>TEXT(Table2[[#This Row],[Enrollment_date]],"Ddd")</f>
        <v>Sun</v>
      </c>
      <c r="M565" s="4" t="s">
        <v>34</v>
      </c>
      <c r="N565" t="s">
        <v>37</v>
      </c>
      <c r="O565" t="s">
        <v>38</v>
      </c>
      <c r="P565" s="8">
        <v>4</v>
      </c>
      <c r="Q565" s="6">
        <v>0.85416666666666663</v>
      </c>
      <c r="R565" s="6">
        <v>73.5</v>
      </c>
      <c r="S565" s="6" t="str">
        <f>IF(Table2[[#This Row],[Avg_score]]&gt;=79,"Distinction",IF(Table2[[#This Row],[Avg_score]]&gt;=60,"Pass","Fail"))</f>
        <v>Pass</v>
      </c>
      <c r="T565" t="s">
        <v>40</v>
      </c>
      <c r="U565">
        <f>IF(Table2[[#This Row],[Completed]]="Yes",1,0)</f>
        <v>0</v>
      </c>
      <c r="V565" t="s">
        <v>40</v>
      </c>
      <c r="W565" t="s">
        <v>40</v>
      </c>
      <c r="X565" s="4">
        <v>45838</v>
      </c>
    </row>
    <row r="566" spans="1:24" x14ac:dyDescent="0.3">
      <c r="A566">
        <v>565</v>
      </c>
      <c r="B566" s="8">
        <v>189</v>
      </c>
      <c r="C566">
        <v>1</v>
      </c>
      <c r="D566" t="s">
        <v>19</v>
      </c>
      <c r="E566" t="s">
        <v>23</v>
      </c>
      <c r="F566">
        <v>21</v>
      </c>
      <c r="G566" t="str">
        <f>IF(Table2[[#This Row],[Age]]&gt;=30,"Experienced",IF(Table2[[#This Row],[Age]]&gt;=25,"Mid Level", "Entry Level"))</f>
        <v>Entry Level</v>
      </c>
      <c r="H566" t="s">
        <v>26</v>
      </c>
      <c r="I566" t="s">
        <v>44</v>
      </c>
      <c r="J566" s="4">
        <v>45661</v>
      </c>
      <c r="K566" s="4" t="str">
        <f>TEXT(Table2[[#This Row],[Enrollment_date]],"Mmm")</f>
        <v>Jan</v>
      </c>
      <c r="L566" s="4" t="str">
        <f>TEXT(Table2[[#This Row],[Enrollment_date]],"Ddd")</f>
        <v>Sat</v>
      </c>
      <c r="M566" s="4" t="s">
        <v>34</v>
      </c>
      <c r="N566" t="s">
        <v>35</v>
      </c>
      <c r="O566" t="s">
        <v>38</v>
      </c>
      <c r="P566" s="8">
        <v>4</v>
      </c>
      <c r="Q566" s="6">
        <v>0.875</v>
      </c>
      <c r="R566" s="6">
        <v>67.5</v>
      </c>
      <c r="S566" s="6" t="str">
        <f>IF(Table2[[#This Row],[Avg_score]]&gt;=79,"Distinction",IF(Table2[[#This Row],[Avg_score]]&gt;=60,"Pass","Fail"))</f>
        <v>Pass</v>
      </c>
      <c r="T566" t="s">
        <v>39</v>
      </c>
      <c r="U566">
        <f>IF(Table2[[#This Row],[Completed]]="Yes",1,0)</f>
        <v>1</v>
      </c>
      <c r="V566" t="s">
        <v>39</v>
      </c>
      <c r="W566" t="s">
        <v>40</v>
      </c>
      <c r="X566" s="4">
        <v>45838</v>
      </c>
    </row>
    <row r="567" spans="1:24" x14ac:dyDescent="0.3">
      <c r="A567">
        <v>566</v>
      </c>
      <c r="B567" s="8">
        <v>189</v>
      </c>
      <c r="C567">
        <v>2</v>
      </c>
      <c r="D567" t="s">
        <v>19</v>
      </c>
      <c r="E567" t="s">
        <v>23</v>
      </c>
      <c r="F567">
        <v>21</v>
      </c>
      <c r="G567" t="str">
        <f>IF(Table2[[#This Row],[Age]]&gt;=30,"Experienced",IF(Table2[[#This Row],[Age]]&gt;=25,"Mid Level", "Entry Level"))</f>
        <v>Entry Level</v>
      </c>
      <c r="H567" t="s">
        <v>26</v>
      </c>
      <c r="I567" t="s">
        <v>44</v>
      </c>
      <c r="J567" s="4">
        <v>45661</v>
      </c>
      <c r="K567" s="4" t="str">
        <f>TEXT(Table2[[#This Row],[Enrollment_date]],"Mmm")</f>
        <v>Jan</v>
      </c>
      <c r="L567" s="4" t="str">
        <f>TEXT(Table2[[#This Row],[Enrollment_date]],"Ddd")</f>
        <v>Sat</v>
      </c>
      <c r="M567" s="4" t="s">
        <v>34</v>
      </c>
      <c r="N567" t="s">
        <v>36</v>
      </c>
      <c r="O567" t="s">
        <v>38</v>
      </c>
      <c r="P567" s="8">
        <v>4</v>
      </c>
      <c r="Q567" s="6">
        <v>0.79166666666666663</v>
      </c>
      <c r="R567" s="6">
        <v>64</v>
      </c>
      <c r="S567" s="6" t="str">
        <f>IF(Table2[[#This Row],[Avg_score]]&gt;=79,"Distinction",IF(Table2[[#This Row],[Avg_score]]&gt;=60,"Pass","Fail"))</f>
        <v>Pass</v>
      </c>
      <c r="T567" t="s">
        <v>39</v>
      </c>
      <c r="U567">
        <f>IF(Table2[[#This Row],[Completed]]="Yes",1,0)</f>
        <v>1</v>
      </c>
      <c r="V567" t="s">
        <v>39</v>
      </c>
      <c r="W567" t="s">
        <v>40</v>
      </c>
      <c r="X567" s="4">
        <v>45838</v>
      </c>
    </row>
    <row r="568" spans="1:24" x14ac:dyDescent="0.3">
      <c r="A568">
        <v>567</v>
      </c>
      <c r="B568" s="8">
        <v>189</v>
      </c>
      <c r="C568">
        <v>3</v>
      </c>
      <c r="D568" t="s">
        <v>21</v>
      </c>
      <c r="E568" t="s">
        <v>23</v>
      </c>
      <c r="F568">
        <v>21</v>
      </c>
      <c r="G568" t="str">
        <f>IF(Table2[[#This Row],[Age]]&gt;=30,"Experienced",IF(Table2[[#This Row],[Age]]&gt;=25,"Mid Level", "Entry Level"))</f>
        <v>Entry Level</v>
      </c>
      <c r="H568" t="s">
        <v>26</v>
      </c>
      <c r="I568" t="s">
        <v>44</v>
      </c>
      <c r="J568" s="4">
        <v>45661</v>
      </c>
      <c r="K568" s="4" t="str">
        <f>TEXT(Table2[[#This Row],[Enrollment_date]],"Mmm")</f>
        <v>Jan</v>
      </c>
      <c r="L568" s="4" t="str">
        <f>TEXT(Table2[[#This Row],[Enrollment_date]],"Ddd")</f>
        <v>Sat</v>
      </c>
      <c r="M568" s="4" t="s">
        <v>34</v>
      </c>
      <c r="N568" t="s">
        <v>37</v>
      </c>
      <c r="O568" t="s">
        <v>38</v>
      </c>
      <c r="P568" s="8">
        <v>4</v>
      </c>
      <c r="Q568" s="6">
        <v>0.9375</v>
      </c>
      <c r="R568" s="6">
        <v>77</v>
      </c>
      <c r="S568" s="6" t="str">
        <f>IF(Table2[[#This Row],[Avg_score]]&gt;=79,"Distinction",IF(Table2[[#This Row],[Avg_score]]&gt;=60,"Pass","Fail"))</f>
        <v>Pass</v>
      </c>
      <c r="T568" t="s">
        <v>39</v>
      </c>
      <c r="U568">
        <f>IF(Table2[[#This Row],[Completed]]="Yes",1,0)</f>
        <v>1</v>
      </c>
      <c r="V568" t="s">
        <v>39</v>
      </c>
      <c r="W568" t="s">
        <v>40</v>
      </c>
      <c r="X568" s="4">
        <v>45838</v>
      </c>
    </row>
    <row r="569" spans="1:24" x14ac:dyDescent="0.3">
      <c r="A569">
        <v>568</v>
      </c>
      <c r="B569" s="8">
        <v>190</v>
      </c>
      <c r="C569">
        <v>1</v>
      </c>
      <c r="D569" t="s">
        <v>19</v>
      </c>
      <c r="E569" t="s">
        <v>22</v>
      </c>
      <c r="F569">
        <v>31</v>
      </c>
      <c r="G569" t="str">
        <f>IF(Table2[[#This Row],[Age]]&gt;=30,"Experienced",IF(Table2[[#This Row],[Age]]&gt;=25,"Mid Level", "Entry Level"))</f>
        <v>Experienced</v>
      </c>
      <c r="H569" t="s">
        <v>24</v>
      </c>
      <c r="I569" t="s">
        <v>32</v>
      </c>
      <c r="J569" s="4">
        <v>45677</v>
      </c>
      <c r="K569" s="4" t="str">
        <f>TEXT(Table2[[#This Row],[Enrollment_date]],"Mmm")</f>
        <v>Jan</v>
      </c>
      <c r="L569" s="4" t="str">
        <f>TEXT(Table2[[#This Row],[Enrollment_date]],"Ddd")</f>
        <v>Mon</v>
      </c>
      <c r="M569" s="4" t="s">
        <v>34</v>
      </c>
      <c r="N569" t="s">
        <v>35</v>
      </c>
      <c r="O569" t="s">
        <v>38</v>
      </c>
      <c r="P569" s="8">
        <v>4</v>
      </c>
      <c r="Q569" s="6">
        <v>0.85416666666666663</v>
      </c>
      <c r="R569" s="6">
        <v>74</v>
      </c>
      <c r="S569" s="6" t="str">
        <f>IF(Table2[[#This Row],[Avg_score]]&gt;=79,"Distinction",IF(Table2[[#This Row],[Avg_score]]&gt;=60,"Pass","Fail"))</f>
        <v>Pass</v>
      </c>
      <c r="T569" t="s">
        <v>40</v>
      </c>
      <c r="U569">
        <f>IF(Table2[[#This Row],[Completed]]="Yes",1,0)</f>
        <v>0</v>
      </c>
      <c r="V569" t="s">
        <v>40</v>
      </c>
      <c r="W569" t="s">
        <v>40</v>
      </c>
      <c r="X569" s="4">
        <v>45838</v>
      </c>
    </row>
    <row r="570" spans="1:24" x14ac:dyDescent="0.3">
      <c r="A570">
        <v>569</v>
      </c>
      <c r="B570" s="8">
        <v>190</v>
      </c>
      <c r="C570">
        <v>2</v>
      </c>
      <c r="D570" t="s">
        <v>19</v>
      </c>
      <c r="E570" t="s">
        <v>22</v>
      </c>
      <c r="F570">
        <v>31</v>
      </c>
      <c r="G570" t="str">
        <f>IF(Table2[[#This Row],[Age]]&gt;=30,"Experienced",IF(Table2[[#This Row],[Age]]&gt;=25,"Mid Level", "Entry Level"))</f>
        <v>Experienced</v>
      </c>
      <c r="H570" t="s">
        <v>24</v>
      </c>
      <c r="I570" t="s">
        <v>32</v>
      </c>
      <c r="J570" s="4">
        <v>45677</v>
      </c>
      <c r="K570" s="4" t="str">
        <f>TEXT(Table2[[#This Row],[Enrollment_date]],"Mmm")</f>
        <v>Jan</v>
      </c>
      <c r="L570" s="4" t="str">
        <f>TEXT(Table2[[#This Row],[Enrollment_date]],"Ddd")</f>
        <v>Mon</v>
      </c>
      <c r="M570" s="4" t="s">
        <v>34</v>
      </c>
      <c r="N570" t="s">
        <v>36</v>
      </c>
      <c r="O570" t="s">
        <v>38</v>
      </c>
      <c r="P570" s="8">
        <v>4</v>
      </c>
      <c r="Q570" s="6">
        <v>0.79166666666666663</v>
      </c>
      <c r="R570" s="6">
        <v>78</v>
      </c>
      <c r="S570" s="6" t="str">
        <f>IF(Table2[[#This Row],[Avg_score]]&gt;=79,"Distinction",IF(Table2[[#This Row],[Avg_score]]&gt;=60,"Pass","Fail"))</f>
        <v>Pass</v>
      </c>
      <c r="T570" t="s">
        <v>40</v>
      </c>
      <c r="U570">
        <f>IF(Table2[[#This Row],[Completed]]="Yes",1,0)</f>
        <v>0</v>
      </c>
      <c r="V570" t="s">
        <v>40</v>
      </c>
      <c r="W570" t="s">
        <v>40</v>
      </c>
      <c r="X570" s="4">
        <v>45838</v>
      </c>
    </row>
    <row r="571" spans="1:24" x14ac:dyDescent="0.3">
      <c r="A571">
        <v>570</v>
      </c>
      <c r="B571" s="8">
        <v>190</v>
      </c>
      <c r="C571">
        <v>3</v>
      </c>
      <c r="D571" t="s">
        <v>19</v>
      </c>
      <c r="E571" t="s">
        <v>22</v>
      </c>
      <c r="F571">
        <v>31</v>
      </c>
      <c r="G571" t="str">
        <f>IF(Table2[[#This Row],[Age]]&gt;=30,"Experienced",IF(Table2[[#This Row],[Age]]&gt;=25,"Mid Level", "Entry Level"))</f>
        <v>Experienced</v>
      </c>
      <c r="H571" t="s">
        <v>24</v>
      </c>
      <c r="I571" t="s">
        <v>32</v>
      </c>
      <c r="J571" s="4">
        <v>45677</v>
      </c>
      <c r="K571" s="4" t="str">
        <f>TEXT(Table2[[#This Row],[Enrollment_date]],"Mmm")</f>
        <v>Jan</v>
      </c>
      <c r="L571" s="4" t="str">
        <f>TEXT(Table2[[#This Row],[Enrollment_date]],"Ddd")</f>
        <v>Mon</v>
      </c>
      <c r="M571" s="4" t="s">
        <v>34</v>
      </c>
      <c r="N571" t="s">
        <v>37</v>
      </c>
      <c r="O571" t="s">
        <v>38</v>
      </c>
      <c r="P571" s="8">
        <v>4</v>
      </c>
      <c r="Q571" s="6">
        <v>0.77083333333333337</v>
      </c>
      <c r="R571" s="6">
        <v>73</v>
      </c>
      <c r="S571" s="6" t="str">
        <f>IF(Table2[[#This Row],[Avg_score]]&gt;=79,"Distinction",IF(Table2[[#This Row],[Avg_score]]&gt;=60,"Pass","Fail"))</f>
        <v>Pass</v>
      </c>
      <c r="T571" t="s">
        <v>40</v>
      </c>
      <c r="U571">
        <f>IF(Table2[[#This Row],[Completed]]="Yes",1,0)</f>
        <v>0</v>
      </c>
      <c r="V571" t="s">
        <v>40</v>
      </c>
      <c r="W571" t="s">
        <v>40</v>
      </c>
      <c r="X571" s="4">
        <v>45838</v>
      </c>
    </row>
    <row r="572" spans="1:24" x14ac:dyDescent="0.3">
      <c r="A572">
        <v>571</v>
      </c>
      <c r="B572" s="8">
        <v>191</v>
      </c>
      <c r="C572">
        <v>1</v>
      </c>
      <c r="D572" t="s">
        <v>19</v>
      </c>
      <c r="E572" t="s">
        <v>23</v>
      </c>
      <c r="F572">
        <v>26</v>
      </c>
      <c r="G572" t="str">
        <f>IF(Table2[[#This Row],[Age]]&gt;=30,"Experienced",IF(Table2[[#This Row],[Age]]&gt;=25,"Mid Level", "Entry Level"))</f>
        <v>Mid Level</v>
      </c>
      <c r="H572" t="s">
        <v>29</v>
      </c>
      <c r="I572" t="s">
        <v>44</v>
      </c>
      <c r="J572" s="4">
        <v>45678</v>
      </c>
      <c r="K572" s="4" t="str">
        <f>TEXT(Table2[[#This Row],[Enrollment_date]],"Mmm")</f>
        <v>Jan</v>
      </c>
      <c r="L572" s="4" t="str">
        <f>TEXT(Table2[[#This Row],[Enrollment_date]],"Ddd")</f>
        <v>Tue</v>
      </c>
      <c r="M572" s="4" t="s">
        <v>34</v>
      </c>
      <c r="N572" t="s">
        <v>35</v>
      </c>
      <c r="O572" t="s">
        <v>38</v>
      </c>
      <c r="P572" s="8">
        <v>4</v>
      </c>
      <c r="Q572" s="6">
        <v>0.83333333333333337</v>
      </c>
      <c r="R572" s="6">
        <v>67.5</v>
      </c>
      <c r="S572" s="6" t="str">
        <f>IF(Table2[[#This Row],[Avg_score]]&gt;=79,"Distinction",IF(Table2[[#This Row],[Avg_score]]&gt;=60,"Pass","Fail"))</f>
        <v>Pass</v>
      </c>
      <c r="T572" t="s">
        <v>39</v>
      </c>
      <c r="U572">
        <f>IF(Table2[[#This Row],[Completed]]="Yes",1,0)</f>
        <v>1</v>
      </c>
      <c r="V572" t="s">
        <v>40</v>
      </c>
      <c r="W572" t="s">
        <v>40</v>
      </c>
      <c r="X572" s="4">
        <v>45838</v>
      </c>
    </row>
    <row r="573" spans="1:24" x14ac:dyDescent="0.3">
      <c r="A573">
        <v>572</v>
      </c>
      <c r="B573" s="8">
        <v>191</v>
      </c>
      <c r="C573">
        <v>2</v>
      </c>
      <c r="D573" t="s">
        <v>19</v>
      </c>
      <c r="E573" t="s">
        <v>23</v>
      </c>
      <c r="F573">
        <v>26</v>
      </c>
      <c r="G573" t="str">
        <f>IF(Table2[[#This Row],[Age]]&gt;=30,"Experienced",IF(Table2[[#This Row],[Age]]&gt;=25,"Mid Level", "Entry Level"))</f>
        <v>Mid Level</v>
      </c>
      <c r="H573" t="s">
        <v>29</v>
      </c>
      <c r="I573" t="s">
        <v>44</v>
      </c>
      <c r="J573" s="4">
        <v>45678</v>
      </c>
      <c r="K573" s="4" t="str">
        <f>TEXT(Table2[[#This Row],[Enrollment_date]],"Mmm")</f>
        <v>Jan</v>
      </c>
      <c r="L573" s="4" t="str">
        <f>TEXT(Table2[[#This Row],[Enrollment_date]],"Ddd")</f>
        <v>Tue</v>
      </c>
      <c r="M573" s="4" t="s">
        <v>34</v>
      </c>
      <c r="N573" t="s">
        <v>36</v>
      </c>
      <c r="O573" t="s">
        <v>38</v>
      </c>
      <c r="P573" s="8">
        <v>4</v>
      </c>
      <c r="Q573" s="6">
        <v>0.83333333333333337</v>
      </c>
      <c r="R573" s="6">
        <v>75.5</v>
      </c>
      <c r="S573" s="6" t="str">
        <f>IF(Table2[[#This Row],[Avg_score]]&gt;=79,"Distinction",IF(Table2[[#This Row],[Avg_score]]&gt;=60,"Pass","Fail"))</f>
        <v>Pass</v>
      </c>
      <c r="T573" t="s">
        <v>39</v>
      </c>
      <c r="U573">
        <f>IF(Table2[[#This Row],[Completed]]="Yes",1,0)</f>
        <v>1</v>
      </c>
      <c r="V573" t="s">
        <v>40</v>
      </c>
      <c r="W573" t="s">
        <v>40</v>
      </c>
      <c r="X573" s="4">
        <v>45838</v>
      </c>
    </row>
    <row r="574" spans="1:24" x14ac:dyDescent="0.3">
      <c r="A574">
        <v>573</v>
      </c>
      <c r="B574" s="8">
        <v>191</v>
      </c>
      <c r="C574">
        <v>3</v>
      </c>
      <c r="D574" t="s">
        <v>19</v>
      </c>
      <c r="E574" t="s">
        <v>23</v>
      </c>
      <c r="F574">
        <v>26</v>
      </c>
      <c r="G574" t="str">
        <f>IF(Table2[[#This Row],[Age]]&gt;=30,"Experienced",IF(Table2[[#This Row],[Age]]&gt;=25,"Mid Level", "Entry Level"))</f>
        <v>Mid Level</v>
      </c>
      <c r="H574" t="s">
        <v>29</v>
      </c>
      <c r="I574" t="s">
        <v>44</v>
      </c>
      <c r="J574" s="4">
        <v>45678</v>
      </c>
      <c r="K574" s="4" t="str">
        <f>TEXT(Table2[[#This Row],[Enrollment_date]],"Mmm")</f>
        <v>Jan</v>
      </c>
      <c r="L574" s="4" t="str">
        <f>TEXT(Table2[[#This Row],[Enrollment_date]],"Ddd")</f>
        <v>Tue</v>
      </c>
      <c r="M574" s="4" t="s">
        <v>34</v>
      </c>
      <c r="N574" t="s">
        <v>37</v>
      </c>
      <c r="O574" t="s">
        <v>38</v>
      </c>
      <c r="P574" s="8">
        <v>4</v>
      </c>
      <c r="Q574" s="6">
        <v>0.8125</v>
      </c>
      <c r="R574" s="6">
        <v>66.5</v>
      </c>
      <c r="S574" s="6" t="str">
        <f>IF(Table2[[#This Row],[Avg_score]]&gt;=79,"Distinction",IF(Table2[[#This Row],[Avg_score]]&gt;=60,"Pass","Fail"))</f>
        <v>Pass</v>
      </c>
      <c r="T574" t="s">
        <v>39</v>
      </c>
      <c r="U574">
        <f>IF(Table2[[#This Row],[Completed]]="Yes",1,0)</f>
        <v>1</v>
      </c>
      <c r="V574" t="s">
        <v>40</v>
      </c>
      <c r="W574" t="s">
        <v>40</v>
      </c>
      <c r="X574" s="4">
        <v>45838</v>
      </c>
    </row>
    <row r="575" spans="1:24" x14ac:dyDescent="0.3">
      <c r="A575">
        <v>574</v>
      </c>
      <c r="B575" s="8">
        <v>192</v>
      </c>
      <c r="C575">
        <v>1</v>
      </c>
      <c r="D575" t="s">
        <v>20</v>
      </c>
      <c r="E575" t="s">
        <v>23</v>
      </c>
      <c r="F575">
        <v>35</v>
      </c>
      <c r="G575" t="str">
        <f>IF(Table2[[#This Row],[Age]]&gt;=30,"Experienced",IF(Table2[[#This Row],[Age]]&gt;=25,"Mid Level", "Entry Level"))</f>
        <v>Experienced</v>
      </c>
      <c r="H575" t="s">
        <v>27</v>
      </c>
      <c r="I575" t="s">
        <v>30</v>
      </c>
      <c r="J575" s="4">
        <v>45782</v>
      </c>
      <c r="K575" s="4" t="str">
        <f>TEXT(Table2[[#This Row],[Enrollment_date]],"Mmm")</f>
        <v>May</v>
      </c>
      <c r="L575" s="4" t="str">
        <f>TEXT(Table2[[#This Row],[Enrollment_date]],"Ddd")</f>
        <v>Mon</v>
      </c>
      <c r="M575" s="4" t="s">
        <v>34</v>
      </c>
      <c r="N575" t="s">
        <v>35</v>
      </c>
      <c r="O575" t="s">
        <v>38</v>
      </c>
      <c r="P575" s="8">
        <v>4</v>
      </c>
      <c r="Q575" s="6">
        <v>0.72916666666666663</v>
      </c>
      <c r="R575" s="6">
        <v>73.5</v>
      </c>
      <c r="S575" s="6" t="str">
        <f>IF(Table2[[#This Row],[Avg_score]]&gt;=79,"Distinction",IF(Table2[[#This Row],[Avg_score]]&gt;=60,"Pass","Fail"))</f>
        <v>Pass</v>
      </c>
      <c r="T575" t="s">
        <v>39</v>
      </c>
      <c r="U575">
        <f>IF(Table2[[#This Row],[Completed]]="Yes",1,0)</f>
        <v>1</v>
      </c>
      <c r="V575" t="s">
        <v>39</v>
      </c>
      <c r="W575" t="s">
        <v>40</v>
      </c>
      <c r="X575" s="4">
        <v>45838</v>
      </c>
    </row>
    <row r="576" spans="1:24" x14ac:dyDescent="0.3">
      <c r="A576">
        <v>575</v>
      </c>
      <c r="B576" s="8">
        <v>192</v>
      </c>
      <c r="C576">
        <v>2</v>
      </c>
      <c r="D576" t="s">
        <v>19</v>
      </c>
      <c r="E576" t="s">
        <v>23</v>
      </c>
      <c r="F576">
        <v>35</v>
      </c>
      <c r="G576" t="str">
        <f>IF(Table2[[#This Row],[Age]]&gt;=30,"Experienced",IF(Table2[[#This Row],[Age]]&gt;=25,"Mid Level", "Entry Level"))</f>
        <v>Experienced</v>
      </c>
      <c r="H576" t="s">
        <v>27</v>
      </c>
      <c r="I576" t="s">
        <v>30</v>
      </c>
      <c r="J576" s="4">
        <v>45782</v>
      </c>
      <c r="K576" s="4" t="str">
        <f>TEXT(Table2[[#This Row],[Enrollment_date]],"Mmm")</f>
        <v>May</v>
      </c>
      <c r="L576" s="4" t="str">
        <f>TEXT(Table2[[#This Row],[Enrollment_date]],"Ddd")</f>
        <v>Mon</v>
      </c>
      <c r="M576" s="4" t="s">
        <v>34</v>
      </c>
      <c r="N576" t="s">
        <v>36</v>
      </c>
      <c r="O576" t="s">
        <v>38</v>
      </c>
      <c r="P576" s="8">
        <v>4</v>
      </c>
      <c r="Q576" s="6">
        <v>0.9375</v>
      </c>
      <c r="R576" s="6">
        <v>65.5</v>
      </c>
      <c r="S576" s="6" t="str">
        <f>IF(Table2[[#This Row],[Avg_score]]&gt;=79,"Distinction",IF(Table2[[#This Row],[Avg_score]]&gt;=60,"Pass","Fail"))</f>
        <v>Pass</v>
      </c>
      <c r="T576" t="s">
        <v>39</v>
      </c>
      <c r="U576">
        <f>IF(Table2[[#This Row],[Completed]]="Yes",1,0)</f>
        <v>1</v>
      </c>
      <c r="V576" t="s">
        <v>39</v>
      </c>
      <c r="W576" t="s">
        <v>40</v>
      </c>
      <c r="X576" s="4">
        <v>45838</v>
      </c>
    </row>
    <row r="577" spans="1:24" x14ac:dyDescent="0.3">
      <c r="A577">
        <v>576</v>
      </c>
      <c r="B577" s="8">
        <v>192</v>
      </c>
      <c r="C577">
        <v>3</v>
      </c>
      <c r="D577" t="s">
        <v>20</v>
      </c>
      <c r="E577" t="s">
        <v>23</v>
      </c>
      <c r="F577">
        <v>35</v>
      </c>
      <c r="G577" t="str">
        <f>IF(Table2[[#This Row],[Age]]&gt;=30,"Experienced",IF(Table2[[#This Row],[Age]]&gt;=25,"Mid Level", "Entry Level"))</f>
        <v>Experienced</v>
      </c>
      <c r="H577" t="s">
        <v>27</v>
      </c>
      <c r="I577" t="s">
        <v>30</v>
      </c>
      <c r="J577" s="4">
        <v>45782</v>
      </c>
      <c r="K577" s="4" t="str">
        <f>TEXT(Table2[[#This Row],[Enrollment_date]],"Mmm")</f>
        <v>May</v>
      </c>
      <c r="L577" s="4" t="str">
        <f>TEXT(Table2[[#This Row],[Enrollment_date]],"Ddd")</f>
        <v>Mon</v>
      </c>
      <c r="M577" s="4" t="s">
        <v>34</v>
      </c>
      <c r="N577" t="s">
        <v>37</v>
      </c>
      <c r="O577" t="s">
        <v>38</v>
      </c>
      <c r="P577" s="8">
        <v>4</v>
      </c>
      <c r="Q577" s="6">
        <v>0.8125</v>
      </c>
      <c r="R577" s="6">
        <v>74.5</v>
      </c>
      <c r="S577" s="6" t="str">
        <f>IF(Table2[[#This Row],[Avg_score]]&gt;=79,"Distinction",IF(Table2[[#This Row],[Avg_score]]&gt;=60,"Pass","Fail"))</f>
        <v>Pass</v>
      </c>
      <c r="T577" t="s">
        <v>39</v>
      </c>
      <c r="U577">
        <f>IF(Table2[[#This Row],[Completed]]="Yes",1,0)</f>
        <v>1</v>
      </c>
      <c r="V577" t="s">
        <v>39</v>
      </c>
      <c r="W577" t="s">
        <v>40</v>
      </c>
      <c r="X577" s="4">
        <v>45838</v>
      </c>
    </row>
    <row r="578" spans="1:24" x14ac:dyDescent="0.3">
      <c r="A578">
        <v>577</v>
      </c>
      <c r="B578" s="8">
        <v>193</v>
      </c>
      <c r="C578">
        <v>1</v>
      </c>
      <c r="D578" t="s">
        <v>19</v>
      </c>
      <c r="E578" t="s">
        <v>22</v>
      </c>
      <c r="F578">
        <v>20</v>
      </c>
      <c r="G578" t="str">
        <f>IF(Table2[[#This Row],[Age]]&gt;=30,"Experienced",IF(Table2[[#This Row],[Age]]&gt;=25,"Mid Level", "Entry Level"))</f>
        <v>Entry Level</v>
      </c>
      <c r="H578" t="s">
        <v>28</v>
      </c>
      <c r="I578" t="s">
        <v>30</v>
      </c>
      <c r="J578" s="4">
        <v>45716</v>
      </c>
      <c r="K578" s="4" t="str">
        <f>TEXT(Table2[[#This Row],[Enrollment_date]],"Mmm")</f>
        <v>Feb</v>
      </c>
      <c r="L578" s="4" t="str">
        <f>TEXT(Table2[[#This Row],[Enrollment_date]],"Ddd")</f>
        <v>Fri</v>
      </c>
      <c r="M578" s="4" t="s">
        <v>34</v>
      </c>
      <c r="N578" t="s">
        <v>35</v>
      </c>
      <c r="O578" t="s">
        <v>38</v>
      </c>
      <c r="P578" s="8">
        <v>4</v>
      </c>
      <c r="Q578" s="6">
        <v>0.875</v>
      </c>
      <c r="R578" s="6">
        <v>76</v>
      </c>
      <c r="S578" s="6" t="str">
        <f>IF(Table2[[#This Row],[Avg_score]]&gt;=79,"Distinction",IF(Table2[[#This Row],[Avg_score]]&gt;=60,"Pass","Fail"))</f>
        <v>Pass</v>
      </c>
      <c r="T578" t="s">
        <v>39</v>
      </c>
      <c r="U578">
        <f>IF(Table2[[#This Row],[Completed]]="Yes",1,0)</f>
        <v>1</v>
      </c>
      <c r="V578" t="s">
        <v>39</v>
      </c>
      <c r="W578" t="s">
        <v>40</v>
      </c>
      <c r="X578" s="4">
        <v>45838</v>
      </c>
    </row>
    <row r="579" spans="1:24" x14ac:dyDescent="0.3">
      <c r="A579">
        <v>578</v>
      </c>
      <c r="B579" s="8">
        <v>193</v>
      </c>
      <c r="C579">
        <v>2</v>
      </c>
      <c r="D579" t="s">
        <v>19</v>
      </c>
      <c r="E579" t="s">
        <v>22</v>
      </c>
      <c r="F579">
        <v>20</v>
      </c>
      <c r="G579" t="str">
        <f>IF(Table2[[#This Row],[Age]]&gt;=30,"Experienced",IF(Table2[[#This Row],[Age]]&gt;=25,"Mid Level", "Entry Level"))</f>
        <v>Entry Level</v>
      </c>
      <c r="H579" t="s">
        <v>28</v>
      </c>
      <c r="I579" t="s">
        <v>30</v>
      </c>
      <c r="J579" s="4">
        <v>45716</v>
      </c>
      <c r="K579" s="4" t="str">
        <f>TEXT(Table2[[#This Row],[Enrollment_date]],"Mmm")</f>
        <v>Feb</v>
      </c>
      <c r="L579" s="4" t="str">
        <f>TEXT(Table2[[#This Row],[Enrollment_date]],"Ddd")</f>
        <v>Fri</v>
      </c>
      <c r="M579" s="4" t="s">
        <v>34</v>
      </c>
      <c r="N579" t="s">
        <v>36</v>
      </c>
      <c r="O579" t="s">
        <v>38</v>
      </c>
      <c r="P579" s="8">
        <v>4</v>
      </c>
      <c r="Q579" s="6">
        <v>0.875</v>
      </c>
      <c r="R579" s="6">
        <v>59</v>
      </c>
      <c r="S579" s="6" t="str">
        <f>IF(Table2[[#This Row],[Avg_score]]&gt;=79,"Distinction",IF(Table2[[#This Row],[Avg_score]]&gt;=60,"Pass","Fail"))</f>
        <v>Fail</v>
      </c>
      <c r="T579" t="s">
        <v>39</v>
      </c>
      <c r="U579">
        <f>IF(Table2[[#This Row],[Completed]]="Yes",1,0)</f>
        <v>1</v>
      </c>
      <c r="V579" t="s">
        <v>39</v>
      </c>
      <c r="W579" t="s">
        <v>40</v>
      </c>
      <c r="X579" s="4">
        <v>45838</v>
      </c>
    </row>
    <row r="580" spans="1:24" x14ac:dyDescent="0.3">
      <c r="A580">
        <v>579</v>
      </c>
      <c r="B580" s="8">
        <v>193</v>
      </c>
      <c r="C580">
        <v>3</v>
      </c>
      <c r="D580" t="s">
        <v>19</v>
      </c>
      <c r="E580" t="s">
        <v>22</v>
      </c>
      <c r="F580">
        <v>20</v>
      </c>
      <c r="G580" t="str">
        <f>IF(Table2[[#This Row],[Age]]&gt;=30,"Experienced",IF(Table2[[#This Row],[Age]]&gt;=25,"Mid Level", "Entry Level"))</f>
        <v>Entry Level</v>
      </c>
      <c r="H580" t="s">
        <v>28</v>
      </c>
      <c r="I580" t="s">
        <v>30</v>
      </c>
      <c r="J580" s="4">
        <v>45716</v>
      </c>
      <c r="K580" s="4" t="str">
        <f>TEXT(Table2[[#This Row],[Enrollment_date]],"Mmm")</f>
        <v>Feb</v>
      </c>
      <c r="L580" s="4" t="str">
        <f>TEXT(Table2[[#This Row],[Enrollment_date]],"Ddd")</f>
        <v>Fri</v>
      </c>
      <c r="M580" s="4" t="s">
        <v>34</v>
      </c>
      <c r="N580" t="s">
        <v>37</v>
      </c>
      <c r="O580" t="s">
        <v>38</v>
      </c>
      <c r="P580" s="8">
        <v>4</v>
      </c>
      <c r="Q580" s="6">
        <v>0.70833333333333337</v>
      </c>
      <c r="R580" s="6">
        <v>53.5</v>
      </c>
      <c r="S580" s="6" t="str">
        <f>IF(Table2[[#This Row],[Avg_score]]&gt;=79,"Distinction",IF(Table2[[#This Row],[Avg_score]]&gt;=60,"Pass","Fail"))</f>
        <v>Fail</v>
      </c>
      <c r="T580" t="s">
        <v>39</v>
      </c>
      <c r="U580">
        <f>IF(Table2[[#This Row],[Completed]]="Yes",1,0)</f>
        <v>1</v>
      </c>
      <c r="V580" t="s">
        <v>39</v>
      </c>
      <c r="W580" t="s">
        <v>40</v>
      </c>
      <c r="X580" s="4">
        <v>45838</v>
      </c>
    </row>
    <row r="581" spans="1:24" x14ac:dyDescent="0.3">
      <c r="A581">
        <v>580</v>
      </c>
      <c r="B581" s="8">
        <v>194</v>
      </c>
      <c r="C581">
        <v>1</v>
      </c>
      <c r="D581" t="s">
        <v>19</v>
      </c>
      <c r="E581" t="s">
        <v>22</v>
      </c>
      <c r="F581">
        <v>31</v>
      </c>
      <c r="G581" t="str">
        <f>IF(Table2[[#This Row],[Age]]&gt;=30,"Experienced",IF(Table2[[#This Row],[Age]]&gt;=25,"Mid Level", "Entry Level"))</f>
        <v>Experienced</v>
      </c>
      <c r="H581" t="s">
        <v>25</v>
      </c>
      <c r="I581" t="s">
        <v>68</v>
      </c>
      <c r="J581" s="4">
        <v>45771</v>
      </c>
      <c r="K581" s="4" t="str">
        <f>TEXT(Table2[[#This Row],[Enrollment_date]],"Mmm")</f>
        <v>Apr</v>
      </c>
      <c r="L581" s="4" t="str">
        <f>TEXT(Table2[[#This Row],[Enrollment_date]],"Ddd")</f>
        <v>Thu</v>
      </c>
      <c r="M581" s="4" t="s">
        <v>34</v>
      </c>
      <c r="N581" t="s">
        <v>35</v>
      </c>
      <c r="O581" t="s">
        <v>38</v>
      </c>
      <c r="P581" s="8">
        <v>4</v>
      </c>
      <c r="Q581" s="6">
        <v>0.83333333333333337</v>
      </c>
      <c r="R581" s="6">
        <v>76.5</v>
      </c>
      <c r="S581" s="6" t="str">
        <f>IF(Table2[[#This Row],[Avg_score]]&gt;=79,"Distinction",IF(Table2[[#This Row],[Avg_score]]&gt;=60,"Pass","Fail"))</f>
        <v>Pass</v>
      </c>
      <c r="T581" t="s">
        <v>39</v>
      </c>
      <c r="U581">
        <f>IF(Table2[[#This Row],[Completed]]="Yes",1,0)</f>
        <v>1</v>
      </c>
      <c r="V581" t="s">
        <v>39</v>
      </c>
      <c r="W581" t="s">
        <v>39</v>
      </c>
      <c r="X581" s="4">
        <v>45838</v>
      </c>
    </row>
    <row r="582" spans="1:24" x14ac:dyDescent="0.3">
      <c r="A582">
        <v>581</v>
      </c>
      <c r="B582" s="8">
        <v>194</v>
      </c>
      <c r="C582">
        <v>2</v>
      </c>
      <c r="D582" t="s">
        <v>19</v>
      </c>
      <c r="E582" t="s">
        <v>22</v>
      </c>
      <c r="F582">
        <v>31</v>
      </c>
      <c r="G582" t="str">
        <f>IF(Table2[[#This Row],[Age]]&gt;=30,"Experienced",IF(Table2[[#This Row],[Age]]&gt;=25,"Mid Level", "Entry Level"))</f>
        <v>Experienced</v>
      </c>
      <c r="H582" t="s">
        <v>25</v>
      </c>
      <c r="I582" t="s">
        <v>68</v>
      </c>
      <c r="J582" s="4">
        <v>45771</v>
      </c>
      <c r="K582" s="4" t="str">
        <f>TEXT(Table2[[#This Row],[Enrollment_date]],"Mmm")</f>
        <v>Apr</v>
      </c>
      <c r="L582" s="4" t="str">
        <f>TEXT(Table2[[#This Row],[Enrollment_date]],"Ddd")</f>
        <v>Thu</v>
      </c>
      <c r="M582" s="4" t="s">
        <v>34</v>
      </c>
      <c r="N582" t="s">
        <v>36</v>
      </c>
      <c r="O582" t="s">
        <v>38</v>
      </c>
      <c r="P582" s="8">
        <v>4</v>
      </c>
      <c r="Q582" s="6">
        <v>0.70833333333333337</v>
      </c>
      <c r="R582" s="6">
        <v>82.5</v>
      </c>
      <c r="S582" s="6" t="str">
        <f>IF(Table2[[#This Row],[Avg_score]]&gt;=79,"Distinction",IF(Table2[[#This Row],[Avg_score]]&gt;=60,"Pass","Fail"))</f>
        <v>Distinction</v>
      </c>
      <c r="T582" t="s">
        <v>39</v>
      </c>
      <c r="U582">
        <f>IF(Table2[[#This Row],[Completed]]="Yes",1,0)</f>
        <v>1</v>
      </c>
      <c r="V582" t="s">
        <v>39</v>
      </c>
      <c r="W582" t="s">
        <v>39</v>
      </c>
      <c r="X582" s="4">
        <v>45838</v>
      </c>
    </row>
    <row r="583" spans="1:24" x14ac:dyDescent="0.3">
      <c r="A583">
        <v>582</v>
      </c>
      <c r="B583" s="8">
        <v>194</v>
      </c>
      <c r="C583">
        <v>3</v>
      </c>
      <c r="D583" t="s">
        <v>19</v>
      </c>
      <c r="E583" t="s">
        <v>22</v>
      </c>
      <c r="F583">
        <v>31</v>
      </c>
      <c r="G583" t="str">
        <f>IF(Table2[[#This Row],[Age]]&gt;=30,"Experienced",IF(Table2[[#This Row],[Age]]&gt;=25,"Mid Level", "Entry Level"))</f>
        <v>Experienced</v>
      </c>
      <c r="H583" t="s">
        <v>25</v>
      </c>
      <c r="I583" t="s">
        <v>68</v>
      </c>
      <c r="J583" s="4">
        <v>45771</v>
      </c>
      <c r="K583" s="4" t="str">
        <f>TEXT(Table2[[#This Row],[Enrollment_date]],"Mmm")</f>
        <v>Apr</v>
      </c>
      <c r="L583" s="4" t="str">
        <f>TEXT(Table2[[#This Row],[Enrollment_date]],"Ddd")</f>
        <v>Thu</v>
      </c>
      <c r="M583" s="4" t="s">
        <v>34</v>
      </c>
      <c r="N583" t="s">
        <v>37</v>
      </c>
      <c r="O583" t="s">
        <v>38</v>
      </c>
      <c r="P583" s="8">
        <v>4</v>
      </c>
      <c r="Q583" s="6">
        <v>0.85416666666666663</v>
      </c>
      <c r="R583" s="6">
        <v>94</v>
      </c>
      <c r="S583" s="6" t="str">
        <f>IF(Table2[[#This Row],[Avg_score]]&gt;=79,"Distinction",IF(Table2[[#This Row],[Avg_score]]&gt;=60,"Pass","Fail"))</f>
        <v>Distinction</v>
      </c>
      <c r="T583" t="s">
        <v>39</v>
      </c>
      <c r="U583">
        <f>IF(Table2[[#This Row],[Completed]]="Yes",1,0)</f>
        <v>1</v>
      </c>
      <c r="V583" t="s">
        <v>39</v>
      </c>
      <c r="W583" t="s">
        <v>39</v>
      </c>
      <c r="X583" s="4">
        <v>45838</v>
      </c>
    </row>
    <row r="584" spans="1:24" x14ac:dyDescent="0.3">
      <c r="A584">
        <v>583</v>
      </c>
      <c r="B584" s="8">
        <v>195</v>
      </c>
      <c r="C584">
        <v>1</v>
      </c>
      <c r="D584" t="s">
        <v>19</v>
      </c>
      <c r="E584" t="s">
        <v>22</v>
      </c>
      <c r="F584">
        <v>27</v>
      </c>
      <c r="G584" t="str">
        <f>IF(Table2[[#This Row],[Age]]&gt;=30,"Experienced",IF(Table2[[#This Row],[Age]]&gt;=25,"Mid Level", "Entry Level"))</f>
        <v>Mid Level</v>
      </c>
      <c r="H584" t="s">
        <v>25</v>
      </c>
      <c r="I584" t="s">
        <v>68</v>
      </c>
      <c r="J584" s="4">
        <v>45741</v>
      </c>
      <c r="K584" s="4" t="str">
        <f>TEXT(Table2[[#This Row],[Enrollment_date]],"Mmm")</f>
        <v>Mar</v>
      </c>
      <c r="L584" s="4" t="str">
        <f>TEXT(Table2[[#This Row],[Enrollment_date]],"Ddd")</f>
        <v>Tue</v>
      </c>
      <c r="M584" s="4" t="s">
        <v>34</v>
      </c>
      <c r="N584" t="s">
        <v>35</v>
      </c>
      <c r="O584" t="s">
        <v>38</v>
      </c>
      <c r="P584" s="8">
        <v>4</v>
      </c>
      <c r="Q584" s="6">
        <v>0.8125</v>
      </c>
      <c r="R584" s="6">
        <v>59</v>
      </c>
      <c r="S584" s="6" t="str">
        <f>IF(Table2[[#This Row],[Avg_score]]&gt;=79,"Distinction",IF(Table2[[#This Row],[Avg_score]]&gt;=60,"Pass","Fail"))</f>
        <v>Fail</v>
      </c>
      <c r="T584" t="s">
        <v>39</v>
      </c>
      <c r="U584">
        <f>IF(Table2[[#This Row],[Completed]]="Yes",1,0)</f>
        <v>1</v>
      </c>
      <c r="V584" t="s">
        <v>39</v>
      </c>
      <c r="W584" t="s">
        <v>39</v>
      </c>
      <c r="X584" s="4">
        <v>45838</v>
      </c>
    </row>
    <row r="585" spans="1:24" x14ac:dyDescent="0.3">
      <c r="A585">
        <v>584</v>
      </c>
      <c r="B585" s="8">
        <v>195</v>
      </c>
      <c r="C585">
        <v>2</v>
      </c>
      <c r="D585" t="s">
        <v>21</v>
      </c>
      <c r="E585" t="s">
        <v>22</v>
      </c>
      <c r="F585">
        <v>27</v>
      </c>
      <c r="G585" t="str">
        <f>IF(Table2[[#This Row],[Age]]&gt;=30,"Experienced",IF(Table2[[#This Row],[Age]]&gt;=25,"Mid Level", "Entry Level"))</f>
        <v>Mid Level</v>
      </c>
      <c r="H585" t="s">
        <v>25</v>
      </c>
      <c r="I585" t="s">
        <v>68</v>
      </c>
      <c r="J585" s="4">
        <v>45741</v>
      </c>
      <c r="K585" s="4" t="str">
        <f>TEXT(Table2[[#This Row],[Enrollment_date]],"Mmm")</f>
        <v>Mar</v>
      </c>
      <c r="L585" s="4" t="str">
        <f>TEXT(Table2[[#This Row],[Enrollment_date]],"Ddd")</f>
        <v>Tue</v>
      </c>
      <c r="M585" s="4" t="s">
        <v>34</v>
      </c>
      <c r="N585" t="s">
        <v>36</v>
      </c>
      <c r="O585" t="s">
        <v>38</v>
      </c>
      <c r="P585" s="8">
        <v>4</v>
      </c>
      <c r="Q585" s="6">
        <v>0.79166666666666663</v>
      </c>
      <c r="R585" s="6">
        <v>59</v>
      </c>
      <c r="S585" s="6" t="str">
        <f>IF(Table2[[#This Row],[Avg_score]]&gt;=79,"Distinction",IF(Table2[[#This Row],[Avg_score]]&gt;=60,"Pass","Fail"))</f>
        <v>Fail</v>
      </c>
      <c r="T585" t="s">
        <v>39</v>
      </c>
      <c r="U585">
        <f>IF(Table2[[#This Row],[Completed]]="Yes",1,0)</f>
        <v>1</v>
      </c>
      <c r="V585" t="s">
        <v>39</v>
      </c>
      <c r="W585" t="s">
        <v>39</v>
      </c>
      <c r="X585" s="4">
        <v>45838</v>
      </c>
    </row>
    <row r="586" spans="1:24" x14ac:dyDescent="0.3">
      <c r="A586">
        <v>585</v>
      </c>
      <c r="B586" s="8">
        <v>195</v>
      </c>
      <c r="C586">
        <v>3</v>
      </c>
      <c r="D586" t="s">
        <v>19</v>
      </c>
      <c r="E586" t="s">
        <v>22</v>
      </c>
      <c r="F586">
        <v>27</v>
      </c>
      <c r="G586" t="str">
        <f>IF(Table2[[#This Row],[Age]]&gt;=30,"Experienced",IF(Table2[[#This Row],[Age]]&gt;=25,"Mid Level", "Entry Level"))</f>
        <v>Mid Level</v>
      </c>
      <c r="H586" t="s">
        <v>25</v>
      </c>
      <c r="I586" t="s">
        <v>68</v>
      </c>
      <c r="J586" s="4">
        <v>45741</v>
      </c>
      <c r="K586" s="4" t="str">
        <f>TEXT(Table2[[#This Row],[Enrollment_date]],"Mmm")</f>
        <v>Mar</v>
      </c>
      <c r="L586" s="4" t="str">
        <f>TEXT(Table2[[#This Row],[Enrollment_date]],"Ddd")</f>
        <v>Tue</v>
      </c>
      <c r="M586" s="4" t="s">
        <v>34</v>
      </c>
      <c r="N586" t="s">
        <v>37</v>
      </c>
      <c r="O586" t="s">
        <v>38</v>
      </c>
      <c r="P586" s="8">
        <v>4</v>
      </c>
      <c r="Q586" s="6">
        <v>0.875</v>
      </c>
      <c r="R586" s="6">
        <v>68</v>
      </c>
      <c r="S586" s="6" t="str">
        <f>IF(Table2[[#This Row],[Avg_score]]&gt;=79,"Distinction",IF(Table2[[#This Row],[Avg_score]]&gt;=60,"Pass","Fail"))</f>
        <v>Pass</v>
      </c>
      <c r="T586" t="s">
        <v>39</v>
      </c>
      <c r="U586">
        <f>IF(Table2[[#This Row],[Completed]]="Yes",1,0)</f>
        <v>1</v>
      </c>
      <c r="V586" t="s">
        <v>39</v>
      </c>
      <c r="W586" t="s">
        <v>39</v>
      </c>
      <c r="X586" s="4">
        <v>45838</v>
      </c>
    </row>
    <row r="587" spans="1:24" x14ac:dyDescent="0.3">
      <c r="A587">
        <v>586</v>
      </c>
      <c r="B587" s="8">
        <v>196</v>
      </c>
      <c r="C587">
        <v>1</v>
      </c>
      <c r="D587" t="s">
        <v>19</v>
      </c>
      <c r="E587" t="s">
        <v>22</v>
      </c>
      <c r="F587">
        <v>27</v>
      </c>
      <c r="G587" t="str">
        <f>IF(Table2[[#This Row],[Age]]&gt;=30,"Experienced",IF(Table2[[#This Row],[Age]]&gt;=25,"Mid Level", "Entry Level"))</f>
        <v>Mid Level</v>
      </c>
      <c r="H587" t="s">
        <v>29</v>
      </c>
      <c r="I587" t="s">
        <v>30</v>
      </c>
      <c r="J587" s="4">
        <v>45768</v>
      </c>
      <c r="K587" s="4" t="str">
        <f>TEXT(Table2[[#This Row],[Enrollment_date]],"Mmm")</f>
        <v>Apr</v>
      </c>
      <c r="L587" s="4" t="str">
        <f>TEXT(Table2[[#This Row],[Enrollment_date]],"Ddd")</f>
        <v>Mon</v>
      </c>
      <c r="M587" s="4" t="s">
        <v>34</v>
      </c>
      <c r="N587" t="s">
        <v>35</v>
      </c>
      <c r="O587" t="s">
        <v>38</v>
      </c>
      <c r="P587" s="8">
        <v>4</v>
      </c>
      <c r="Q587" s="6">
        <v>0.9375</v>
      </c>
      <c r="R587" s="6">
        <v>51</v>
      </c>
      <c r="S587" s="6" t="str">
        <f>IF(Table2[[#This Row],[Avg_score]]&gt;=79,"Distinction",IF(Table2[[#This Row],[Avg_score]]&gt;=60,"Pass","Fail"))</f>
        <v>Fail</v>
      </c>
      <c r="T587" t="s">
        <v>40</v>
      </c>
      <c r="U587">
        <f>IF(Table2[[#This Row],[Completed]]="Yes",1,0)</f>
        <v>0</v>
      </c>
      <c r="V587" t="s">
        <v>40</v>
      </c>
      <c r="W587" t="s">
        <v>40</v>
      </c>
      <c r="X587" s="4">
        <v>45838</v>
      </c>
    </row>
    <row r="588" spans="1:24" x14ac:dyDescent="0.3">
      <c r="A588">
        <v>587</v>
      </c>
      <c r="B588" s="8">
        <v>196</v>
      </c>
      <c r="C588">
        <v>2</v>
      </c>
      <c r="D588" t="s">
        <v>21</v>
      </c>
      <c r="E588" t="s">
        <v>22</v>
      </c>
      <c r="F588">
        <v>27</v>
      </c>
      <c r="G588" t="str">
        <f>IF(Table2[[#This Row],[Age]]&gt;=30,"Experienced",IF(Table2[[#This Row],[Age]]&gt;=25,"Mid Level", "Entry Level"))</f>
        <v>Mid Level</v>
      </c>
      <c r="H588" t="s">
        <v>29</v>
      </c>
      <c r="I588" t="s">
        <v>30</v>
      </c>
      <c r="J588" s="4">
        <v>45768</v>
      </c>
      <c r="K588" s="4" t="str">
        <f>TEXT(Table2[[#This Row],[Enrollment_date]],"Mmm")</f>
        <v>Apr</v>
      </c>
      <c r="L588" s="4" t="str">
        <f>TEXT(Table2[[#This Row],[Enrollment_date]],"Ddd")</f>
        <v>Mon</v>
      </c>
      <c r="M588" s="4" t="s">
        <v>34</v>
      </c>
      <c r="N588" t="s">
        <v>36</v>
      </c>
      <c r="O588" t="s">
        <v>38</v>
      </c>
      <c r="P588" s="8">
        <v>4</v>
      </c>
      <c r="Q588" s="6">
        <v>0.79166666666666663</v>
      </c>
      <c r="R588" s="6">
        <v>74</v>
      </c>
      <c r="S588" s="6" t="str">
        <f>IF(Table2[[#This Row],[Avg_score]]&gt;=79,"Distinction",IF(Table2[[#This Row],[Avg_score]]&gt;=60,"Pass","Fail"))</f>
        <v>Pass</v>
      </c>
      <c r="T588" t="s">
        <v>40</v>
      </c>
      <c r="U588">
        <f>IF(Table2[[#This Row],[Completed]]="Yes",1,0)</f>
        <v>0</v>
      </c>
      <c r="V588" t="s">
        <v>40</v>
      </c>
      <c r="W588" t="s">
        <v>40</v>
      </c>
      <c r="X588" s="4">
        <v>45838</v>
      </c>
    </row>
    <row r="589" spans="1:24" x14ac:dyDescent="0.3">
      <c r="A589">
        <v>588</v>
      </c>
      <c r="B589" s="8">
        <v>196</v>
      </c>
      <c r="C589">
        <v>3</v>
      </c>
      <c r="D589" t="s">
        <v>19</v>
      </c>
      <c r="E589" t="s">
        <v>22</v>
      </c>
      <c r="F589">
        <v>27</v>
      </c>
      <c r="G589" t="str">
        <f>IF(Table2[[#This Row],[Age]]&gt;=30,"Experienced",IF(Table2[[#This Row],[Age]]&gt;=25,"Mid Level", "Entry Level"))</f>
        <v>Mid Level</v>
      </c>
      <c r="H589" t="s">
        <v>29</v>
      </c>
      <c r="I589" t="s">
        <v>30</v>
      </c>
      <c r="J589" s="4">
        <v>45768</v>
      </c>
      <c r="K589" s="4" t="str">
        <f>TEXT(Table2[[#This Row],[Enrollment_date]],"Mmm")</f>
        <v>Apr</v>
      </c>
      <c r="L589" s="4" t="str">
        <f>TEXT(Table2[[#This Row],[Enrollment_date]],"Ddd")</f>
        <v>Mon</v>
      </c>
      <c r="M589" s="4" t="s">
        <v>34</v>
      </c>
      <c r="N589" t="s">
        <v>37</v>
      </c>
      <c r="O589" t="s">
        <v>38</v>
      </c>
      <c r="P589" s="8">
        <v>4</v>
      </c>
      <c r="Q589" s="6">
        <v>0.875</v>
      </c>
      <c r="R589" s="6">
        <v>89.5</v>
      </c>
      <c r="S589" s="6" t="str">
        <f>IF(Table2[[#This Row],[Avg_score]]&gt;=79,"Distinction",IF(Table2[[#This Row],[Avg_score]]&gt;=60,"Pass","Fail"))</f>
        <v>Distinction</v>
      </c>
      <c r="T589" t="s">
        <v>40</v>
      </c>
      <c r="U589">
        <f>IF(Table2[[#This Row],[Completed]]="Yes",1,0)</f>
        <v>0</v>
      </c>
      <c r="V589" t="s">
        <v>40</v>
      </c>
      <c r="W589" t="s">
        <v>40</v>
      </c>
      <c r="X589" s="4">
        <v>45838</v>
      </c>
    </row>
    <row r="590" spans="1:24" x14ac:dyDescent="0.3">
      <c r="A590">
        <v>589</v>
      </c>
      <c r="B590" s="8">
        <v>197</v>
      </c>
      <c r="C590">
        <v>1</v>
      </c>
      <c r="D590" t="s">
        <v>21</v>
      </c>
      <c r="E590" t="s">
        <v>22</v>
      </c>
      <c r="F590">
        <v>25</v>
      </c>
      <c r="G590" t="str">
        <f>IF(Table2[[#This Row],[Age]]&gt;=30,"Experienced",IF(Table2[[#This Row],[Age]]&gt;=25,"Mid Level", "Entry Level"))</f>
        <v>Mid Level</v>
      </c>
      <c r="H590" t="s">
        <v>26</v>
      </c>
      <c r="I590" t="s">
        <v>44</v>
      </c>
      <c r="J590" s="4">
        <v>45802</v>
      </c>
      <c r="K590" s="4" t="str">
        <f>TEXT(Table2[[#This Row],[Enrollment_date]],"Mmm")</f>
        <v>May</v>
      </c>
      <c r="L590" s="4" t="str">
        <f>TEXT(Table2[[#This Row],[Enrollment_date]],"Ddd")</f>
        <v>Sun</v>
      </c>
      <c r="M590" s="4" t="s">
        <v>34</v>
      </c>
      <c r="N590" t="s">
        <v>35</v>
      </c>
      <c r="O590" t="s">
        <v>38</v>
      </c>
      <c r="P590" s="8">
        <v>4</v>
      </c>
      <c r="Q590" s="6">
        <v>0.83333333333333337</v>
      </c>
      <c r="R590" s="6">
        <v>74.5</v>
      </c>
      <c r="S590" s="6" t="str">
        <f>IF(Table2[[#This Row],[Avg_score]]&gt;=79,"Distinction",IF(Table2[[#This Row],[Avg_score]]&gt;=60,"Pass","Fail"))</f>
        <v>Pass</v>
      </c>
      <c r="T590" t="s">
        <v>39</v>
      </c>
      <c r="U590">
        <f>IF(Table2[[#This Row],[Completed]]="Yes",1,0)</f>
        <v>1</v>
      </c>
      <c r="V590" t="s">
        <v>39</v>
      </c>
      <c r="W590" t="s">
        <v>39</v>
      </c>
      <c r="X590" s="4">
        <v>45838</v>
      </c>
    </row>
    <row r="591" spans="1:24" x14ac:dyDescent="0.3">
      <c r="A591">
        <v>590</v>
      </c>
      <c r="B591" s="8">
        <v>197</v>
      </c>
      <c r="C591">
        <v>2</v>
      </c>
      <c r="D591" t="s">
        <v>19</v>
      </c>
      <c r="E591" t="s">
        <v>22</v>
      </c>
      <c r="F591">
        <v>25</v>
      </c>
      <c r="G591" t="str">
        <f>IF(Table2[[#This Row],[Age]]&gt;=30,"Experienced",IF(Table2[[#This Row],[Age]]&gt;=25,"Mid Level", "Entry Level"))</f>
        <v>Mid Level</v>
      </c>
      <c r="H591" t="s">
        <v>26</v>
      </c>
      <c r="I591" t="s">
        <v>44</v>
      </c>
      <c r="J591" s="4">
        <v>45802</v>
      </c>
      <c r="K591" s="4" t="str">
        <f>TEXT(Table2[[#This Row],[Enrollment_date]],"Mmm")</f>
        <v>May</v>
      </c>
      <c r="L591" s="4" t="str">
        <f>TEXT(Table2[[#This Row],[Enrollment_date]],"Ddd")</f>
        <v>Sun</v>
      </c>
      <c r="M591" s="4" t="s">
        <v>34</v>
      </c>
      <c r="N591" t="s">
        <v>36</v>
      </c>
      <c r="O591" t="s">
        <v>38</v>
      </c>
      <c r="P591" s="8">
        <v>4</v>
      </c>
      <c r="Q591" s="6">
        <v>0.83333333333333337</v>
      </c>
      <c r="R591" s="6">
        <v>66.5</v>
      </c>
      <c r="S591" s="6" t="str">
        <f>IF(Table2[[#This Row],[Avg_score]]&gt;=79,"Distinction",IF(Table2[[#This Row],[Avg_score]]&gt;=60,"Pass","Fail"))</f>
        <v>Pass</v>
      </c>
      <c r="T591" t="s">
        <v>39</v>
      </c>
      <c r="U591">
        <f>IF(Table2[[#This Row],[Completed]]="Yes",1,0)</f>
        <v>1</v>
      </c>
      <c r="V591" t="s">
        <v>39</v>
      </c>
      <c r="W591" t="s">
        <v>39</v>
      </c>
      <c r="X591" s="4">
        <v>45838</v>
      </c>
    </row>
    <row r="592" spans="1:24" x14ac:dyDescent="0.3">
      <c r="A592">
        <v>591</v>
      </c>
      <c r="B592" s="8">
        <v>197</v>
      </c>
      <c r="C592">
        <v>3</v>
      </c>
      <c r="D592" t="s">
        <v>19</v>
      </c>
      <c r="E592" t="s">
        <v>22</v>
      </c>
      <c r="F592">
        <v>25</v>
      </c>
      <c r="G592" t="str">
        <f>IF(Table2[[#This Row],[Age]]&gt;=30,"Experienced",IF(Table2[[#This Row],[Age]]&gt;=25,"Mid Level", "Entry Level"))</f>
        <v>Mid Level</v>
      </c>
      <c r="H592" t="s">
        <v>26</v>
      </c>
      <c r="I592" t="s">
        <v>44</v>
      </c>
      <c r="J592" s="4">
        <v>45802</v>
      </c>
      <c r="K592" s="4" t="str">
        <f>TEXT(Table2[[#This Row],[Enrollment_date]],"Mmm")</f>
        <v>May</v>
      </c>
      <c r="L592" s="4" t="str">
        <f>TEXT(Table2[[#This Row],[Enrollment_date]],"Ddd")</f>
        <v>Sun</v>
      </c>
      <c r="M592" s="4" t="s">
        <v>34</v>
      </c>
      <c r="N592" t="s">
        <v>37</v>
      </c>
      <c r="O592" t="s">
        <v>38</v>
      </c>
      <c r="P592" s="8">
        <v>4</v>
      </c>
      <c r="Q592" s="6">
        <v>0.91666666666666663</v>
      </c>
      <c r="R592" s="6">
        <v>58.5</v>
      </c>
      <c r="S592" s="6" t="str">
        <f>IF(Table2[[#This Row],[Avg_score]]&gt;=79,"Distinction",IF(Table2[[#This Row],[Avg_score]]&gt;=60,"Pass","Fail"))</f>
        <v>Fail</v>
      </c>
      <c r="T592" t="s">
        <v>39</v>
      </c>
      <c r="U592">
        <f>IF(Table2[[#This Row],[Completed]]="Yes",1,0)</f>
        <v>1</v>
      </c>
      <c r="V592" t="s">
        <v>39</v>
      </c>
      <c r="W592" t="s">
        <v>39</v>
      </c>
      <c r="X592" s="4">
        <v>45838</v>
      </c>
    </row>
    <row r="593" spans="1:24" x14ac:dyDescent="0.3">
      <c r="A593">
        <v>592</v>
      </c>
      <c r="B593" s="8">
        <v>198</v>
      </c>
      <c r="C593">
        <v>1</v>
      </c>
      <c r="D593" t="s">
        <v>19</v>
      </c>
      <c r="E593" t="s">
        <v>22</v>
      </c>
      <c r="F593">
        <v>23</v>
      </c>
      <c r="G593" t="str">
        <f>IF(Table2[[#This Row],[Age]]&gt;=30,"Experienced",IF(Table2[[#This Row],[Age]]&gt;=25,"Mid Level", "Entry Level"))</f>
        <v>Entry Level</v>
      </c>
      <c r="H593" t="s">
        <v>28</v>
      </c>
      <c r="I593" t="s">
        <v>68</v>
      </c>
      <c r="J593" s="4">
        <v>45755</v>
      </c>
      <c r="K593" s="4" t="str">
        <f>TEXT(Table2[[#This Row],[Enrollment_date]],"Mmm")</f>
        <v>Apr</v>
      </c>
      <c r="L593" s="4" t="str">
        <f>TEXT(Table2[[#This Row],[Enrollment_date]],"Ddd")</f>
        <v>Tue</v>
      </c>
      <c r="M593" s="4" t="s">
        <v>34</v>
      </c>
      <c r="N593" t="s">
        <v>35</v>
      </c>
      <c r="O593" t="s">
        <v>38</v>
      </c>
      <c r="P593" s="8">
        <v>4</v>
      </c>
      <c r="Q593" s="6">
        <v>0.89583333333333337</v>
      </c>
      <c r="R593" s="6">
        <v>92</v>
      </c>
      <c r="S593" s="6" t="str">
        <f>IF(Table2[[#This Row],[Avg_score]]&gt;=79,"Distinction",IF(Table2[[#This Row],[Avg_score]]&gt;=60,"Pass","Fail"))</f>
        <v>Distinction</v>
      </c>
      <c r="T593" t="s">
        <v>40</v>
      </c>
      <c r="U593">
        <f>IF(Table2[[#This Row],[Completed]]="Yes",1,0)</f>
        <v>0</v>
      </c>
      <c r="V593" t="s">
        <v>40</v>
      </c>
      <c r="W593" t="s">
        <v>40</v>
      </c>
      <c r="X593" s="4">
        <v>45838</v>
      </c>
    </row>
    <row r="594" spans="1:24" x14ac:dyDescent="0.3">
      <c r="A594">
        <v>593</v>
      </c>
      <c r="B594" s="8">
        <v>198</v>
      </c>
      <c r="C594">
        <v>2</v>
      </c>
      <c r="D594" t="s">
        <v>20</v>
      </c>
      <c r="E594" t="s">
        <v>22</v>
      </c>
      <c r="F594">
        <v>23</v>
      </c>
      <c r="G594" t="str">
        <f>IF(Table2[[#This Row],[Age]]&gt;=30,"Experienced",IF(Table2[[#This Row],[Age]]&gt;=25,"Mid Level", "Entry Level"))</f>
        <v>Entry Level</v>
      </c>
      <c r="H594" t="s">
        <v>28</v>
      </c>
      <c r="I594" t="s">
        <v>68</v>
      </c>
      <c r="J594" s="4">
        <v>45755</v>
      </c>
      <c r="K594" s="4" t="str">
        <f>TEXT(Table2[[#This Row],[Enrollment_date]],"Mmm")</f>
        <v>Apr</v>
      </c>
      <c r="L594" s="4" t="str">
        <f>TEXT(Table2[[#This Row],[Enrollment_date]],"Ddd")</f>
        <v>Tue</v>
      </c>
      <c r="M594" s="4" t="s">
        <v>34</v>
      </c>
      <c r="N594" t="s">
        <v>36</v>
      </c>
      <c r="O594" t="s">
        <v>38</v>
      </c>
      <c r="P594" s="8">
        <v>4</v>
      </c>
      <c r="Q594" s="6">
        <v>0.85416666666666663</v>
      </c>
      <c r="R594" s="6">
        <v>57.5</v>
      </c>
      <c r="S594" s="6" t="str">
        <f>IF(Table2[[#This Row],[Avg_score]]&gt;=79,"Distinction",IF(Table2[[#This Row],[Avg_score]]&gt;=60,"Pass","Fail"))</f>
        <v>Fail</v>
      </c>
      <c r="T594" t="s">
        <v>40</v>
      </c>
      <c r="U594">
        <f>IF(Table2[[#This Row],[Completed]]="Yes",1,0)</f>
        <v>0</v>
      </c>
      <c r="V594" t="s">
        <v>40</v>
      </c>
      <c r="W594" t="s">
        <v>40</v>
      </c>
      <c r="X594" s="4">
        <v>45838</v>
      </c>
    </row>
    <row r="595" spans="1:24" x14ac:dyDescent="0.3">
      <c r="A595">
        <v>594</v>
      </c>
      <c r="B595" s="8">
        <v>198</v>
      </c>
      <c r="C595">
        <v>3</v>
      </c>
      <c r="D595" t="s">
        <v>19</v>
      </c>
      <c r="E595" t="s">
        <v>22</v>
      </c>
      <c r="F595">
        <v>23</v>
      </c>
      <c r="G595" t="str">
        <f>IF(Table2[[#This Row],[Age]]&gt;=30,"Experienced",IF(Table2[[#This Row],[Age]]&gt;=25,"Mid Level", "Entry Level"))</f>
        <v>Entry Level</v>
      </c>
      <c r="H595" t="s">
        <v>28</v>
      </c>
      <c r="I595" t="s">
        <v>68</v>
      </c>
      <c r="J595" s="4">
        <v>45755</v>
      </c>
      <c r="K595" s="4" t="str">
        <f>TEXT(Table2[[#This Row],[Enrollment_date]],"Mmm")</f>
        <v>Apr</v>
      </c>
      <c r="L595" s="4" t="str">
        <f>TEXT(Table2[[#This Row],[Enrollment_date]],"Ddd")</f>
        <v>Tue</v>
      </c>
      <c r="M595" s="4" t="s">
        <v>34</v>
      </c>
      <c r="N595" t="s">
        <v>37</v>
      </c>
      <c r="O595" t="s">
        <v>38</v>
      </c>
      <c r="P595" s="8">
        <v>4</v>
      </c>
      <c r="Q595" s="6">
        <v>0.8125</v>
      </c>
      <c r="R595" s="6">
        <v>80</v>
      </c>
      <c r="S595" s="6" t="str">
        <f>IF(Table2[[#This Row],[Avg_score]]&gt;=79,"Distinction",IF(Table2[[#This Row],[Avg_score]]&gt;=60,"Pass","Fail"))</f>
        <v>Distinction</v>
      </c>
      <c r="T595" t="s">
        <v>40</v>
      </c>
      <c r="U595">
        <f>IF(Table2[[#This Row],[Completed]]="Yes",1,0)</f>
        <v>0</v>
      </c>
      <c r="V595" t="s">
        <v>40</v>
      </c>
      <c r="W595" t="s">
        <v>40</v>
      </c>
      <c r="X595" s="4">
        <v>45838</v>
      </c>
    </row>
    <row r="596" spans="1:24" x14ac:dyDescent="0.3">
      <c r="A596">
        <v>595</v>
      </c>
      <c r="B596" s="8">
        <v>199</v>
      </c>
      <c r="C596">
        <v>1</v>
      </c>
      <c r="D596" t="s">
        <v>19</v>
      </c>
      <c r="E596" t="s">
        <v>22</v>
      </c>
      <c r="F596">
        <v>33</v>
      </c>
      <c r="G596" t="str">
        <f>IF(Table2[[#This Row],[Age]]&gt;=30,"Experienced",IF(Table2[[#This Row],[Age]]&gt;=25,"Mid Level", "Entry Level"))</f>
        <v>Experienced</v>
      </c>
      <c r="H596" t="s">
        <v>26</v>
      </c>
      <c r="I596" t="s">
        <v>32</v>
      </c>
      <c r="J596" s="4">
        <v>45717</v>
      </c>
      <c r="K596" s="4" t="str">
        <f>TEXT(Table2[[#This Row],[Enrollment_date]],"Mmm")</f>
        <v>Mar</v>
      </c>
      <c r="L596" s="4" t="str">
        <f>TEXT(Table2[[#This Row],[Enrollment_date]],"Ddd")</f>
        <v>Sat</v>
      </c>
      <c r="M596" s="4" t="s">
        <v>34</v>
      </c>
      <c r="N596" t="s">
        <v>35</v>
      </c>
      <c r="O596" t="s">
        <v>38</v>
      </c>
      <c r="P596" s="8">
        <v>4</v>
      </c>
      <c r="Q596" s="6">
        <v>0.85416666666666663</v>
      </c>
      <c r="R596" s="6">
        <v>57</v>
      </c>
      <c r="S596" s="6" t="str">
        <f>IF(Table2[[#This Row],[Avg_score]]&gt;=79,"Distinction",IF(Table2[[#This Row],[Avg_score]]&gt;=60,"Pass","Fail"))</f>
        <v>Fail</v>
      </c>
      <c r="T596" t="s">
        <v>39</v>
      </c>
      <c r="U596">
        <f>IF(Table2[[#This Row],[Completed]]="Yes",1,0)</f>
        <v>1</v>
      </c>
      <c r="V596" t="s">
        <v>39</v>
      </c>
      <c r="W596" t="s">
        <v>40</v>
      </c>
      <c r="X596" s="4">
        <v>45838</v>
      </c>
    </row>
    <row r="597" spans="1:24" x14ac:dyDescent="0.3">
      <c r="A597">
        <v>596</v>
      </c>
      <c r="B597" s="8">
        <v>199</v>
      </c>
      <c r="C597">
        <v>2</v>
      </c>
      <c r="D597" t="s">
        <v>19</v>
      </c>
      <c r="E597" t="s">
        <v>22</v>
      </c>
      <c r="F597">
        <v>33</v>
      </c>
      <c r="G597" t="str">
        <f>IF(Table2[[#This Row],[Age]]&gt;=30,"Experienced",IF(Table2[[#This Row],[Age]]&gt;=25,"Mid Level", "Entry Level"))</f>
        <v>Experienced</v>
      </c>
      <c r="H597" t="s">
        <v>26</v>
      </c>
      <c r="I597" t="s">
        <v>32</v>
      </c>
      <c r="J597" s="4">
        <v>45717</v>
      </c>
      <c r="K597" s="4" t="str">
        <f>TEXT(Table2[[#This Row],[Enrollment_date]],"Mmm")</f>
        <v>Mar</v>
      </c>
      <c r="L597" s="4" t="str">
        <f>TEXT(Table2[[#This Row],[Enrollment_date]],"Ddd")</f>
        <v>Sat</v>
      </c>
      <c r="M597" s="4" t="s">
        <v>34</v>
      </c>
      <c r="N597" t="s">
        <v>36</v>
      </c>
      <c r="O597" t="s">
        <v>38</v>
      </c>
      <c r="P597" s="8">
        <v>4</v>
      </c>
      <c r="Q597" s="6">
        <v>0.8125</v>
      </c>
      <c r="R597" s="6">
        <v>91</v>
      </c>
      <c r="S597" s="6" t="str">
        <f>IF(Table2[[#This Row],[Avg_score]]&gt;=79,"Distinction",IF(Table2[[#This Row],[Avg_score]]&gt;=60,"Pass","Fail"))</f>
        <v>Distinction</v>
      </c>
      <c r="T597" t="s">
        <v>39</v>
      </c>
      <c r="U597">
        <f>IF(Table2[[#This Row],[Completed]]="Yes",1,0)</f>
        <v>1</v>
      </c>
      <c r="V597" t="s">
        <v>39</v>
      </c>
      <c r="W597" t="s">
        <v>40</v>
      </c>
      <c r="X597" s="4">
        <v>45838</v>
      </c>
    </row>
    <row r="598" spans="1:24" x14ac:dyDescent="0.3">
      <c r="A598">
        <v>597</v>
      </c>
      <c r="B598" s="8">
        <v>199</v>
      </c>
      <c r="C598">
        <v>3</v>
      </c>
      <c r="D598" t="s">
        <v>19</v>
      </c>
      <c r="E598" t="s">
        <v>22</v>
      </c>
      <c r="F598">
        <v>33</v>
      </c>
      <c r="G598" t="str">
        <f>IF(Table2[[#This Row],[Age]]&gt;=30,"Experienced",IF(Table2[[#This Row],[Age]]&gt;=25,"Mid Level", "Entry Level"))</f>
        <v>Experienced</v>
      </c>
      <c r="H598" t="s">
        <v>26</v>
      </c>
      <c r="I598" t="s">
        <v>32</v>
      </c>
      <c r="J598" s="4">
        <v>45717</v>
      </c>
      <c r="K598" s="4" t="str">
        <f>TEXT(Table2[[#This Row],[Enrollment_date]],"Mmm")</f>
        <v>Mar</v>
      </c>
      <c r="L598" s="4" t="str">
        <f>TEXT(Table2[[#This Row],[Enrollment_date]],"Ddd")</f>
        <v>Sat</v>
      </c>
      <c r="M598" s="4" t="s">
        <v>34</v>
      </c>
      <c r="N598" t="s">
        <v>37</v>
      </c>
      <c r="O598" t="s">
        <v>38</v>
      </c>
      <c r="P598" s="8">
        <v>4</v>
      </c>
      <c r="Q598" s="6">
        <v>0.89583333333333337</v>
      </c>
      <c r="R598" s="6">
        <v>82</v>
      </c>
      <c r="S598" s="6" t="str">
        <f>IF(Table2[[#This Row],[Avg_score]]&gt;=79,"Distinction",IF(Table2[[#This Row],[Avg_score]]&gt;=60,"Pass","Fail"))</f>
        <v>Distinction</v>
      </c>
      <c r="T598" t="s">
        <v>39</v>
      </c>
      <c r="U598">
        <f>IF(Table2[[#This Row],[Completed]]="Yes",1,0)</f>
        <v>1</v>
      </c>
      <c r="V598" t="s">
        <v>39</v>
      </c>
      <c r="W598" t="s">
        <v>40</v>
      </c>
      <c r="X598" s="4">
        <v>45838</v>
      </c>
    </row>
    <row r="599" spans="1:24" x14ac:dyDescent="0.3">
      <c r="A599">
        <v>598</v>
      </c>
      <c r="B599" s="8">
        <v>200</v>
      </c>
      <c r="C599">
        <v>1</v>
      </c>
      <c r="D599" t="s">
        <v>20</v>
      </c>
      <c r="E599" t="s">
        <v>23</v>
      </c>
      <c r="F599">
        <v>26</v>
      </c>
      <c r="G599" t="str">
        <f>IF(Table2[[#This Row],[Age]]&gt;=30,"Experienced",IF(Table2[[#This Row],[Age]]&gt;=25,"Mid Level", "Entry Level"))</f>
        <v>Mid Level</v>
      </c>
      <c r="H599" t="s">
        <v>27</v>
      </c>
      <c r="I599" t="s">
        <v>30</v>
      </c>
      <c r="J599" s="4">
        <v>45660</v>
      </c>
      <c r="K599" s="4" t="str">
        <f>TEXT(Table2[[#This Row],[Enrollment_date]],"Mmm")</f>
        <v>Jan</v>
      </c>
      <c r="L599" s="4" t="str">
        <f>TEXT(Table2[[#This Row],[Enrollment_date]],"Ddd")</f>
        <v>Fri</v>
      </c>
      <c r="M599" s="4" t="s">
        <v>34</v>
      </c>
      <c r="N599" t="s">
        <v>35</v>
      </c>
      <c r="O599" t="s">
        <v>38</v>
      </c>
      <c r="P599" s="8">
        <v>4</v>
      </c>
      <c r="Q599" s="6">
        <v>0.875</v>
      </c>
      <c r="R599" s="6">
        <v>72.5</v>
      </c>
      <c r="S599" s="6" t="str">
        <f>IF(Table2[[#This Row],[Avg_score]]&gt;=79,"Distinction",IF(Table2[[#This Row],[Avg_score]]&gt;=60,"Pass","Fail"))</f>
        <v>Pass</v>
      </c>
      <c r="T599" t="s">
        <v>39</v>
      </c>
      <c r="U599">
        <f>IF(Table2[[#This Row],[Completed]]="Yes",1,0)</f>
        <v>1</v>
      </c>
      <c r="V599" t="s">
        <v>39</v>
      </c>
      <c r="W599" t="s">
        <v>40</v>
      </c>
      <c r="X599" s="4">
        <v>45838</v>
      </c>
    </row>
    <row r="600" spans="1:24" x14ac:dyDescent="0.3">
      <c r="A600">
        <v>599</v>
      </c>
      <c r="B600" s="8">
        <v>200</v>
      </c>
      <c r="C600">
        <v>2</v>
      </c>
      <c r="D600" t="s">
        <v>19</v>
      </c>
      <c r="E600" t="s">
        <v>23</v>
      </c>
      <c r="F600">
        <v>26</v>
      </c>
      <c r="G600" t="str">
        <f>IF(Table2[[#This Row],[Age]]&gt;=30,"Experienced",IF(Table2[[#This Row],[Age]]&gt;=25,"Mid Level", "Entry Level"))</f>
        <v>Mid Level</v>
      </c>
      <c r="H600" t="s">
        <v>27</v>
      </c>
      <c r="I600" t="s">
        <v>30</v>
      </c>
      <c r="J600" s="4">
        <v>45660</v>
      </c>
      <c r="K600" s="4" t="str">
        <f>TEXT(Table2[[#This Row],[Enrollment_date]],"Mmm")</f>
        <v>Jan</v>
      </c>
      <c r="L600" s="4" t="str">
        <f>TEXT(Table2[[#This Row],[Enrollment_date]],"Ddd")</f>
        <v>Fri</v>
      </c>
      <c r="M600" s="4" t="s">
        <v>34</v>
      </c>
      <c r="N600" t="s">
        <v>36</v>
      </c>
      <c r="O600" t="s">
        <v>38</v>
      </c>
      <c r="P600" s="8">
        <v>4</v>
      </c>
      <c r="Q600" s="6">
        <v>0.85416666666666663</v>
      </c>
      <c r="R600" s="6">
        <v>77.5</v>
      </c>
      <c r="S600" s="6" t="str">
        <f>IF(Table2[[#This Row],[Avg_score]]&gt;=79,"Distinction",IF(Table2[[#This Row],[Avg_score]]&gt;=60,"Pass","Fail"))</f>
        <v>Pass</v>
      </c>
      <c r="T600" t="s">
        <v>39</v>
      </c>
      <c r="U600">
        <f>IF(Table2[[#This Row],[Completed]]="Yes",1,0)</f>
        <v>1</v>
      </c>
      <c r="V600" t="s">
        <v>39</v>
      </c>
      <c r="W600" t="s">
        <v>40</v>
      </c>
      <c r="X600" s="4">
        <v>45838</v>
      </c>
    </row>
    <row r="601" spans="1:24" x14ac:dyDescent="0.3">
      <c r="A601">
        <v>600</v>
      </c>
      <c r="B601" s="8">
        <v>200</v>
      </c>
      <c r="C601">
        <v>3</v>
      </c>
      <c r="D601" t="s">
        <v>19</v>
      </c>
      <c r="E601" t="s">
        <v>23</v>
      </c>
      <c r="F601">
        <v>26</v>
      </c>
      <c r="G601" t="str">
        <f>IF(Table2[[#This Row],[Age]]&gt;=30,"Experienced",IF(Table2[[#This Row],[Age]]&gt;=25,"Mid Level", "Entry Level"))</f>
        <v>Mid Level</v>
      </c>
      <c r="H601" t="s">
        <v>27</v>
      </c>
      <c r="I601" t="s">
        <v>30</v>
      </c>
      <c r="J601" s="4">
        <v>45660</v>
      </c>
      <c r="K601" s="4" t="str">
        <f>TEXT(Table2[[#This Row],[Enrollment_date]],"Mmm")</f>
        <v>Jan</v>
      </c>
      <c r="L601" s="4" t="str">
        <f>TEXT(Table2[[#This Row],[Enrollment_date]],"Ddd")</f>
        <v>Fri</v>
      </c>
      <c r="M601" s="4" t="s">
        <v>34</v>
      </c>
      <c r="N601" t="s">
        <v>37</v>
      </c>
      <c r="O601" t="s">
        <v>38</v>
      </c>
      <c r="P601" s="8">
        <v>4</v>
      </c>
      <c r="Q601" s="6">
        <v>0.6875</v>
      </c>
      <c r="R601" s="6">
        <v>55.5</v>
      </c>
      <c r="S601" s="6" t="str">
        <f>IF(Table2[[#This Row],[Avg_score]]&gt;=79,"Distinction",IF(Table2[[#This Row],[Avg_score]]&gt;=60,"Pass","Fail"))</f>
        <v>Fail</v>
      </c>
      <c r="T601" t="s">
        <v>39</v>
      </c>
      <c r="U601">
        <f>IF(Table2[[#This Row],[Completed]]="Yes",1,0)</f>
        <v>1</v>
      </c>
      <c r="V601" t="s">
        <v>39</v>
      </c>
      <c r="W601" t="s">
        <v>40</v>
      </c>
      <c r="X601" s="4">
        <v>45838</v>
      </c>
    </row>
    <row r="602" spans="1:24" x14ac:dyDescent="0.3">
      <c r="A602">
        <v>601</v>
      </c>
      <c r="B602" s="8">
        <v>201</v>
      </c>
      <c r="C602">
        <v>1</v>
      </c>
      <c r="D602" t="s">
        <v>19</v>
      </c>
      <c r="E602" t="s">
        <v>23</v>
      </c>
      <c r="F602">
        <v>27</v>
      </c>
      <c r="G602" t="str">
        <f>IF(Table2[[#This Row],[Age]]&gt;=30,"Experienced",IF(Table2[[#This Row],[Age]]&gt;=25,"Mid Level", "Entry Level"))</f>
        <v>Mid Level</v>
      </c>
      <c r="H602" t="s">
        <v>24</v>
      </c>
      <c r="I602" t="s">
        <v>32</v>
      </c>
      <c r="J602" s="4">
        <v>45676</v>
      </c>
      <c r="K602" s="4" t="str">
        <f>TEXT(Table2[[#This Row],[Enrollment_date]],"Mmm")</f>
        <v>Jan</v>
      </c>
      <c r="L602" s="4" t="str">
        <f>TEXT(Table2[[#This Row],[Enrollment_date]],"Ddd")</f>
        <v>Sun</v>
      </c>
      <c r="M602" s="4" t="s">
        <v>34</v>
      </c>
      <c r="N602" t="s">
        <v>35</v>
      </c>
      <c r="O602" t="s">
        <v>38</v>
      </c>
      <c r="P602" s="8">
        <v>4</v>
      </c>
      <c r="Q602" s="6">
        <v>0.83333333333333337</v>
      </c>
      <c r="R602" s="6">
        <v>93.5</v>
      </c>
      <c r="S602" s="6" t="str">
        <f>IF(Table2[[#This Row],[Avg_score]]&gt;=79,"Distinction",IF(Table2[[#This Row],[Avg_score]]&gt;=60,"Pass","Fail"))</f>
        <v>Distinction</v>
      </c>
      <c r="T602" t="s">
        <v>39</v>
      </c>
      <c r="U602">
        <f>IF(Table2[[#This Row],[Completed]]="Yes",1,0)</f>
        <v>1</v>
      </c>
      <c r="V602" t="s">
        <v>39</v>
      </c>
      <c r="W602" t="s">
        <v>40</v>
      </c>
      <c r="X602" s="4">
        <v>45838</v>
      </c>
    </row>
    <row r="603" spans="1:24" x14ac:dyDescent="0.3">
      <c r="A603">
        <v>602</v>
      </c>
      <c r="B603" s="8">
        <v>201</v>
      </c>
      <c r="C603">
        <v>2</v>
      </c>
      <c r="D603" t="s">
        <v>19</v>
      </c>
      <c r="E603" t="s">
        <v>23</v>
      </c>
      <c r="F603">
        <v>27</v>
      </c>
      <c r="G603" t="str">
        <f>IF(Table2[[#This Row],[Age]]&gt;=30,"Experienced",IF(Table2[[#This Row],[Age]]&gt;=25,"Mid Level", "Entry Level"))</f>
        <v>Mid Level</v>
      </c>
      <c r="H603" t="s">
        <v>24</v>
      </c>
      <c r="I603" t="s">
        <v>32</v>
      </c>
      <c r="J603" s="4">
        <v>45676</v>
      </c>
      <c r="K603" s="4" t="str">
        <f>TEXT(Table2[[#This Row],[Enrollment_date]],"Mmm")</f>
        <v>Jan</v>
      </c>
      <c r="L603" s="4" t="str">
        <f>TEXT(Table2[[#This Row],[Enrollment_date]],"Ddd")</f>
        <v>Sun</v>
      </c>
      <c r="M603" s="4" t="s">
        <v>34</v>
      </c>
      <c r="N603" t="s">
        <v>36</v>
      </c>
      <c r="O603" t="s">
        <v>38</v>
      </c>
      <c r="P603" s="8">
        <v>4</v>
      </c>
      <c r="Q603" s="6">
        <v>0.83333333333333337</v>
      </c>
      <c r="R603" s="6">
        <v>80.5</v>
      </c>
      <c r="S603" s="6" t="str">
        <f>IF(Table2[[#This Row],[Avg_score]]&gt;=79,"Distinction",IF(Table2[[#This Row],[Avg_score]]&gt;=60,"Pass","Fail"))</f>
        <v>Distinction</v>
      </c>
      <c r="T603" t="s">
        <v>39</v>
      </c>
      <c r="U603">
        <f>IF(Table2[[#This Row],[Completed]]="Yes",1,0)</f>
        <v>1</v>
      </c>
      <c r="V603" t="s">
        <v>39</v>
      </c>
      <c r="W603" t="s">
        <v>40</v>
      </c>
      <c r="X603" s="4">
        <v>45838</v>
      </c>
    </row>
    <row r="604" spans="1:24" x14ac:dyDescent="0.3">
      <c r="A604">
        <v>603</v>
      </c>
      <c r="B604" s="8">
        <v>201</v>
      </c>
      <c r="C604">
        <v>3</v>
      </c>
      <c r="D604" t="s">
        <v>19</v>
      </c>
      <c r="E604" t="s">
        <v>23</v>
      </c>
      <c r="F604">
        <v>27</v>
      </c>
      <c r="G604" t="str">
        <f>IF(Table2[[#This Row],[Age]]&gt;=30,"Experienced",IF(Table2[[#This Row],[Age]]&gt;=25,"Mid Level", "Entry Level"))</f>
        <v>Mid Level</v>
      </c>
      <c r="H604" t="s">
        <v>24</v>
      </c>
      <c r="I604" t="s">
        <v>32</v>
      </c>
      <c r="J604" s="4">
        <v>45676</v>
      </c>
      <c r="K604" s="4" t="str">
        <f>TEXT(Table2[[#This Row],[Enrollment_date]],"Mmm")</f>
        <v>Jan</v>
      </c>
      <c r="L604" s="4" t="str">
        <f>TEXT(Table2[[#This Row],[Enrollment_date]],"Ddd")</f>
        <v>Sun</v>
      </c>
      <c r="M604" s="4" t="s">
        <v>34</v>
      </c>
      <c r="N604" t="s">
        <v>37</v>
      </c>
      <c r="O604" t="s">
        <v>38</v>
      </c>
      <c r="P604" s="8">
        <v>4</v>
      </c>
      <c r="Q604" s="6">
        <v>0.79166666666666663</v>
      </c>
      <c r="R604" s="6">
        <v>73</v>
      </c>
      <c r="S604" s="6" t="str">
        <f>IF(Table2[[#This Row],[Avg_score]]&gt;=79,"Distinction",IF(Table2[[#This Row],[Avg_score]]&gt;=60,"Pass","Fail"))</f>
        <v>Pass</v>
      </c>
      <c r="T604" t="s">
        <v>39</v>
      </c>
      <c r="U604">
        <f>IF(Table2[[#This Row],[Completed]]="Yes",1,0)</f>
        <v>1</v>
      </c>
      <c r="V604" t="s">
        <v>39</v>
      </c>
      <c r="W604" t="s">
        <v>40</v>
      </c>
      <c r="X604" s="4">
        <v>45838</v>
      </c>
    </row>
    <row r="605" spans="1:24" x14ac:dyDescent="0.3">
      <c r="A605">
        <v>604</v>
      </c>
      <c r="B605" s="8">
        <v>202</v>
      </c>
      <c r="C605">
        <v>1</v>
      </c>
      <c r="D605" t="s">
        <v>19</v>
      </c>
      <c r="E605" t="s">
        <v>23</v>
      </c>
      <c r="F605">
        <v>29</v>
      </c>
      <c r="G605" t="str">
        <f>IF(Table2[[#This Row],[Age]]&gt;=30,"Experienced",IF(Table2[[#This Row],[Age]]&gt;=25,"Mid Level", "Entry Level"))</f>
        <v>Mid Level</v>
      </c>
      <c r="H605" t="s">
        <v>26</v>
      </c>
      <c r="I605" t="s">
        <v>30</v>
      </c>
      <c r="J605" s="4">
        <v>45766</v>
      </c>
      <c r="K605" s="4" t="str">
        <f>TEXT(Table2[[#This Row],[Enrollment_date]],"Mmm")</f>
        <v>Apr</v>
      </c>
      <c r="L605" s="4" t="str">
        <f>TEXT(Table2[[#This Row],[Enrollment_date]],"Ddd")</f>
        <v>Sat</v>
      </c>
      <c r="M605" s="4" t="s">
        <v>34</v>
      </c>
      <c r="N605" t="s">
        <v>35</v>
      </c>
      <c r="O605" t="s">
        <v>38</v>
      </c>
      <c r="P605" s="8">
        <v>4</v>
      </c>
      <c r="Q605" s="6">
        <v>0.8125</v>
      </c>
      <c r="R605" s="6">
        <v>85</v>
      </c>
      <c r="S605" s="6" t="str">
        <f>IF(Table2[[#This Row],[Avg_score]]&gt;=79,"Distinction",IF(Table2[[#This Row],[Avg_score]]&gt;=60,"Pass","Fail"))</f>
        <v>Distinction</v>
      </c>
      <c r="T605" t="s">
        <v>39</v>
      </c>
      <c r="U605">
        <f>IF(Table2[[#This Row],[Completed]]="Yes",1,0)</f>
        <v>1</v>
      </c>
      <c r="V605" t="s">
        <v>39</v>
      </c>
      <c r="W605" t="s">
        <v>39</v>
      </c>
      <c r="X605" s="4">
        <v>45838</v>
      </c>
    </row>
    <row r="606" spans="1:24" x14ac:dyDescent="0.3">
      <c r="A606">
        <v>605</v>
      </c>
      <c r="B606" s="8">
        <v>202</v>
      </c>
      <c r="C606">
        <v>2</v>
      </c>
      <c r="D606" t="s">
        <v>19</v>
      </c>
      <c r="E606" t="s">
        <v>23</v>
      </c>
      <c r="F606">
        <v>29</v>
      </c>
      <c r="G606" t="str">
        <f>IF(Table2[[#This Row],[Age]]&gt;=30,"Experienced",IF(Table2[[#This Row],[Age]]&gt;=25,"Mid Level", "Entry Level"))</f>
        <v>Mid Level</v>
      </c>
      <c r="H606" t="s">
        <v>26</v>
      </c>
      <c r="I606" t="s">
        <v>30</v>
      </c>
      <c r="J606" s="4">
        <v>45766</v>
      </c>
      <c r="K606" s="4" t="str">
        <f>TEXT(Table2[[#This Row],[Enrollment_date]],"Mmm")</f>
        <v>Apr</v>
      </c>
      <c r="L606" s="4" t="str">
        <f>TEXT(Table2[[#This Row],[Enrollment_date]],"Ddd")</f>
        <v>Sat</v>
      </c>
      <c r="M606" s="4" t="s">
        <v>34</v>
      </c>
      <c r="N606" t="s">
        <v>36</v>
      </c>
      <c r="O606" t="s">
        <v>38</v>
      </c>
      <c r="P606" s="8">
        <v>4</v>
      </c>
      <c r="Q606" s="6">
        <v>0.83333333333333337</v>
      </c>
      <c r="R606" s="6">
        <v>61.5</v>
      </c>
      <c r="S606" s="6" t="str">
        <f>IF(Table2[[#This Row],[Avg_score]]&gt;=79,"Distinction",IF(Table2[[#This Row],[Avg_score]]&gt;=60,"Pass","Fail"))</f>
        <v>Pass</v>
      </c>
      <c r="T606" t="s">
        <v>39</v>
      </c>
      <c r="U606">
        <f>IF(Table2[[#This Row],[Completed]]="Yes",1,0)</f>
        <v>1</v>
      </c>
      <c r="V606" t="s">
        <v>39</v>
      </c>
      <c r="W606" t="s">
        <v>39</v>
      </c>
      <c r="X606" s="4">
        <v>45838</v>
      </c>
    </row>
    <row r="607" spans="1:24" x14ac:dyDescent="0.3">
      <c r="A607">
        <v>606</v>
      </c>
      <c r="B607" s="8">
        <v>202</v>
      </c>
      <c r="C607">
        <v>3</v>
      </c>
      <c r="D607" t="s">
        <v>19</v>
      </c>
      <c r="E607" t="s">
        <v>23</v>
      </c>
      <c r="F607">
        <v>29</v>
      </c>
      <c r="G607" t="str">
        <f>IF(Table2[[#This Row],[Age]]&gt;=30,"Experienced",IF(Table2[[#This Row],[Age]]&gt;=25,"Mid Level", "Entry Level"))</f>
        <v>Mid Level</v>
      </c>
      <c r="H607" t="s">
        <v>26</v>
      </c>
      <c r="I607" t="s">
        <v>30</v>
      </c>
      <c r="J607" s="4">
        <v>45766</v>
      </c>
      <c r="K607" s="4" t="str">
        <f>TEXT(Table2[[#This Row],[Enrollment_date]],"Mmm")</f>
        <v>Apr</v>
      </c>
      <c r="L607" s="4" t="str">
        <f>TEXT(Table2[[#This Row],[Enrollment_date]],"Ddd")</f>
        <v>Sat</v>
      </c>
      <c r="M607" s="4" t="s">
        <v>34</v>
      </c>
      <c r="N607" t="s">
        <v>37</v>
      </c>
      <c r="O607" t="s">
        <v>38</v>
      </c>
      <c r="P607" s="8">
        <v>4</v>
      </c>
      <c r="Q607" s="6">
        <v>0.83333333333333337</v>
      </c>
      <c r="R607" s="6">
        <v>67</v>
      </c>
      <c r="S607" s="6" t="str">
        <f>IF(Table2[[#This Row],[Avg_score]]&gt;=79,"Distinction",IF(Table2[[#This Row],[Avg_score]]&gt;=60,"Pass","Fail"))</f>
        <v>Pass</v>
      </c>
      <c r="T607" t="s">
        <v>39</v>
      </c>
      <c r="U607">
        <f>IF(Table2[[#This Row],[Completed]]="Yes",1,0)</f>
        <v>1</v>
      </c>
      <c r="V607" t="s">
        <v>39</v>
      </c>
      <c r="W607" t="s">
        <v>39</v>
      </c>
      <c r="X607" s="4">
        <v>45838</v>
      </c>
    </row>
    <row r="608" spans="1:24" x14ac:dyDescent="0.3">
      <c r="A608">
        <v>607</v>
      </c>
      <c r="B608" s="8">
        <v>203</v>
      </c>
      <c r="C608">
        <v>1</v>
      </c>
      <c r="D608" t="s">
        <v>19</v>
      </c>
      <c r="E608" t="s">
        <v>23</v>
      </c>
      <c r="F608">
        <v>32</v>
      </c>
      <c r="G608" t="str">
        <f>IF(Table2[[#This Row],[Age]]&gt;=30,"Experienced",IF(Table2[[#This Row],[Age]]&gt;=25,"Mid Level", "Entry Level"))</f>
        <v>Experienced</v>
      </c>
      <c r="H608" t="s">
        <v>29</v>
      </c>
      <c r="I608" t="s">
        <v>32</v>
      </c>
      <c r="J608" s="4">
        <v>45756</v>
      </c>
      <c r="K608" s="4" t="str">
        <f>TEXT(Table2[[#This Row],[Enrollment_date]],"Mmm")</f>
        <v>Apr</v>
      </c>
      <c r="L608" s="4" t="str">
        <f>TEXT(Table2[[#This Row],[Enrollment_date]],"Ddd")</f>
        <v>Wed</v>
      </c>
      <c r="M608" s="4" t="s">
        <v>34</v>
      </c>
      <c r="N608" t="s">
        <v>35</v>
      </c>
      <c r="O608" t="s">
        <v>38</v>
      </c>
      <c r="P608" s="8">
        <v>4</v>
      </c>
      <c r="Q608" s="6">
        <v>0.8125</v>
      </c>
      <c r="R608" s="6">
        <v>63.5</v>
      </c>
      <c r="S608" s="6" t="str">
        <f>IF(Table2[[#This Row],[Avg_score]]&gt;=79,"Distinction",IF(Table2[[#This Row],[Avg_score]]&gt;=60,"Pass","Fail"))</f>
        <v>Pass</v>
      </c>
      <c r="T608" t="s">
        <v>39</v>
      </c>
      <c r="U608">
        <f>IF(Table2[[#This Row],[Completed]]="Yes",1,0)</f>
        <v>1</v>
      </c>
      <c r="V608" t="s">
        <v>40</v>
      </c>
      <c r="W608" t="s">
        <v>40</v>
      </c>
      <c r="X608" s="4">
        <v>45838</v>
      </c>
    </row>
    <row r="609" spans="1:24" x14ac:dyDescent="0.3">
      <c r="A609">
        <v>608</v>
      </c>
      <c r="B609" s="8">
        <v>203</v>
      </c>
      <c r="C609">
        <v>2</v>
      </c>
      <c r="D609" t="s">
        <v>19</v>
      </c>
      <c r="E609" t="s">
        <v>23</v>
      </c>
      <c r="F609">
        <v>32</v>
      </c>
      <c r="G609" t="str">
        <f>IF(Table2[[#This Row],[Age]]&gt;=30,"Experienced",IF(Table2[[#This Row],[Age]]&gt;=25,"Mid Level", "Entry Level"))</f>
        <v>Experienced</v>
      </c>
      <c r="H609" t="s">
        <v>29</v>
      </c>
      <c r="I609" t="s">
        <v>32</v>
      </c>
      <c r="J609" s="4">
        <v>45756</v>
      </c>
      <c r="K609" s="4" t="str">
        <f>TEXT(Table2[[#This Row],[Enrollment_date]],"Mmm")</f>
        <v>Apr</v>
      </c>
      <c r="L609" s="4" t="str">
        <f>TEXT(Table2[[#This Row],[Enrollment_date]],"Ddd")</f>
        <v>Wed</v>
      </c>
      <c r="M609" s="4" t="s">
        <v>34</v>
      </c>
      <c r="N609" t="s">
        <v>36</v>
      </c>
      <c r="O609" t="s">
        <v>38</v>
      </c>
      <c r="P609" s="8">
        <v>4</v>
      </c>
      <c r="Q609" s="6">
        <v>0.83333333333333337</v>
      </c>
      <c r="R609" s="6">
        <v>72.5</v>
      </c>
      <c r="S609" s="6" t="str">
        <f>IF(Table2[[#This Row],[Avg_score]]&gt;=79,"Distinction",IF(Table2[[#This Row],[Avg_score]]&gt;=60,"Pass","Fail"))</f>
        <v>Pass</v>
      </c>
      <c r="T609" t="s">
        <v>39</v>
      </c>
      <c r="U609">
        <f>IF(Table2[[#This Row],[Completed]]="Yes",1,0)</f>
        <v>1</v>
      </c>
      <c r="V609" t="s">
        <v>40</v>
      </c>
      <c r="W609" t="s">
        <v>40</v>
      </c>
      <c r="X609" s="4">
        <v>45838</v>
      </c>
    </row>
    <row r="610" spans="1:24" x14ac:dyDescent="0.3">
      <c r="A610">
        <v>609</v>
      </c>
      <c r="B610" s="8">
        <v>203</v>
      </c>
      <c r="C610">
        <v>3</v>
      </c>
      <c r="D610" t="s">
        <v>21</v>
      </c>
      <c r="E610" t="s">
        <v>23</v>
      </c>
      <c r="F610">
        <v>32</v>
      </c>
      <c r="G610" t="str">
        <f>IF(Table2[[#This Row],[Age]]&gt;=30,"Experienced",IF(Table2[[#This Row],[Age]]&gt;=25,"Mid Level", "Entry Level"))</f>
        <v>Experienced</v>
      </c>
      <c r="H610" t="s">
        <v>29</v>
      </c>
      <c r="I610" t="s">
        <v>32</v>
      </c>
      <c r="J610" s="4">
        <v>45756</v>
      </c>
      <c r="K610" s="4" t="str">
        <f>TEXT(Table2[[#This Row],[Enrollment_date]],"Mmm")</f>
        <v>Apr</v>
      </c>
      <c r="L610" s="4" t="str">
        <f>TEXT(Table2[[#This Row],[Enrollment_date]],"Ddd")</f>
        <v>Wed</v>
      </c>
      <c r="M610" s="4" t="s">
        <v>34</v>
      </c>
      <c r="N610" t="s">
        <v>37</v>
      </c>
      <c r="O610" t="s">
        <v>38</v>
      </c>
      <c r="P610" s="8">
        <v>4</v>
      </c>
      <c r="Q610" s="6">
        <v>0.85416666666666663</v>
      </c>
      <c r="R610" s="6">
        <v>70</v>
      </c>
      <c r="S610" s="6" t="str">
        <f>IF(Table2[[#This Row],[Avg_score]]&gt;=79,"Distinction",IF(Table2[[#This Row],[Avg_score]]&gt;=60,"Pass","Fail"))</f>
        <v>Pass</v>
      </c>
      <c r="T610" t="s">
        <v>39</v>
      </c>
      <c r="U610">
        <f>IF(Table2[[#This Row],[Completed]]="Yes",1,0)</f>
        <v>1</v>
      </c>
      <c r="V610" t="s">
        <v>40</v>
      </c>
      <c r="W610" t="s">
        <v>40</v>
      </c>
      <c r="X610" s="4">
        <v>45838</v>
      </c>
    </row>
    <row r="611" spans="1:24" x14ac:dyDescent="0.3">
      <c r="A611">
        <v>610</v>
      </c>
      <c r="B611" s="8">
        <v>204</v>
      </c>
      <c r="C611">
        <v>1</v>
      </c>
      <c r="D611" t="s">
        <v>19</v>
      </c>
      <c r="E611" t="s">
        <v>23</v>
      </c>
      <c r="F611">
        <v>21</v>
      </c>
      <c r="G611" t="str">
        <f>IF(Table2[[#This Row],[Age]]&gt;=30,"Experienced",IF(Table2[[#This Row],[Age]]&gt;=25,"Mid Level", "Entry Level"))</f>
        <v>Entry Level</v>
      </c>
      <c r="H611" t="s">
        <v>28</v>
      </c>
      <c r="I611" t="s">
        <v>44</v>
      </c>
      <c r="J611" s="4">
        <v>45804</v>
      </c>
      <c r="K611" s="4" t="str">
        <f>TEXT(Table2[[#This Row],[Enrollment_date]],"Mmm")</f>
        <v>May</v>
      </c>
      <c r="L611" s="4" t="str">
        <f>TEXT(Table2[[#This Row],[Enrollment_date]],"Ddd")</f>
        <v>Tue</v>
      </c>
      <c r="M611" s="4" t="s">
        <v>34</v>
      </c>
      <c r="N611" t="s">
        <v>35</v>
      </c>
      <c r="O611" t="s">
        <v>38</v>
      </c>
      <c r="P611" s="8">
        <v>4</v>
      </c>
      <c r="Q611" s="6">
        <v>0.875</v>
      </c>
      <c r="R611" s="6">
        <v>82</v>
      </c>
      <c r="S611" s="6" t="str">
        <f>IF(Table2[[#This Row],[Avg_score]]&gt;=79,"Distinction",IF(Table2[[#This Row],[Avg_score]]&gt;=60,"Pass","Fail"))</f>
        <v>Distinction</v>
      </c>
      <c r="T611" t="s">
        <v>39</v>
      </c>
      <c r="U611">
        <f>IF(Table2[[#This Row],[Completed]]="Yes",1,0)</f>
        <v>1</v>
      </c>
      <c r="V611" t="s">
        <v>39</v>
      </c>
      <c r="W611" t="s">
        <v>40</v>
      </c>
      <c r="X611" s="4">
        <v>45838</v>
      </c>
    </row>
    <row r="612" spans="1:24" x14ac:dyDescent="0.3">
      <c r="A612">
        <v>611</v>
      </c>
      <c r="B612" s="8">
        <v>204</v>
      </c>
      <c r="C612">
        <v>2</v>
      </c>
      <c r="D612" t="s">
        <v>21</v>
      </c>
      <c r="E612" t="s">
        <v>23</v>
      </c>
      <c r="F612">
        <v>21</v>
      </c>
      <c r="G612" t="str">
        <f>IF(Table2[[#This Row],[Age]]&gt;=30,"Experienced",IF(Table2[[#This Row],[Age]]&gt;=25,"Mid Level", "Entry Level"))</f>
        <v>Entry Level</v>
      </c>
      <c r="H612" t="s">
        <v>28</v>
      </c>
      <c r="I612" t="s">
        <v>44</v>
      </c>
      <c r="J612" s="4">
        <v>45804</v>
      </c>
      <c r="K612" s="4" t="str">
        <f>TEXT(Table2[[#This Row],[Enrollment_date]],"Mmm")</f>
        <v>May</v>
      </c>
      <c r="L612" s="4" t="str">
        <f>TEXT(Table2[[#This Row],[Enrollment_date]],"Ddd")</f>
        <v>Tue</v>
      </c>
      <c r="M612" s="4" t="s">
        <v>34</v>
      </c>
      <c r="N612" t="s">
        <v>36</v>
      </c>
      <c r="O612" t="s">
        <v>38</v>
      </c>
      <c r="P612" s="8">
        <v>4</v>
      </c>
      <c r="Q612" s="6">
        <v>0.95833333333333337</v>
      </c>
      <c r="R612" s="6">
        <v>59.5</v>
      </c>
      <c r="S612" s="6" t="str">
        <f>IF(Table2[[#This Row],[Avg_score]]&gt;=79,"Distinction",IF(Table2[[#This Row],[Avg_score]]&gt;=60,"Pass","Fail"))</f>
        <v>Fail</v>
      </c>
      <c r="T612" t="s">
        <v>39</v>
      </c>
      <c r="U612">
        <f>IF(Table2[[#This Row],[Completed]]="Yes",1,0)</f>
        <v>1</v>
      </c>
      <c r="V612" t="s">
        <v>39</v>
      </c>
      <c r="W612" t="s">
        <v>40</v>
      </c>
      <c r="X612" s="4">
        <v>45838</v>
      </c>
    </row>
    <row r="613" spans="1:24" x14ac:dyDescent="0.3">
      <c r="A613">
        <v>612</v>
      </c>
      <c r="B613" s="8">
        <v>204</v>
      </c>
      <c r="C613">
        <v>3</v>
      </c>
      <c r="D613" t="s">
        <v>21</v>
      </c>
      <c r="E613" t="s">
        <v>23</v>
      </c>
      <c r="F613">
        <v>21</v>
      </c>
      <c r="G613" t="str">
        <f>IF(Table2[[#This Row],[Age]]&gt;=30,"Experienced",IF(Table2[[#This Row],[Age]]&gt;=25,"Mid Level", "Entry Level"))</f>
        <v>Entry Level</v>
      </c>
      <c r="H613" t="s">
        <v>28</v>
      </c>
      <c r="I613" t="s">
        <v>44</v>
      </c>
      <c r="J613" s="4">
        <v>45804</v>
      </c>
      <c r="K613" s="4" t="str">
        <f>TEXT(Table2[[#This Row],[Enrollment_date]],"Mmm")</f>
        <v>May</v>
      </c>
      <c r="L613" s="4" t="str">
        <f>TEXT(Table2[[#This Row],[Enrollment_date]],"Ddd")</f>
        <v>Tue</v>
      </c>
      <c r="M613" s="4" t="s">
        <v>34</v>
      </c>
      <c r="N613" t="s">
        <v>37</v>
      </c>
      <c r="O613" t="s">
        <v>38</v>
      </c>
      <c r="P613" s="8">
        <v>4</v>
      </c>
      <c r="Q613" s="6">
        <v>0.77083333333333337</v>
      </c>
      <c r="R613" s="6">
        <v>75.5</v>
      </c>
      <c r="S613" s="6" t="str">
        <f>IF(Table2[[#This Row],[Avg_score]]&gt;=79,"Distinction",IF(Table2[[#This Row],[Avg_score]]&gt;=60,"Pass","Fail"))</f>
        <v>Pass</v>
      </c>
      <c r="T613" t="s">
        <v>39</v>
      </c>
      <c r="U613">
        <f>IF(Table2[[#This Row],[Completed]]="Yes",1,0)</f>
        <v>1</v>
      </c>
      <c r="V613" t="s">
        <v>39</v>
      </c>
      <c r="W613" t="s">
        <v>40</v>
      </c>
      <c r="X613" s="4">
        <v>45838</v>
      </c>
    </row>
    <row r="614" spans="1:24" x14ac:dyDescent="0.3">
      <c r="A614">
        <v>613</v>
      </c>
      <c r="B614" s="8">
        <v>205</v>
      </c>
      <c r="C614">
        <v>1</v>
      </c>
      <c r="D614" t="s">
        <v>19</v>
      </c>
      <c r="E614" t="s">
        <v>23</v>
      </c>
      <c r="F614">
        <v>27</v>
      </c>
      <c r="G614" t="str">
        <f>IF(Table2[[#This Row],[Age]]&gt;=30,"Experienced",IF(Table2[[#This Row],[Age]]&gt;=25,"Mid Level", "Entry Level"))</f>
        <v>Mid Level</v>
      </c>
      <c r="H614" t="s">
        <v>24</v>
      </c>
      <c r="I614" t="s">
        <v>30</v>
      </c>
      <c r="J614" s="4">
        <v>45663</v>
      </c>
      <c r="K614" s="4" t="str">
        <f>TEXT(Table2[[#This Row],[Enrollment_date]],"Mmm")</f>
        <v>Jan</v>
      </c>
      <c r="L614" s="4" t="str">
        <f>TEXT(Table2[[#This Row],[Enrollment_date]],"Ddd")</f>
        <v>Mon</v>
      </c>
      <c r="M614" s="4" t="s">
        <v>34</v>
      </c>
      <c r="N614" t="s">
        <v>35</v>
      </c>
      <c r="O614" t="s">
        <v>38</v>
      </c>
      <c r="P614" s="8">
        <v>4</v>
      </c>
      <c r="Q614" s="6">
        <v>0.89583333333333337</v>
      </c>
      <c r="R614" s="6">
        <v>70.5</v>
      </c>
      <c r="S614" s="6" t="str">
        <f>IF(Table2[[#This Row],[Avg_score]]&gt;=79,"Distinction",IF(Table2[[#This Row],[Avg_score]]&gt;=60,"Pass","Fail"))</f>
        <v>Pass</v>
      </c>
      <c r="T614" t="s">
        <v>40</v>
      </c>
      <c r="U614">
        <f>IF(Table2[[#This Row],[Completed]]="Yes",1,0)</f>
        <v>0</v>
      </c>
      <c r="V614" t="s">
        <v>40</v>
      </c>
      <c r="W614" t="s">
        <v>40</v>
      </c>
      <c r="X614" s="4">
        <v>45838</v>
      </c>
    </row>
    <row r="615" spans="1:24" x14ac:dyDescent="0.3">
      <c r="A615">
        <v>614</v>
      </c>
      <c r="B615" s="8">
        <v>205</v>
      </c>
      <c r="C615">
        <v>2</v>
      </c>
      <c r="D615" t="s">
        <v>19</v>
      </c>
      <c r="E615" t="s">
        <v>23</v>
      </c>
      <c r="F615">
        <v>27</v>
      </c>
      <c r="G615" t="str">
        <f>IF(Table2[[#This Row],[Age]]&gt;=30,"Experienced",IF(Table2[[#This Row],[Age]]&gt;=25,"Mid Level", "Entry Level"))</f>
        <v>Mid Level</v>
      </c>
      <c r="H615" t="s">
        <v>24</v>
      </c>
      <c r="I615" t="s">
        <v>30</v>
      </c>
      <c r="J615" s="4">
        <v>45663</v>
      </c>
      <c r="K615" s="4" t="str">
        <f>TEXT(Table2[[#This Row],[Enrollment_date]],"Mmm")</f>
        <v>Jan</v>
      </c>
      <c r="L615" s="4" t="str">
        <f>TEXT(Table2[[#This Row],[Enrollment_date]],"Ddd")</f>
        <v>Mon</v>
      </c>
      <c r="M615" s="4" t="s">
        <v>34</v>
      </c>
      <c r="N615" t="s">
        <v>36</v>
      </c>
      <c r="O615" t="s">
        <v>38</v>
      </c>
      <c r="P615" s="8">
        <v>4</v>
      </c>
      <c r="Q615" s="6">
        <v>0.85416666666666663</v>
      </c>
      <c r="R615" s="6">
        <v>75.5</v>
      </c>
      <c r="S615" s="6" t="str">
        <f>IF(Table2[[#This Row],[Avg_score]]&gt;=79,"Distinction",IF(Table2[[#This Row],[Avg_score]]&gt;=60,"Pass","Fail"))</f>
        <v>Pass</v>
      </c>
      <c r="T615" t="s">
        <v>40</v>
      </c>
      <c r="U615">
        <f>IF(Table2[[#This Row],[Completed]]="Yes",1,0)</f>
        <v>0</v>
      </c>
      <c r="V615" t="s">
        <v>40</v>
      </c>
      <c r="W615" t="s">
        <v>40</v>
      </c>
      <c r="X615" s="4">
        <v>45838</v>
      </c>
    </row>
    <row r="616" spans="1:24" x14ac:dyDescent="0.3">
      <c r="A616">
        <v>615</v>
      </c>
      <c r="B616" s="8">
        <v>205</v>
      </c>
      <c r="C616">
        <v>3</v>
      </c>
      <c r="D616" t="s">
        <v>21</v>
      </c>
      <c r="E616" t="s">
        <v>23</v>
      </c>
      <c r="F616">
        <v>27</v>
      </c>
      <c r="G616" t="str">
        <f>IF(Table2[[#This Row],[Age]]&gt;=30,"Experienced",IF(Table2[[#This Row],[Age]]&gt;=25,"Mid Level", "Entry Level"))</f>
        <v>Mid Level</v>
      </c>
      <c r="H616" t="s">
        <v>24</v>
      </c>
      <c r="I616" t="s">
        <v>30</v>
      </c>
      <c r="J616" s="4">
        <v>45663</v>
      </c>
      <c r="K616" s="4" t="str">
        <f>TEXT(Table2[[#This Row],[Enrollment_date]],"Mmm")</f>
        <v>Jan</v>
      </c>
      <c r="L616" s="4" t="str">
        <f>TEXT(Table2[[#This Row],[Enrollment_date]],"Ddd")</f>
        <v>Mon</v>
      </c>
      <c r="M616" s="4" t="s">
        <v>34</v>
      </c>
      <c r="N616" t="s">
        <v>37</v>
      </c>
      <c r="O616" t="s">
        <v>38</v>
      </c>
      <c r="P616" s="8">
        <v>4</v>
      </c>
      <c r="Q616" s="6">
        <v>0.85416666666666663</v>
      </c>
      <c r="R616" s="6">
        <v>74</v>
      </c>
      <c r="S616" s="6" t="str">
        <f>IF(Table2[[#This Row],[Avg_score]]&gt;=79,"Distinction",IF(Table2[[#This Row],[Avg_score]]&gt;=60,"Pass","Fail"))</f>
        <v>Pass</v>
      </c>
      <c r="T616" t="s">
        <v>40</v>
      </c>
      <c r="U616">
        <f>IF(Table2[[#This Row],[Completed]]="Yes",1,0)</f>
        <v>0</v>
      </c>
      <c r="V616" t="s">
        <v>40</v>
      </c>
      <c r="W616" t="s">
        <v>40</v>
      </c>
      <c r="X616" s="4">
        <v>45838</v>
      </c>
    </row>
    <row r="617" spans="1:24" x14ac:dyDescent="0.3">
      <c r="A617">
        <v>616</v>
      </c>
      <c r="B617" s="8">
        <v>206</v>
      </c>
      <c r="C617">
        <v>1</v>
      </c>
      <c r="D617" t="s">
        <v>19</v>
      </c>
      <c r="E617" t="s">
        <v>23</v>
      </c>
      <c r="F617">
        <v>26</v>
      </c>
      <c r="G617" t="str">
        <f>IF(Table2[[#This Row],[Age]]&gt;=30,"Experienced",IF(Table2[[#This Row],[Age]]&gt;=25,"Mid Level", "Entry Level"))</f>
        <v>Mid Level</v>
      </c>
      <c r="H617" t="s">
        <v>25</v>
      </c>
      <c r="I617" t="s">
        <v>68</v>
      </c>
      <c r="J617" s="4">
        <v>45785</v>
      </c>
      <c r="K617" s="4" t="str">
        <f>TEXT(Table2[[#This Row],[Enrollment_date]],"Mmm")</f>
        <v>May</v>
      </c>
      <c r="L617" s="4" t="str">
        <f>TEXT(Table2[[#This Row],[Enrollment_date]],"Ddd")</f>
        <v>Thu</v>
      </c>
      <c r="M617" s="4" t="s">
        <v>34</v>
      </c>
      <c r="N617" t="s">
        <v>35</v>
      </c>
      <c r="O617" t="s">
        <v>38</v>
      </c>
      <c r="P617" s="8">
        <v>4</v>
      </c>
      <c r="Q617" s="6">
        <v>0.83333333333333337</v>
      </c>
      <c r="R617" s="6">
        <v>65.5</v>
      </c>
      <c r="S617" s="6" t="str">
        <f>IF(Table2[[#This Row],[Avg_score]]&gt;=79,"Distinction",IF(Table2[[#This Row],[Avg_score]]&gt;=60,"Pass","Fail"))</f>
        <v>Pass</v>
      </c>
      <c r="T617" t="s">
        <v>39</v>
      </c>
      <c r="U617">
        <f>IF(Table2[[#This Row],[Completed]]="Yes",1,0)</f>
        <v>1</v>
      </c>
      <c r="V617" t="s">
        <v>39</v>
      </c>
      <c r="W617" t="s">
        <v>40</v>
      </c>
      <c r="X617" s="4">
        <v>45838</v>
      </c>
    </row>
    <row r="618" spans="1:24" x14ac:dyDescent="0.3">
      <c r="A618">
        <v>617</v>
      </c>
      <c r="B618" s="8">
        <v>206</v>
      </c>
      <c r="C618">
        <v>2</v>
      </c>
      <c r="D618" t="s">
        <v>19</v>
      </c>
      <c r="E618" t="s">
        <v>23</v>
      </c>
      <c r="F618">
        <v>26</v>
      </c>
      <c r="G618" t="str">
        <f>IF(Table2[[#This Row],[Age]]&gt;=30,"Experienced",IF(Table2[[#This Row],[Age]]&gt;=25,"Mid Level", "Entry Level"))</f>
        <v>Mid Level</v>
      </c>
      <c r="H618" t="s">
        <v>25</v>
      </c>
      <c r="I618" t="s">
        <v>68</v>
      </c>
      <c r="J618" s="4">
        <v>45785</v>
      </c>
      <c r="K618" s="4" t="str">
        <f>TEXT(Table2[[#This Row],[Enrollment_date]],"Mmm")</f>
        <v>May</v>
      </c>
      <c r="L618" s="4" t="str">
        <f>TEXT(Table2[[#This Row],[Enrollment_date]],"Ddd")</f>
        <v>Thu</v>
      </c>
      <c r="M618" s="4" t="s">
        <v>34</v>
      </c>
      <c r="N618" t="s">
        <v>36</v>
      </c>
      <c r="O618" t="s">
        <v>38</v>
      </c>
      <c r="P618" s="8">
        <v>4</v>
      </c>
      <c r="Q618" s="6">
        <v>0.85416666666666663</v>
      </c>
      <c r="R618" s="6">
        <v>75</v>
      </c>
      <c r="S618" s="6" t="str">
        <f>IF(Table2[[#This Row],[Avg_score]]&gt;=79,"Distinction",IF(Table2[[#This Row],[Avg_score]]&gt;=60,"Pass","Fail"))</f>
        <v>Pass</v>
      </c>
      <c r="T618" t="s">
        <v>39</v>
      </c>
      <c r="U618">
        <f>IF(Table2[[#This Row],[Completed]]="Yes",1,0)</f>
        <v>1</v>
      </c>
      <c r="V618" t="s">
        <v>39</v>
      </c>
      <c r="W618" t="s">
        <v>40</v>
      </c>
      <c r="X618" s="4">
        <v>45838</v>
      </c>
    </row>
    <row r="619" spans="1:24" x14ac:dyDescent="0.3">
      <c r="A619">
        <v>618</v>
      </c>
      <c r="B619" s="8">
        <v>206</v>
      </c>
      <c r="C619">
        <v>3</v>
      </c>
      <c r="D619" t="s">
        <v>19</v>
      </c>
      <c r="E619" t="s">
        <v>23</v>
      </c>
      <c r="F619">
        <v>26</v>
      </c>
      <c r="G619" t="str">
        <f>IF(Table2[[#This Row],[Age]]&gt;=30,"Experienced",IF(Table2[[#This Row],[Age]]&gt;=25,"Mid Level", "Entry Level"))</f>
        <v>Mid Level</v>
      </c>
      <c r="H619" t="s">
        <v>25</v>
      </c>
      <c r="I619" t="s">
        <v>68</v>
      </c>
      <c r="J619" s="4">
        <v>45785</v>
      </c>
      <c r="K619" s="4" t="str">
        <f>TEXT(Table2[[#This Row],[Enrollment_date]],"Mmm")</f>
        <v>May</v>
      </c>
      <c r="L619" s="4" t="str">
        <f>TEXT(Table2[[#This Row],[Enrollment_date]],"Ddd")</f>
        <v>Thu</v>
      </c>
      <c r="M619" s="4" t="s">
        <v>34</v>
      </c>
      <c r="N619" t="s">
        <v>37</v>
      </c>
      <c r="O619" t="s">
        <v>38</v>
      </c>
      <c r="P619" s="8">
        <v>4</v>
      </c>
      <c r="Q619" s="6">
        <v>0.85416666666666663</v>
      </c>
      <c r="R619" s="6">
        <v>59.5</v>
      </c>
      <c r="S619" s="6" t="str">
        <f>IF(Table2[[#This Row],[Avg_score]]&gt;=79,"Distinction",IF(Table2[[#This Row],[Avg_score]]&gt;=60,"Pass","Fail"))</f>
        <v>Fail</v>
      </c>
      <c r="T619" t="s">
        <v>39</v>
      </c>
      <c r="U619">
        <f>IF(Table2[[#This Row],[Completed]]="Yes",1,0)</f>
        <v>1</v>
      </c>
      <c r="V619" t="s">
        <v>39</v>
      </c>
      <c r="W619" t="s">
        <v>40</v>
      </c>
      <c r="X619" s="4">
        <v>45838</v>
      </c>
    </row>
    <row r="620" spans="1:24" x14ac:dyDescent="0.3">
      <c r="A620">
        <v>619</v>
      </c>
      <c r="B620" s="8">
        <v>207</v>
      </c>
      <c r="C620">
        <v>1</v>
      </c>
      <c r="D620" t="s">
        <v>19</v>
      </c>
      <c r="E620" t="s">
        <v>23</v>
      </c>
      <c r="F620">
        <v>25</v>
      </c>
      <c r="G620" t="str">
        <f>IF(Table2[[#This Row],[Age]]&gt;=30,"Experienced",IF(Table2[[#This Row],[Age]]&gt;=25,"Mid Level", "Entry Level"))</f>
        <v>Mid Level</v>
      </c>
      <c r="H620" t="s">
        <v>26</v>
      </c>
      <c r="I620" t="s">
        <v>30</v>
      </c>
      <c r="J620" s="4">
        <v>45714</v>
      </c>
      <c r="K620" s="4" t="str">
        <f>TEXT(Table2[[#This Row],[Enrollment_date]],"Mmm")</f>
        <v>Feb</v>
      </c>
      <c r="L620" s="4" t="str">
        <f>TEXT(Table2[[#This Row],[Enrollment_date]],"Ddd")</f>
        <v>Wed</v>
      </c>
      <c r="M620" s="4" t="s">
        <v>34</v>
      </c>
      <c r="N620" t="s">
        <v>35</v>
      </c>
      <c r="O620" t="s">
        <v>38</v>
      </c>
      <c r="P620" s="8">
        <v>4</v>
      </c>
      <c r="Q620" s="6">
        <v>0.77083333333333337</v>
      </c>
      <c r="R620" s="6">
        <v>76</v>
      </c>
      <c r="S620" s="6" t="str">
        <f>IF(Table2[[#This Row],[Avg_score]]&gt;=79,"Distinction",IF(Table2[[#This Row],[Avg_score]]&gt;=60,"Pass","Fail"))</f>
        <v>Pass</v>
      </c>
      <c r="T620" t="s">
        <v>39</v>
      </c>
      <c r="U620">
        <f>IF(Table2[[#This Row],[Completed]]="Yes",1,0)</f>
        <v>1</v>
      </c>
      <c r="V620" t="s">
        <v>40</v>
      </c>
      <c r="W620" t="s">
        <v>40</v>
      </c>
      <c r="X620" s="4">
        <v>45838</v>
      </c>
    </row>
    <row r="621" spans="1:24" x14ac:dyDescent="0.3">
      <c r="A621">
        <v>620</v>
      </c>
      <c r="B621" s="8">
        <v>207</v>
      </c>
      <c r="C621">
        <v>2</v>
      </c>
      <c r="D621" t="s">
        <v>21</v>
      </c>
      <c r="E621" t="s">
        <v>23</v>
      </c>
      <c r="F621">
        <v>25</v>
      </c>
      <c r="G621" t="str">
        <f>IF(Table2[[#This Row],[Age]]&gt;=30,"Experienced",IF(Table2[[#This Row],[Age]]&gt;=25,"Mid Level", "Entry Level"))</f>
        <v>Mid Level</v>
      </c>
      <c r="H621" t="s">
        <v>26</v>
      </c>
      <c r="I621" t="s">
        <v>30</v>
      </c>
      <c r="J621" s="4">
        <v>45714</v>
      </c>
      <c r="K621" s="4" t="str">
        <f>TEXT(Table2[[#This Row],[Enrollment_date]],"Mmm")</f>
        <v>Feb</v>
      </c>
      <c r="L621" s="4" t="str">
        <f>TEXT(Table2[[#This Row],[Enrollment_date]],"Ddd")</f>
        <v>Wed</v>
      </c>
      <c r="M621" s="4" t="s">
        <v>34</v>
      </c>
      <c r="N621" t="s">
        <v>36</v>
      </c>
      <c r="O621" t="s">
        <v>38</v>
      </c>
      <c r="P621" s="8">
        <v>4</v>
      </c>
      <c r="Q621" s="6">
        <v>0.77083333333333337</v>
      </c>
      <c r="R621" s="6">
        <v>82.5</v>
      </c>
      <c r="S621" s="6" t="str">
        <f>IF(Table2[[#This Row],[Avg_score]]&gt;=79,"Distinction",IF(Table2[[#This Row],[Avg_score]]&gt;=60,"Pass","Fail"))</f>
        <v>Distinction</v>
      </c>
      <c r="T621" t="s">
        <v>39</v>
      </c>
      <c r="U621">
        <f>IF(Table2[[#This Row],[Completed]]="Yes",1,0)</f>
        <v>1</v>
      </c>
      <c r="V621" t="s">
        <v>40</v>
      </c>
      <c r="W621" t="s">
        <v>40</v>
      </c>
      <c r="X621" s="4">
        <v>45838</v>
      </c>
    </row>
    <row r="622" spans="1:24" x14ac:dyDescent="0.3">
      <c r="A622">
        <v>621</v>
      </c>
      <c r="B622" s="8">
        <v>207</v>
      </c>
      <c r="C622">
        <v>3</v>
      </c>
      <c r="D622" t="s">
        <v>19</v>
      </c>
      <c r="E622" t="s">
        <v>23</v>
      </c>
      <c r="F622">
        <v>25</v>
      </c>
      <c r="G622" t="str">
        <f>IF(Table2[[#This Row],[Age]]&gt;=30,"Experienced",IF(Table2[[#This Row],[Age]]&gt;=25,"Mid Level", "Entry Level"))</f>
        <v>Mid Level</v>
      </c>
      <c r="H622" t="s">
        <v>26</v>
      </c>
      <c r="I622" t="s">
        <v>30</v>
      </c>
      <c r="J622" s="4">
        <v>45714</v>
      </c>
      <c r="K622" s="4" t="str">
        <f>TEXT(Table2[[#This Row],[Enrollment_date]],"Mmm")</f>
        <v>Feb</v>
      </c>
      <c r="L622" s="4" t="str">
        <f>TEXT(Table2[[#This Row],[Enrollment_date]],"Ddd")</f>
        <v>Wed</v>
      </c>
      <c r="M622" s="4" t="s">
        <v>34</v>
      </c>
      <c r="N622" t="s">
        <v>37</v>
      </c>
      <c r="O622" t="s">
        <v>38</v>
      </c>
      <c r="P622" s="8">
        <v>4</v>
      </c>
      <c r="Q622" s="6">
        <v>0.77083333333333337</v>
      </c>
      <c r="R622" s="6">
        <v>69</v>
      </c>
      <c r="S622" s="6" t="str">
        <f>IF(Table2[[#This Row],[Avg_score]]&gt;=79,"Distinction",IF(Table2[[#This Row],[Avg_score]]&gt;=60,"Pass","Fail"))</f>
        <v>Pass</v>
      </c>
      <c r="T622" t="s">
        <v>39</v>
      </c>
      <c r="U622">
        <f>IF(Table2[[#This Row],[Completed]]="Yes",1,0)</f>
        <v>1</v>
      </c>
      <c r="V622" t="s">
        <v>40</v>
      </c>
      <c r="W622" t="s">
        <v>40</v>
      </c>
      <c r="X622" s="4">
        <v>45838</v>
      </c>
    </row>
    <row r="623" spans="1:24" x14ac:dyDescent="0.3">
      <c r="A623">
        <v>622</v>
      </c>
      <c r="B623" s="8">
        <v>208</v>
      </c>
      <c r="C623">
        <v>1</v>
      </c>
      <c r="D623" t="s">
        <v>19</v>
      </c>
      <c r="E623" t="s">
        <v>22</v>
      </c>
      <c r="F623">
        <v>26</v>
      </c>
      <c r="G623" t="str">
        <f>IF(Table2[[#This Row],[Age]]&gt;=30,"Experienced",IF(Table2[[#This Row],[Age]]&gt;=25,"Mid Level", "Entry Level"))</f>
        <v>Mid Level</v>
      </c>
      <c r="H623" t="s">
        <v>24</v>
      </c>
      <c r="I623" t="s">
        <v>32</v>
      </c>
      <c r="J623" s="4">
        <v>45682</v>
      </c>
      <c r="K623" s="4" t="str">
        <f>TEXT(Table2[[#This Row],[Enrollment_date]],"Mmm")</f>
        <v>Jan</v>
      </c>
      <c r="L623" s="4" t="str">
        <f>TEXT(Table2[[#This Row],[Enrollment_date]],"Ddd")</f>
        <v>Sat</v>
      </c>
      <c r="M623" s="4" t="s">
        <v>34</v>
      </c>
      <c r="N623" t="s">
        <v>35</v>
      </c>
      <c r="O623" t="s">
        <v>38</v>
      </c>
      <c r="P623" s="8">
        <v>4</v>
      </c>
      <c r="Q623" s="6">
        <v>0.89583333333333337</v>
      </c>
      <c r="R623" s="6">
        <v>77.5</v>
      </c>
      <c r="S623" s="6" t="str">
        <f>IF(Table2[[#This Row],[Avg_score]]&gt;=79,"Distinction",IF(Table2[[#This Row],[Avg_score]]&gt;=60,"Pass","Fail"))</f>
        <v>Pass</v>
      </c>
      <c r="T623" t="s">
        <v>39</v>
      </c>
      <c r="U623">
        <f>IF(Table2[[#This Row],[Completed]]="Yes",1,0)</f>
        <v>1</v>
      </c>
      <c r="V623" t="s">
        <v>39</v>
      </c>
      <c r="W623" t="s">
        <v>40</v>
      </c>
      <c r="X623" s="4">
        <v>45838</v>
      </c>
    </row>
    <row r="624" spans="1:24" x14ac:dyDescent="0.3">
      <c r="A624">
        <v>623</v>
      </c>
      <c r="B624" s="8">
        <v>208</v>
      </c>
      <c r="C624">
        <v>2</v>
      </c>
      <c r="D624" t="s">
        <v>19</v>
      </c>
      <c r="E624" t="s">
        <v>22</v>
      </c>
      <c r="F624">
        <v>26</v>
      </c>
      <c r="G624" t="str">
        <f>IF(Table2[[#This Row],[Age]]&gt;=30,"Experienced",IF(Table2[[#This Row],[Age]]&gt;=25,"Mid Level", "Entry Level"))</f>
        <v>Mid Level</v>
      </c>
      <c r="H624" t="s">
        <v>24</v>
      </c>
      <c r="I624" t="s">
        <v>32</v>
      </c>
      <c r="J624" s="4">
        <v>45682</v>
      </c>
      <c r="K624" s="4" t="str">
        <f>TEXT(Table2[[#This Row],[Enrollment_date]],"Mmm")</f>
        <v>Jan</v>
      </c>
      <c r="L624" s="4" t="str">
        <f>TEXT(Table2[[#This Row],[Enrollment_date]],"Ddd")</f>
        <v>Sat</v>
      </c>
      <c r="M624" s="4" t="s">
        <v>34</v>
      </c>
      <c r="N624" t="s">
        <v>36</v>
      </c>
      <c r="O624" t="s">
        <v>38</v>
      </c>
      <c r="P624" s="8">
        <v>4</v>
      </c>
      <c r="Q624" s="6">
        <v>0.75</v>
      </c>
      <c r="R624" s="6">
        <v>69.5</v>
      </c>
      <c r="S624" s="6" t="str">
        <f>IF(Table2[[#This Row],[Avg_score]]&gt;=79,"Distinction",IF(Table2[[#This Row],[Avg_score]]&gt;=60,"Pass","Fail"))</f>
        <v>Pass</v>
      </c>
      <c r="T624" t="s">
        <v>39</v>
      </c>
      <c r="U624">
        <f>IF(Table2[[#This Row],[Completed]]="Yes",1,0)</f>
        <v>1</v>
      </c>
      <c r="V624" t="s">
        <v>39</v>
      </c>
      <c r="W624" t="s">
        <v>40</v>
      </c>
      <c r="X624" s="4">
        <v>45838</v>
      </c>
    </row>
    <row r="625" spans="1:24" x14ac:dyDescent="0.3">
      <c r="A625">
        <v>624</v>
      </c>
      <c r="B625" s="8">
        <v>208</v>
      </c>
      <c r="C625">
        <v>3</v>
      </c>
      <c r="D625" t="s">
        <v>19</v>
      </c>
      <c r="E625" t="s">
        <v>22</v>
      </c>
      <c r="F625">
        <v>26</v>
      </c>
      <c r="G625" t="str">
        <f>IF(Table2[[#This Row],[Age]]&gt;=30,"Experienced",IF(Table2[[#This Row],[Age]]&gt;=25,"Mid Level", "Entry Level"))</f>
        <v>Mid Level</v>
      </c>
      <c r="H625" t="s">
        <v>24</v>
      </c>
      <c r="I625" t="s">
        <v>32</v>
      </c>
      <c r="J625" s="4">
        <v>45682</v>
      </c>
      <c r="K625" s="4" t="str">
        <f>TEXT(Table2[[#This Row],[Enrollment_date]],"Mmm")</f>
        <v>Jan</v>
      </c>
      <c r="L625" s="4" t="str">
        <f>TEXT(Table2[[#This Row],[Enrollment_date]],"Ddd")</f>
        <v>Sat</v>
      </c>
      <c r="M625" s="4" t="s">
        <v>34</v>
      </c>
      <c r="N625" t="s">
        <v>37</v>
      </c>
      <c r="O625" t="s">
        <v>38</v>
      </c>
      <c r="P625" s="8">
        <v>4</v>
      </c>
      <c r="Q625" s="6">
        <v>0.75</v>
      </c>
      <c r="R625" s="6">
        <v>58</v>
      </c>
      <c r="S625" s="6" t="str">
        <f>IF(Table2[[#This Row],[Avg_score]]&gt;=79,"Distinction",IF(Table2[[#This Row],[Avg_score]]&gt;=60,"Pass","Fail"))</f>
        <v>Fail</v>
      </c>
      <c r="T625" t="s">
        <v>39</v>
      </c>
      <c r="U625">
        <f>IF(Table2[[#This Row],[Completed]]="Yes",1,0)</f>
        <v>1</v>
      </c>
      <c r="V625" t="s">
        <v>39</v>
      </c>
      <c r="W625" t="s">
        <v>40</v>
      </c>
      <c r="X625" s="4">
        <v>45838</v>
      </c>
    </row>
    <row r="626" spans="1:24" x14ac:dyDescent="0.3">
      <c r="A626">
        <v>625</v>
      </c>
      <c r="B626" s="8">
        <v>209</v>
      </c>
      <c r="C626">
        <v>1</v>
      </c>
      <c r="D626" t="s">
        <v>19</v>
      </c>
      <c r="E626" t="s">
        <v>22</v>
      </c>
      <c r="F626">
        <v>27</v>
      </c>
      <c r="G626" t="str">
        <f>IF(Table2[[#This Row],[Age]]&gt;=30,"Experienced",IF(Table2[[#This Row],[Age]]&gt;=25,"Mid Level", "Entry Level"))</f>
        <v>Mid Level</v>
      </c>
      <c r="H626" t="s">
        <v>27</v>
      </c>
      <c r="I626" t="s">
        <v>68</v>
      </c>
      <c r="J626" s="4">
        <v>45806</v>
      </c>
      <c r="K626" s="4" t="str">
        <f>TEXT(Table2[[#This Row],[Enrollment_date]],"Mmm")</f>
        <v>May</v>
      </c>
      <c r="L626" s="4" t="str">
        <f>TEXT(Table2[[#This Row],[Enrollment_date]],"Ddd")</f>
        <v>Thu</v>
      </c>
      <c r="M626" s="4" t="s">
        <v>34</v>
      </c>
      <c r="N626" t="s">
        <v>35</v>
      </c>
      <c r="O626" t="s">
        <v>38</v>
      </c>
      <c r="P626" s="8">
        <v>4</v>
      </c>
      <c r="Q626" s="6">
        <v>0.70833333333333337</v>
      </c>
      <c r="R626" s="6">
        <v>71.5</v>
      </c>
      <c r="S626" s="6" t="str">
        <f>IF(Table2[[#This Row],[Avg_score]]&gt;=79,"Distinction",IF(Table2[[#This Row],[Avg_score]]&gt;=60,"Pass","Fail"))</f>
        <v>Pass</v>
      </c>
      <c r="T626" t="s">
        <v>39</v>
      </c>
      <c r="U626">
        <f>IF(Table2[[#This Row],[Completed]]="Yes",1,0)</f>
        <v>1</v>
      </c>
      <c r="V626" t="s">
        <v>40</v>
      </c>
      <c r="W626" t="s">
        <v>40</v>
      </c>
      <c r="X626" s="4">
        <v>45838</v>
      </c>
    </row>
    <row r="627" spans="1:24" x14ac:dyDescent="0.3">
      <c r="A627">
        <v>626</v>
      </c>
      <c r="B627" s="8">
        <v>209</v>
      </c>
      <c r="C627">
        <v>2</v>
      </c>
      <c r="D627" t="s">
        <v>19</v>
      </c>
      <c r="E627" t="s">
        <v>22</v>
      </c>
      <c r="F627">
        <v>27</v>
      </c>
      <c r="G627" t="str">
        <f>IF(Table2[[#This Row],[Age]]&gt;=30,"Experienced",IF(Table2[[#This Row],[Age]]&gt;=25,"Mid Level", "Entry Level"))</f>
        <v>Mid Level</v>
      </c>
      <c r="H627" t="s">
        <v>27</v>
      </c>
      <c r="I627" t="s">
        <v>68</v>
      </c>
      <c r="J627" s="4">
        <v>45806</v>
      </c>
      <c r="K627" s="4" t="str">
        <f>TEXT(Table2[[#This Row],[Enrollment_date]],"Mmm")</f>
        <v>May</v>
      </c>
      <c r="L627" s="4" t="str">
        <f>TEXT(Table2[[#This Row],[Enrollment_date]],"Ddd")</f>
        <v>Thu</v>
      </c>
      <c r="M627" s="4" t="s">
        <v>34</v>
      </c>
      <c r="N627" t="s">
        <v>36</v>
      </c>
      <c r="O627" t="s">
        <v>38</v>
      </c>
      <c r="P627" s="8">
        <v>4</v>
      </c>
      <c r="Q627" s="6">
        <v>0.72916666666666663</v>
      </c>
      <c r="R627" s="6">
        <v>78</v>
      </c>
      <c r="S627" s="6" t="str">
        <f>IF(Table2[[#This Row],[Avg_score]]&gt;=79,"Distinction",IF(Table2[[#This Row],[Avg_score]]&gt;=60,"Pass","Fail"))</f>
        <v>Pass</v>
      </c>
      <c r="T627" t="s">
        <v>39</v>
      </c>
      <c r="U627">
        <f>IF(Table2[[#This Row],[Completed]]="Yes",1,0)</f>
        <v>1</v>
      </c>
      <c r="V627" t="s">
        <v>40</v>
      </c>
      <c r="W627" t="s">
        <v>40</v>
      </c>
      <c r="X627" s="4">
        <v>45838</v>
      </c>
    </row>
    <row r="628" spans="1:24" x14ac:dyDescent="0.3">
      <c r="A628">
        <v>627</v>
      </c>
      <c r="B628" s="8">
        <v>209</v>
      </c>
      <c r="C628">
        <v>3</v>
      </c>
      <c r="D628" t="s">
        <v>21</v>
      </c>
      <c r="E628" t="s">
        <v>22</v>
      </c>
      <c r="F628">
        <v>27</v>
      </c>
      <c r="G628" t="str">
        <f>IF(Table2[[#This Row],[Age]]&gt;=30,"Experienced",IF(Table2[[#This Row],[Age]]&gt;=25,"Mid Level", "Entry Level"))</f>
        <v>Mid Level</v>
      </c>
      <c r="H628" t="s">
        <v>27</v>
      </c>
      <c r="I628" t="s">
        <v>68</v>
      </c>
      <c r="J628" s="4">
        <v>45806</v>
      </c>
      <c r="K628" s="4" t="str">
        <f>TEXT(Table2[[#This Row],[Enrollment_date]],"Mmm")</f>
        <v>May</v>
      </c>
      <c r="L628" s="4" t="str">
        <f>TEXT(Table2[[#This Row],[Enrollment_date]],"Ddd")</f>
        <v>Thu</v>
      </c>
      <c r="M628" s="4" t="s">
        <v>34</v>
      </c>
      <c r="N628" t="s">
        <v>37</v>
      </c>
      <c r="O628" t="s">
        <v>38</v>
      </c>
      <c r="P628" s="8">
        <v>4</v>
      </c>
      <c r="Q628" s="6">
        <v>0.8125</v>
      </c>
      <c r="R628" s="6">
        <v>52.5</v>
      </c>
      <c r="S628" s="6" t="str">
        <f>IF(Table2[[#This Row],[Avg_score]]&gt;=79,"Distinction",IF(Table2[[#This Row],[Avg_score]]&gt;=60,"Pass","Fail"))</f>
        <v>Fail</v>
      </c>
      <c r="T628" t="s">
        <v>39</v>
      </c>
      <c r="U628">
        <f>IF(Table2[[#This Row],[Completed]]="Yes",1,0)</f>
        <v>1</v>
      </c>
      <c r="V628" t="s">
        <v>40</v>
      </c>
      <c r="W628" t="s">
        <v>40</v>
      </c>
      <c r="X628" s="4">
        <v>45838</v>
      </c>
    </row>
    <row r="629" spans="1:24" x14ac:dyDescent="0.3">
      <c r="A629">
        <v>628</v>
      </c>
      <c r="B629" s="8">
        <v>210</v>
      </c>
      <c r="C629">
        <v>1</v>
      </c>
      <c r="D629" t="s">
        <v>19</v>
      </c>
      <c r="E629" t="s">
        <v>23</v>
      </c>
      <c r="F629">
        <v>22</v>
      </c>
      <c r="G629" t="str">
        <f>IF(Table2[[#This Row],[Age]]&gt;=30,"Experienced",IF(Table2[[#This Row],[Age]]&gt;=25,"Mid Level", "Entry Level"))</f>
        <v>Entry Level</v>
      </c>
      <c r="H629" t="s">
        <v>25</v>
      </c>
      <c r="I629" t="s">
        <v>30</v>
      </c>
      <c r="J629" s="4">
        <v>45741</v>
      </c>
      <c r="K629" s="4" t="str">
        <f>TEXT(Table2[[#This Row],[Enrollment_date]],"Mmm")</f>
        <v>Mar</v>
      </c>
      <c r="L629" s="4" t="str">
        <f>TEXT(Table2[[#This Row],[Enrollment_date]],"Ddd")</f>
        <v>Tue</v>
      </c>
      <c r="M629" s="4" t="s">
        <v>34</v>
      </c>
      <c r="N629" t="s">
        <v>35</v>
      </c>
      <c r="O629" t="s">
        <v>38</v>
      </c>
      <c r="P629" s="8">
        <v>4</v>
      </c>
      <c r="Q629" s="6">
        <v>0.89583333333333337</v>
      </c>
      <c r="R629" s="6">
        <v>75.5</v>
      </c>
      <c r="S629" s="6" t="str">
        <f>IF(Table2[[#This Row],[Avg_score]]&gt;=79,"Distinction",IF(Table2[[#This Row],[Avg_score]]&gt;=60,"Pass","Fail"))</f>
        <v>Pass</v>
      </c>
      <c r="T629" t="s">
        <v>40</v>
      </c>
      <c r="U629">
        <f>IF(Table2[[#This Row],[Completed]]="Yes",1,0)</f>
        <v>0</v>
      </c>
      <c r="V629" t="s">
        <v>40</v>
      </c>
      <c r="W629" t="s">
        <v>40</v>
      </c>
      <c r="X629" s="4">
        <v>45838</v>
      </c>
    </row>
    <row r="630" spans="1:24" x14ac:dyDescent="0.3">
      <c r="A630">
        <v>629</v>
      </c>
      <c r="B630" s="8">
        <v>210</v>
      </c>
      <c r="C630">
        <v>2</v>
      </c>
      <c r="D630" t="s">
        <v>21</v>
      </c>
      <c r="E630" t="s">
        <v>23</v>
      </c>
      <c r="F630">
        <v>22</v>
      </c>
      <c r="G630" t="str">
        <f>IF(Table2[[#This Row],[Age]]&gt;=30,"Experienced",IF(Table2[[#This Row],[Age]]&gt;=25,"Mid Level", "Entry Level"))</f>
        <v>Entry Level</v>
      </c>
      <c r="H630" t="s">
        <v>25</v>
      </c>
      <c r="I630" t="s">
        <v>30</v>
      </c>
      <c r="J630" s="4">
        <v>45741</v>
      </c>
      <c r="K630" s="4" t="str">
        <f>TEXT(Table2[[#This Row],[Enrollment_date]],"Mmm")</f>
        <v>Mar</v>
      </c>
      <c r="L630" s="4" t="str">
        <f>TEXT(Table2[[#This Row],[Enrollment_date]],"Ddd")</f>
        <v>Tue</v>
      </c>
      <c r="M630" s="4" t="s">
        <v>34</v>
      </c>
      <c r="N630" t="s">
        <v>36</v>
      </c>
      <c r="O630" t="s">
        <v>38</v>
      </c>
      <c r="P630" s="8">
        <v>4</v>
      </c>
      <c r="Q630" s="6">
        <v>0.875</v>
      </c>
      <c r="R630" s="6">
        <v>55</v>
      </c>
      <c r="S630" s="6" t="str">
        <f>IF(Table2[[#This Row],[Avg_score]]&gt;=79,"Distinction",IF(Table2[[#This Row],[Avg_score]]&gt;=60,"Pass","Fail"))</f>
        <v>Fail</v>
      </c>
      <c r="T630" t="s">
        <v>40</v>
      </c>
      <c r="U630">
        <f>IF(Table2[[#This Row],[Completed]]="Yes",1,0)</f>
        <v>0</v>
      </c>
      <c r="V630" t="s">
        <v>40</v>
      </c>
      <c r="W630" t="s">
        <v>40</v>
      </c>
      <c r="X630" s="4">
        <v>45838</v>
      </c>
    </row>
    <row r="631" spans="1:24" x14ac:dyDescent="0.3">
      <c r="A631">
        <v>630</v>
      </c>
      <c r="B631" s="8">
        <v>210</v>
      </c>
      <c r="C631">
        <v>3</v>
      </c>
      <c r="D631" t="s">
        <v>21</v>
      </c>
      <c r="E631" t="s">
        <v>23</v>
      </c>
      <c r="F631">
        <v>22</v>
      </c>
      <c r="G631" t="str">
        <f>IF(Table2[[#This Row],[Age]]&gt;=30,"Experienced",IF(Table2[[#This Row],[Age]]&gt;=25,"Mid Level", "Entry Level"))</f>
        <v>Entry Level</v>
      </c>
      <c r="H631" t="s">
        <v>25</v>
      </c>
      <c r="I631" t="s">
        <v>30</v>
      </c>
      <c r="J631" s="4">
        <v>45741</v>
      </c>
      <c r="K631" s="4" t="str">
        <f>TEXT(Table2[[#This Row],[Enrollment_date]],"Mmm")</f>
        <v>Mar</v>
      </c>
      <c r="L631" s="4" t="str">
        <f>TEXT(Table2[[#This Row],[Enrollment_date]],"Ddd")</f>
        <v>Tue</v>
      </c>
      <c r="M631" s="4" t="s">
        <v>34</v>
      </c>
      <c r="N631" t="s">
        <v>37</v>
      </c>
      <c r="O631" t="s">
        <v>38</v>
      </c>
      <c r="P631" s="8">
        <v>4</v>
      </c>
      <c r="Q631" s="6">
        <v>0.83333333333333337</v>
      </c>
      <c r="R631" s="6">
        <v>80</v>
      </c>
      <c r="S631" s="6" t="str">
        <f>IF(Table2[[#This Row],[Avg_score]]&gt;=79,"Distinction",IF(Table2[[#This Row],[Avg_score]]&gt;=60,"Pass","Fail"))</f>
        <v>Distinction</v>
      </c>
      <c r="T631" t="s">
        <v>40</v>
      </c>
      <c r="U631">
        <f>IF(Table2[[#This Row],[Completed]]="Yes",1,0)</f>
        <v>0</v>
      </c>
      <c r="V631" t="s">
        <v>40</v>
      </c>
      <c r="W631" t="s">
        <v>40</v>
      </c>
      <c r="X631" s="4">
        <v>45838</v>
      </c>
    </row>
    <row r="632" spans="1:24" x14ac:dyDescent="0.3">
      <c r="A632">
        <v>631</v>
      </c>
      <c r="B632" s="8">
        <v>211</v>
      </c>
      <c r="C632">
        <v>1</v>
      </c>
      <c r="D632" t="s">
        <v>19</v>
      </c>
      <c r="E632" t="s">
        <v>23</v>
      </c>
      <c r="F632">
        <v>23</v>
      </c>
      <c r="G632" t="str">
        <f>IF(Table2[[#This Row],[Age]]&gt;=30,"Experienced",IF(Table2[[#This Row],[Age]]&gt;=25,"Mid Level", "Entry Level"))</f>
        <v>Entry Level</v>
      </c>
      <c r="H632" t="s">
        <v>28</v>
      </c>
      <c r="I632" t="s">
        <v>32</v>
      </c>
      <c r="J632" s="4">
        <v>45796</v>
      </c>
      <c r="K632" s="4" t="str">
        <f>TEXT(Table2[[#This Row],[Enrollment_date]],"Mmm")</f>
        <v>May</v>
      </c>
      <c r="L632" s="4" t="str">
        <f>TEXT(Table2[[#This Row],[Enrollment_date]],"Ddd")</f>
        <v>Mon</v>
      </c>
      <c r="M632" s="4" t="s">
        <v>34</v>
      </c>
      <c r="N632" t="s">
        <v>35</v>
      </c>
      <c r="O632" t="s">
        <v>38</v>
      </c>
      <c r="P632" s="8">
        <v>4</v>
      </c>
      <c r="Q632" s="6">
        <v>0.75</v>
      </c>
      <c r="R632" s="6">
        <v>57.5</v>
      </c>
      <c r="S632" s="6" t="str">
        <f>IF(Table2[[#This Row],[Avg_score]]&gt;=79,"Distinction",IF(Table2[[#This Row],[Avg_score]]&gt;=60,"Pass","Fail"))</f>
        <v>Fail</v>
      </c>
      <c r="T632" t="s">
        <v>39</v>
      </c>
      <c r="U632">
        <f>IF(Table2[[#This Row],[Completed]]="Yes",1,0)</f>
        <v>1</v>
      </c>
      <c r="V632" t="s">
        <v>40</v>
      </c>
      <c r="W632" t="s">
        <v>39</v>
      </c>
      <c r="X632" s="4">
        <v>45838</v>
      </c>
    </row>
    <row r="633" spans="1:24" x14ac:dyDescent="0.3">
      <c r="A633">
        <v>632</v>
      </c>
      <c r="B633" s="8">
        <v>211</v>
      </c>
      <c r="C633">
        <v>2</v>
      </c>
      <c r="D633" t="s">
        <v>19</v>
      </c>
      <c r="E633" t="s">
        <v>23</v>
      </c>
      <c r="F633">
        <v>23</v>
      </c>
      <c r="G633" t="str">
        <f>IF(Table2[[#This Row],[Age]]&gt;=30,"Experienced",IF(Table2[[#This Row],[Age]]&gt;=25,"Mid Level", "Entry Level"))</f>
        <v>Entry Level</v>
      </c>
      <c r="H633" t="s">
        <v>28</v>
      </c>
      <c r="I633" t="s">
        <v>32</v>
      </c>
      <c r="J633" s="4">
        <v>45796</v>
      </c>
      <c r="K633" s="4" t="str">
        <f>TEXT(Table2[[#This Row],[Enrollment_date]],"Mmm")</f>
        <v>May</v>
      </c>
      <c r="L633" s="4" t="str">
        <f>TEXT(Table2[[#This Row],[Enrollment_date]],"Ddd")</f>
        <v>Mon</v>
      </c>
      <c r="M633" s="4" t="s">
        <v>34</v>
      </c>
      <c r="N633" t="s">
        <v>36</v>
      </c>
      <c r="O633" t="s">
        <v>38</v>
      </c>
      <c r="P633" s="8">
        <v>4</v>
      </c>
      <c r="Q633" s="6">
        <v>0.85416666666666663</v>
      </c>
      <c r="R633" s="6">
        <v>76</v>
      </c>
      <c r="S633" s="6" t="str">
        <f>IF(Table2[[#This Row],[Avg_score]]&gt;=79,"Distinction",IF(Table2[[#This Row],[Avg_score]]&gt;=60,"Pass","Fail"))</f>
        <v>Pass</v>
      </c>
      <c r="T633" t="s">
        <v>39</v>
      </c>
      <c r="U633">
        <f>IF(Table2[[#This Row],[Completed]]="Yes",1,0)</f>
        <v>1</v>
      </c>
      <c r="V633" t="s">
        <v>40</v>
      </c>
      <c r="W633" t="s">
        <v>39</v>
      </c>
      <c r="X633" s="4">
        <v>45838</v>
      </c>
    </row>
    <row r="634" spans="1:24" x14ac:dyDescent="0.3">
      <c r="A634">
        <v>633</v>
      </c>
      <c r="B634" s="8">
        <v>211</v>
      </c>
      <c r="C634">
        <v>3</v>
      </c>
      <c r="D634" t="s">
        <v>19</v>
      </c>
      <c r="E634" t="s">
        <v>23</v>
      </c>
      <c r="F634">
        <v>23</v>
      </c>
      <c r="G634" t="str">
        <f>IF(Table2[[#This Row],[Age]]&gt;=30,"Experienced",IF(Table2[[#This Row],[Age]]&gt;=25,"Mid Level", "Entry Level"))</f>
        <v>Entry Level</v>
      </c>
      <c r="H634" t="s">
        <v>28</v>
      </c>
      <c r="I634" t="s">
        <v>32</v>
      </c>
      <c r="J634" s="4">
        <v>45796</v>
      </c>
      <c r="K634" s="4" t="str">
        <f>TEXT(Table2[[#This Row],[Enrollment_date]],"Mmm")</f>
        <v>May</v>
      </c>
      <c r="L634" s="4" t="str">
        <f>TEXT(Table2[[#This Row],[Enrollment_date]],"Ddd")</f>
        <v>Mon</v>
      </c>
      <c r="M634" s="4" t="s">
        <v>34</v>
      </c>
      <c r="N634" t="s">
        <v>37</v>
      </c>
      <c r="O634" t="s">
        <v>38</v>
      </c>
      <c r="P634" s="8">
        <v>4</v>
      </c>
      <c r="Q634" s="6">
        <v>0.89583333333333337</v>
      </c>
      <c r="R634" s="6">
        <v>60</v>
      </c>
      <c r="S634" s="6" t="str">
        <f>IF(Table2[[#This Row],[Avg_score]]&gt;=79,"Distinction",IF(Table2[[#This Row],[Avg_score]]&gt;=60,"Pass","Fail"))</f>
        <v>Pass</v>
      </c>
      <c r="T634" t="s">
        <v>39</v>
      </c>
      <c r="U634">
        <f>IF(Table2[[#This Row],[Completed]]="Yes",1,0)</f>
        <v>1</v>
      </c>
      <c r="V634" t="s">
        <v>40</v>
      </c>
      <c r="W634" t="s">
        <v>39</v>
      </c>
      <c r="X634" s="4">
        <v>45838</v>
      </c>
    </row>
    <row r="635" spans="1:24" x14ac:dyDescent="0.3">
      <c r="A635">
        <v>634</v>
      </c>
      <c r="B635" s="8">
        <v>212</v>
      </c>
      <c r="C635">
        <v>1</v>
      </c>
      <c r="D635" t="s">
        <v>19</v>
      </c>
      <c r="E635" t="s">
        <v>23</v>
      </c>
      <c r="F635">
        <v>34</v>
      </c>
      <c r="G635" t="str">
        <f>IF(Table2[[#This Row],[Age]]&gt;=30,"Experienced",IF(Table2[[#This Row],[Age]]&gt;=25,"Mid Level", "Entry Level"))</f>
        <v>Experienced</v>
      </c>
      <c r="H635" t="s">
        <v>26</v>
      </c>
      <c r="I635" t="s">
        <v>30</v>
      </c>
      <c r="J635" s="4">
        <v>45700</v>
      </c>
      <c r="K635" s="4" t="str">
        <f>TEXT(Table2[[#This Row],[Enrollment_date]],"Mmm")</f>
        <v>Feb</v>
      </c>
      <c r="L635" s="4" t="str">
        <f>TEXT(Table2[[#This Row],[Enrollment_date]],"Ddd")</f>
        <v>Wed</v>
      </c>
      <c r="M635" s="4" t="s">
        <v>34</v>
      </c>
      <c r="N635" t="s">
        <v>35</v>
      </c>
      <c r="O635" t="s">
        <v>38</v>
      </c>
      <c r="P635" s="8">
        <v>4</v>
      </c>
      <c r="Q635" s="6">
        <v>0.8125</v>
      </c>
      <c r="R635" s="6">
        <v>85</v>
      </c>
      <c r="S635" s="6" t="str">
        <f>IF(Table2[[#This Row],[Avg_score]]&gt;=79,"Distinction",IF(Table2[[#This Row],[Avg_score]]&gt;=60,"Pass","Fail"))</f>
        <v>Distinction</v>
      </c>
      <c r="T635" t="s">
        <v>39</v>
      </c>
      <c r="U635">
        <f>IF(Table2[[#This Row],[Completed]]="Yes",1,0)</f>
        <v>1</v>
      </c>
      <c r="V635" t="s">
        <v>39</v>
      </c>
      <c r="W635" t="s">
        <v>40</v>
      </c>
      <c r="X635" s="4">
        <v>45838</v>
      </c>
    </row>
    <row r="636" spans="1:24" x14ac:dyDescent="0.3">
      <c r="A636">
        <v>635</v>
      </c>
      <c r="B636" s="8">
        <v>212</v>
      </c>
      <c r="C636">
        <v>2</v>
      </c>
      <c r="D636" t="s">
        <v>19</v>
      </c>
      <c r="E636" t="s">
        <v>23</v>
      </c>
      <c r="F636">
        <v>34</v>
      </c>
      <c r="G636" t="str">
        <f>IF(Table2[[#This Row],[Age]]&gt;=30,"Experienced",IF(Table2[[#This Row],[Age]]&gt;=25,"Mid Level", "Entry Level"))</f>
        <v>Experienced</v>
      </c>
      <c r="H636" t="s">
        <v>26</v>
      </c>
      <c r="I636" t="s">
        <v>30</v>
      </c>
      <c r="J636" s="4">
        <v>45700</v>
      </c>
      <c r="K636" s="4" t="str">
        <f>TEXT(Table2[[#This Row],[Enrollment_date]],"Mmm")</f>
        <v>Feb</v>
      </c>
      <c r="L636" s="4" t="str">
        <f>TEXT(Table2[[#This Row],[Enrollment_date]],"Ddd")</f>
        <v>Wed</v>
      </c>
      <c r="M636" s="4" t="s">
        <v>34</v>
      </c>
      <c r="N636" t="s">
        <v>36</v>
      </c>
      <c r="O636" t="s">
        <v>38</v>
      </c>
      <c r="P636" s="8">
        <v>4</v>
      </c>
      <c r="Q636" s="6">
        <v>0.72916666666666663</v>
      </c>
      <c r="R636" s="6">
        <v>75</v>
      </c>
      <c r="S636" s="6" t="str">
        <f>IF(Table2[[#This Row],[Avg_score]]&gt;=79,"Distinction",IF(Table2[[#This Row],[Avg_score]]&gt;=60,"Pass","Fail"))</f>
        <v>Pass</v>
      </c>
      <c r="T636" t="s">
        <v>39</v>
      </c>
      <c r="U636">
        <f>IF(Table2[[#This Row],[Completed]]="Yes",1,0)</f>
        <v>1</v>
      </c>
      <c r="V636" t="s">
        <v>39</v>
      </c>
      <c r="W636" t="s">
        <v>40</v>
      </c>
      <c r="X636" s="4">
        <v>45838</v>
      </c>
    </row>
    <row r="637" spans="1:24" x14ac:dyDescent="0.3">
      <c r="A637">
        <v>636</v>
      </c>
      <c r="B637" s="8">
        <v>212</v>
      </c>
      <c r="C637">
        <v>3</v>
      </c>
      <c r="D637" t="s">
        <v>19</v>
      </c>
      <c r="E637" t="s">
        <v>23</v>
      </c>
      <c r="F637">
        <v>34</v>
      </c>
      <c r="G637" t="str">
        <f>IF(Table2[[#This Row],[Age]]&gt;=30,"Experienced",IF(Table2[[#This Row],[Age]]&gt;=25,"Mid Level", "Entry Level"))</f>
        <v>Experienced</v>
      </c>
      <c r="H637" t="s">
        <v>26</v>
      </c>
      <c r="I637" t="s">
        <v>30</v>
      </c>
      <c r="J637" s="4">
        <v>45700</v>
      </c>
      <c r="K637" s="4" t="str">
        <f>TEXT(Table2[[#This Row],[Enrollment_date]],"Mmm")</f>
        <v>Feb</v>
      </c>
      <c r="L637" s="4" t="str">
        <f>TEXT(Table2[[#This Row],[Enrollment_date]],"Ddd")</f>
        <v>Wed</v>
      </c>
      <c r="M637" s="4" t="s">
        <v>34</v>
      </c>
      <c r="N637" t="s">
        <v>37</v>
      </c>
      <c r="O637" t="s">
        <v>38</v>
      </c>
      <c r="P637" s="8">
        <v>4</v>
      </c>
      <c r="Q637" s="6">
        <v>0.875</v>
      </c>
      <c r="R637" s="6">
        <v>78.5</v>
      </c>
      <c r="S637" s="6" t="str">
        <f>IF(Table2[[#This Row],[Avg_score]]&gt;=79,"Distinction",IF(Table2[[#This Row],[Avg_score]]&gt;=60,"Pass","Fail"))</f>
        <v>Pass</v>
      </c>
      <c r="T637" t="s">
        <v>39</v>
      </c>
      <c r="U637">
        <f>IF(Table2[[#This Row],[Completed]]="Yes",1,0)</f>
        <v>1</v>
      </c>
      <c r="V637" t="s">
        <v>39</v>
      </c>
      <c r="W637" t="s">
        <v>40</v>
      </c>
      <c r="X637" s="4">
        <v>45838</v>
      </c>
    </row>
    <row r="638" spans="1:24" x14ac:dyDescent="0.3">
      <c r="A638">
        <v>637</v>
      </c>
      <c r="B638" s="8">
        <v>213</v>
      </c>
      <c r="C638">
        <v>1</v>
      </c>
      <c r="D638" t="s">
        <v>19</v>
      </c>
      <c r="E638" t="s">
        <v>23</v>
      </c>
      <c r="F638">
        <v>33</v>
      </c>
      <c r="G638" t="str">
        <f>IF(Table2[[#This Row],[Age]]&gt;=30,"Experienced",IF(Table2[[#This Row],[Age]]&gt;=25,"Mid Level", "Entry Level"))</f>
        <v>Experienced</v>
      </c>
      <c r="H638" t="s">
        <v>29</v>
      </c>
      <c r="I638" t="s">
        <v>30</v>
      </c>
      <c r="J638" s="4">
        <v>45687</v>
      </c>
      <c r="K638" s="4" t="str">
        <f>TEXT(Table2[[#This Row],[Enrollment_date]],"Mmm")</f>
        <v>Jan</v>
      </c>
      <c r="L638" s="4" t="str">
        <f>TEXT(Table2[[#This Row],[Enrollment_date]],"Ddd")</f>
        <v>Thu</v>
      </c>
      <c r="M638" s="4" t="s">
        <v>34</v>
      </c>
      <c r="N638" t="s">
        <v>35</v>
      </c>
      <c r="O638" t="s">
        <v>38</v>
      </c>
      <c r="P638" s="8">
        <v>4</v>
      </c>
      <c r="Q638" s="6">
        <v>0.85416666666666663</v>
      </c>
      <c r="R638" s="6">
        <v>73.5</v>
      </c>
      <c r="S638" s="6" t="str">
        <f>IF(Table2[[#This Row],[Avg_score]]&gt;=79,"Distinction",IF(Table2[[#This Row],[Avg_score]]&gt;=60,"Pass","Fail"))</f>
        <v>Pass</v>
      </c>
      <c r="T638" t="s">
        <v>39</v>
      </c>
      <c r="U638">
        <f>IF(Table2[[#This Row],[Completed]]="Yes",1,0)</f>
        <v>1</v>
      </c>
      <c r="V638" t="s">
        <v>39</v>
      </c>
      <c r="W638" t="s">
        <v>40</v>
      </c>
      <c r="X638" s="4">
        <v>45838</v>
      </c>
    </row>
    <row r="639" spans="1:24" x14ac:dyDescent="0.3">
      <c r="A639">
        <v>638</v>
      </c>
      <c r="B639" s="8">
        <v>213</v>
      </c>
      <c r="C639">
        <v>2</v>
      </c>
      <c r="D639" t="s">
        <v>21</v>
      </c>
      <c r="E639" t="s">
        <v>23</v>
      </c>
      <c r="F639">
        <v>33</v>
      </c>
      <c r="G639" t="str">
        <f>IF(Table2[[#This Row],[Age]]&gt;=30,"Experienced",IF(Table2[[#This Row],[Age]]&gt;=25,"Mid Level", "Entry Level"))</f>
        <v>Experienced</v>
      </c>
      <c r="H639" t="s">
        <v>29</v>
      </c>
      <c r="I639" t="s">
        <v>30</v>
      </c>
      <c r="J639" s="4">
        <v>45687</v>
      </c>
      <c r="K639" s="4" t="str">
        <f>TEXT(Table2[[#This Row],[Enrollment_date]],"Mmm")</f>
        <v>Jan</v>
      </c>
      <c r="L639" s="4" t="str">
        <f>TEXT(Table2[[#This Row],[Enrollment_date]],"Ddd")</f>
        <v>Thu</v>
      </c>
      <c r="M639" s="4" t="s">
        <v>34</v>
      </c>
      <c r="N639" t="s">
        <v>36</v>
      </c>
      <c r="O639" t="s">
        <v>38</v>
      </c>
      <c r="P639" s="8">
        <v>4</v>
      </c>
      <c r="Q639" s="6">
        <v>0.875</v>
      </c>
      <c r="R639" s="6">
        <v>67</v>
      </c>
      <c r="S639" s="6" t="str">
        <f>IF(Table2[[#This Row],[Avg_score]]&gt;=79,"Distinction",IF(Table2[[#This Row],[Avg_score]]&gt;=60,"Pass","Fail"))</f>
        <v>Pass</v>
      </c>
      <c r="T639" t="s">
        <v>39</v>
      </c>
      <c r="U639">
        <f>IF(Table2[[#This Row],[Completed]]="Yes",1,0)</f>
        <v>1</v>
      </c>
      <c r="V639" t="s">
        <v>39</v>
      </c>
      <c r="W639" t="s">
        <v>40</v>
      </c>
      <c r="X639" s="4">
        <v>45838</v>
      </c>
    </row>
    <row r="640" spans="1:24" x14ac:dyDescent="0.3">
      <c r="A640">
        <v>639</v>
      </c>
      <c r="B640" s="8">
        <v>213</v>
      </c>
      <c r="C640">
        <v>3</v>
      </c>
      <c r="D640" t="s">
        <v>19</v>
      </c>
      <c r="E640" t="s">
        <v>23</v>
      </c>
      <c r="F640">
        <v>33</v>
      </c>
      <c r="G640" t="str">
        <f>IF(Table2[[#This Row],[Age]]&gt;=30,"Experienced",IF(Table2[[#This Row],[Age]]&gt;=25,"Mid Level", "Entry Level"))</f>
        <v>Experienced</v>
      </c>
      <c r="H640" t="s">
        <v>29</v>
      </c>
      <c r="I640" t="s">
        <v>30</v>
      </c>
      <c r="J640" s="4">
        <v>45687</v>
      </c>
      <c r="K640" s="4" t="str">
        <f>TEXT(Table2[[#This Row],[Enrollment_date]],"Mmm")</f>
        <v>Jan</v>
      </c>
      <c r="L640" s="4" t="str">
        <f>TEXT(Table2[[#This Row],[Enrollment_date]],"Ddd")</f>
        <v>Thu</v>
      </c>
      <c r="M640" s="4" t="s">
        <v>34</v>
      </c>
      <c r="N640" t="s">
        <v>37</v>
      </c>
      <c r="O640" t="s">
        <v>38</v>
      </c>
      <c r="P640" s="8">
        <v>4</v>
      </c>
      <c r="Q640" s="6">
        <v>0.77083333333333337</v>
      </c>
      <c r="R640" s="6">
        <v>74.5</v>
      </c>
      <c r="S640" s="6" t="str">
        <f>IF(Table2[[#This Row],[Avg_score]]&gt;=79,"Distinction",IF(Table2[[#This Row],[Avg_score]]&gt;=60,"Pass","Fail"))</f>
        <v>Pass</v>
      </c>
      <c r="T640" t="s">
        <v>39</v>
      </c>
      <c r="U640">
        <f>IF(Table2[[#This Row],[Completed]]="Yes",1,0)</f>
        <v>1</v>
      </c>
      <c r="V640" t="s">
        <v>39</v>
      </c>
      <c r="W640" t="s">
        <v>40</v>
      </c>
      <c r="X640" s="4">
        <v>45838</v>
      </c>
    </row>
    <row r="641" spans="1:24" x14ac:dyDescent="0.3">
      <c r="A641">
        <v>640</v>
      </c>
      <c r="B641" s="8">
        <v>214</v>
      </c>
      <c r="C641">
        <v>1</v>
      </c>
      <c r="D641" t="s">
        <v>19</v>
      </c>
      <c r="E641" t="s">
        <v>23</v>
      </c>
      <c r="F641">
        <v>20</v>
      </c>
      <c r="G641" t="str">
        <f>IF(Table2[[#This Row],[Age]]&gt;=30,"Experienced",IF(Table2[[#This Row],[Age]]&gt;=25,"Mid Level", "Entry Level"))</f>
        <v>Entry Level</v>
      </c>
      <c r="H641" t="s">
        <v>28</v>
      </c>
      <c r="I641" t="s">
        <v>32</v>
      </c>
      <c r="J641" s="4">
        <v>45759</v>
      </c>
      <c r="K641" s="4" t="str">
        <f>TEXT(Table2[[#This Row],[Enrollment_date]],"Mmm")</f>
        <v>Apr</v>
      </c>
      <c r="L641" s="4" t="str">
        <f>TEXT(Table2[[#This Row],[Enrollment_date]],"Ddd")</f>
        <v>Sat</v>
      </c>
      <c r="M641" s="4" t="s">
        <v>34</v>
      </c>
      <c r="N641" t="s">
        <v>35</v>
      </c>
      <c r="O641" t="s">
        <v>38</v>
      </c>
      <c r="P641" s="8">
        <v>4</v>
      </c>
      <c r="Q641" s="6">
        <v>0.875</v>
      </c>
      <c r="R641" s="6">
        <v>69.5</v>
      </c>
      <c r="S641" s="6" t="str">
        <f>IF(Table2[[#This Row],[Avg_score]]&gt;=79,"Distinction",IF(Table2[[#This Row],[Avg_score]]&gt;=60,"Pass","Fail"))</f>
        <v>Pass</v>
      </c>
      <c r="T641" t="s">
        <v>40</v>
      </c>
      <c r="U641">
        <f>IF(Table2[[#This Row],[Completed]]="Yes",1,0)</f>
        <v>0</v>
      </c>
      <c r="V641" t="s">
        <v>40</v>
      </c>
      <c r="W641" t="s">
        <v>40</v>
      </c>
      <c r="X641" s="4">
        <v>45838</v>
      </c>
    </row>
    <row r="642" spans="1:24" x14ac:dyDescent="0.3">
      <c r="A642">
        <v>641</v>
      </c>
      <c r="B642" s="8">
        <v>214</v>
      </c>
      <c r="C642">
        <v>2</v>
      </c>
      <c r="D642" t="s">
        <v>19</v>
      </c>
      <c r="E642" t="s">
        <v>23</v>
      </c>
      <c r="F642">
        <v>20</v>
      </c>
      <c r="G642" t="str">
        <f>IF(Table2[[#This Row],[Age]]&gt;=30,"Experienced",IF(Table2[[#This Row],[Age]]&gt;=25,"Mid Level", "Entry Level"))</f>
        <v>Entry Level</v>
      </c>
      <c r="H642" t="s">
        <v>28</v>
      </c>
      <c r="I642" t="s">
        <v>32</v>
      </c>
      <c r="J642" s="4">
        <v>45759</v>
      </c>
      <c r="K642" s="4" t="str">
        <f>TEXT(Table2[[#This Row],[Enrollment_date]],"Mmm")</f>
        <v>Apr</v>
      </c>
      <c r="L642" s="4" t="str">
        <f>TEXT(Table2[[#This Row],[Enrollment_date]],"Ddd")</f>
        <v>Sat</v>
      </c>
      <c r="M642" s="4" t="s">
        <v>34</v>
      </c>
      <c r="N642" t="s">
        <v>36</v>
      </c>
      <c r="O642" t="s">
        <v>38</v>
      </c>
      <c r="P642" s="8">
        <v>4</v>
      </c>
      <c r="Q642" s="6">
        <v>0.79166666666666663</v>
      </c>
      <c r="R642" s="6">
        <v>66.5</v>
      </c>
      <c r="S642" s="6" t="str">
        <f>IF(Table2[[#This Row],[Avg_score]]&gt;=79,"Distinction",IF(Table2[[#This Row],[Avg_score]]&gt;=60,"Pass","Fail"))</f>
        <v>Pass</v>
      </c>
      <c r="T642" t="s">
        <v>40</v>
      </c>
      <c r="U642">
        <f>IF(Table2[[#This Row],[Completed]]="Yes",1,0)</f>
        <v>0</v>
      </c>
      <c r="V642" t="s">
        <v>40</v>
      </c>
      <c r="W642" t="s">
        <v>40</v>
      </c>
      <c r="X642" s="4">
        <v>45838</v>
      </c>
    </row>
    <row r="643" spans="1:24" x14ac:dyDescent="0.3">
      <c r="A643">
        <v>642</v>
      </c>
      <c r="B643" s="8">
        <v>214</v>
      </c>
      <c r="C643">
        <v>3</v>
      </c>
      <c r="D643" t="s">
        <v>19</v>
      </c>
      <c r="E643" t="s">
        <v>23</v>
      </c>
      <c r="F643">
        <v>20</v>
      </c>
      <c r="G643" t="str">
        <f>IF(Table2[[#This Row],[Age]]&gt;=30,"Experienced",IF(Table2[[#This Row],[Age]]&gt;=25,"Mid Level", "Entry Level"))</f>
        <v>Entry Level</v>
      </c>
      <c r="H643" t="s">
        <v>28</v>
      </c>
      <c r="I643" t="s">
        <v>32</v>
      </c>
      <c r="J643" s="4">
        <v>45759</v>
      </c>
      <c r="K643" s="4" t="str">
        <f>TEXT(Table2[[#This Row],[Enrollment_date]],"Mmm")</f>
        <v>Apr</v>
      </c>
      <c r="L643" s="4" t="str">
        <f>TEXT(Table2[[#This Row],[Enrollment_date]],"Ddd")</f>
        <v>Sat</v>
      </c>
      <c r="M643" s="4" t="s">
        <v>34</v>
      </c>
      <c r="N643" t="s">
        <v>37</v>
      </c>
      <c r="O643" t="s">
        <v>38</v>
      </c>
      <c r="P643" s="8">
        <v>4</v>
      </c>
      <c r="Q643" s="6">
        <v>0.89583333333333337</v>
      </c>
      <c r="R643" s="6">
        <v>83.5</v>
      </c>
      <c r="S643" s="6" t="str">
        <f>IF(Table2[[#This Row],[Avg_score]]&gt;=79,"Distinction",IF(Table2[[#This Row],[Avg_score]]&gt;=60,"Pass","Fail"))</f>
        <v>Distinction</v>
      </c>
      <c r="T643" t="s">
        <v>40</v>
      </c>
      <c r="U643">
        <f>IF(Table2[[#This Row],[Completed]]="Yes",1,0)</f>
        <v>0</v>
      </c>
      <c r="V643" t="s">
        <v>40</v>
      </c>
      <c r="W643" t="s">
        <v>40</v>
      </c>
      <c r="X643" s="4">
        <v>45838</v>
      </c>
    </row>
    <row r="644" spans="1:24" x14ac:dyDescent="0.3">
      <c r="A644">
        <v>643</v>
      </c>
      <c r="B644" s="8">
        <v>215</v>
      </c>
      <c r="C644">
        <v>1</v>
      </c>
      <c r="D644" t="s">
        <v>19</v>
      </c>
      <c r="E644" t="s">
        <v>23</v>
      </c>
      <c r="F644">
        <v>20</v>
      </c>
      <c r="G644" t="str">
        <f>IF(Table2[[#This Row],[Age]]&gt;=30,"Experienced",IF(Table2[[#This Row],[Age]]&gt;=25,"Mid Level", "Entry Level"))</f>
        <v>Entry Level</v>
      </c>
      <c r="H644" t="s">
        <v>27</v>
      </c>
      <c r="I644" t="s">
        <v>68</v>
      </c>
      <c r="J644" s="4">
        <v>45725</v>
      </c>
      <c r="K644" s="4" t="str">
        <f>TEXT(Table2[[#This Row],[Enrollment_date]],"Mmm")</f>
        <v>Mar</v>
      </c>
      <c r="L644" s="4" t="str">
        <f>TEXT(Table2[[#This Row],[Enrollment_date]],"Ddd")</f>
        <v>Sun</v>
      </c>
      <c r="M644" s="4" t="s">
        <v>34</v>
      </c>
      <c r="N644" t="s">
        <v>35</v>
      </c>
      <c r="O644" t="s">
        <v>38</v>
      </c>
      <c r="P644" s="8">
        <v>4</v>
      </c>
      <c r="Q644" s="6">
        <v>0.85416666666666663</v>
      </c>
      <c r="R644" s="6">
        <v>77.5</v>
      </c>
      <c r="S644" s="6" t="str">
        <f>IF(Table2[[#This Row],[Avg_score]]&gt;=79,"Distinction",IF(Table2[[#This Row],[Avg_score]]&gt;=60,"Pass","Fail"))</f>
        <v>Pass</v>
      </c>
      <c r="T644" t="s">
        <v>40</v>
      </c>
      <c r="U644">
        <f>IF(Table2[[#This Row],[Completed]]="Yes",1,0)</f>
        <v>0</v>
      </c>
      <c r="V644" t="s">
        <v>40</v>
      </c>
      <c r="W644" t="s">
        <v>40</v>
      </c>
      <c r="X644" s="4">
        <v>45838</v>
      </c>
    </row>
    <row r="645" spans="1:24" x14ac:dyDescent="0.3">
      <c r="A645">
        <v>644</v>
      </c>
      <c r="B645" s="8">
        <v>215</v>
      </c>
      <c r="C645">
        <v>2</v>
      </c>
      <c r="D645" t="s">
        <v>19</v>
      </c>
      <c r="E645" t="s">
        <v>23</v>
      </c>
      <c r="F645">
        <v>20</v>
      </c>
      <c r="G645" t="str">
        <f>IF(Table2[[#This Row],[Age]]&gt;=30,"Experienced",IF(Table2[[#This Row],[Age]]&gt;=25,"Mid Level", "Entry Level"))</f>
        <v>Entry Level</v>
      </c>
      <c r="H645" t="s">
        <v>27</v>
      </c>
      <c r="I645" t="s">
        <v>68</v>
      </c>
      <c r="J645" s="4">
        <v>45725</v>
      </c>
      <c r="K645" s="4" t="str">
        <f>TEXT(Table2[[#This Row],[Enrollment_date]],"Mmm")</f>
        <v>Mar</v>
      </c>
      <c r="L645" s="4" t="str">
        <f>TEXT(Table2[[#This Row],[Enrollment_date]],"Ddd")</f>
        <v>Sun</v>
      </c>
      <c r="M645" s="4" t="s">
        <v>34</v>
      </c>
      <c r="N645" t="s">
        <v>36</v>
      </c>
      <c r="O645" t="s">
        <v>38</v>
      </c>
      <c r="P645" s="8">
        <v>4</v>
      </c>
      <c r="Q645" s="6">
        <v>0.875</v>
      </c>
      <c r="R645" s="6">
        <v>82</v>
      </c>
      <c r="S645" s="6" t="str">
        <f>IF(Table2[[#This Row],[Avg_score]]&gt;=79,"Distinction",IF(Table2[[#This Row],[Avg_score]]&gt;=60,"Pass","Fail"))</f>
        <v>Distinction</v>
      </c>
      <c r="T645" t="s">
        <v>40</v>
      </c>
      <c r="U645">
        <f>IF(Table2[[#This Row],[Completed]]="Yes",1,0)</f>
        <v>0</v>
      </c>
      <c r="V645" t="s">
        <v>40</v>
      </c>
      <c r="W645" t="s">
        <v>40</v>
      </c>
      <c r="X645" s="4">
        <v>45838</v>
      </c>
    </row>
    <row r="646" spans="1:24" x14ac:dyDescent="0.3">
      <c r="A646">
        <v>645</v>
      </c>
      <c r="B646" s="8">
        <v>215</v>
      </c>
      <c r="C646">
        <v>3</v>
      </c>
      <c r="D646" t="s">
        <v>21</v>
      </c>
      <c r="E646" t="s">
        <v>23</v>
      </c>
      <c r="F646">
        <v>20</v>
      </c>
      <c r="G646" t="str">
        <f>IF(Table2[[#This Row],[Age]]&gt;=30,"Experienced",IF(Table2[[#This Row],[Age]]&gt;=25,"Mid Level", "Entry Level"))</f>
        <v>Entry Level</v>
      </c>
      <c r="H646" t="s">
        <v>27</v>
      </c>
      <c r="I646" t="s">
        <v>68</v>
      </c>
      <c r="J646" s="4">
        <v>45725</v>
      </c>
      <c r="K646" s="4" t="str">
        <f>TEXT(Table2[[#This Row],[Enrollment_date]],"Mmm")</f>
        <v>Mar</v>
      </c>
      <c r="L646" s="4" t="str">
        <f>TEXT(Table2[[#This Row],[Enrollment_date]],"Ddd")</f>
        <v>Sun</v>
      </c>
      <c r="M646" s="4" t="s">
        <v>34</v>
      </c>
      <c r="N646" t="s">
        <v>37</v>
      </c>
      <c r="O646" t="s">
        <v>38</v>
      </c>
      <c r="P646" s="8">
        <v>4</v>
      </c>
      <c r="Q646" s="6">
        <v>0.875</v>
      </c>
      <c r="R646" s="6">
        <v>60.5</v>
      </c>
      <c r="S646" s="6" t="str">
        <f>IF(Table2[[#This Row],[Avg_score]]&gt;=79,"Distinction",IF(Table2[[#This Row],[Avg_score]]&gt;=60,"Pass","Fail"))</f>
        <v>Pass</v>
      </c>
      <c r="T646" t="s">
        <v>40</v>
      </c>
      <c r="U646">
        <f>IF(Table2[[#This Row],[Completed]]="Yes",1,0)</f>
        <v>0</v>
      </c>
      <c r="V646" t="s">
        <v>40</v>
      </c>
      <c r="W646" t="s">
        <v>40</v>
      </c>
      <c r="X646" s="4">
        <v>45838</v>
      </c>
    </row>
    <row r="647" spans="1:24" x14ac:dyDescent="0.3">
      <c r="A647">
        <v>646</v>
      </c>
      <c r="B647" s="8">
        <v>216</v>
      </c>
      <c r="C647">
        <v>1</v>
      </c>
      <c r="D647" t="s">
        <v>19</v>
      </c>
      <c r="E647" t="s">
        <v>22</v>
      </c>
      <c r="F647">
        <v>32</v>
      </c>
      <c r="G647" t="str">
        <f>IF(Table2[[#This Row],[Age]]&gt;=30,"Experienced",IF(Table2[[#This Row],[Age]]&gt;=25,"Mid Level", "Entry Level"))</f>
        <v>Experienced</v>
      </c>
      <c r="H647" t="s">
        <v>29</v>
      </c>
      <c r="I647" t="s">
        <v>30</v>
      </c>
      <c r="J647" s="4">
        <v>45807</v>
      </c>
      <c r="K647" s="4" t="str">
        <f>TEXT(Table2[[#This Row],[Enrollment_date]],"Mmm")</f>
        <v>May</v>
      </c>
      <c r="L647" s="4" t="str">
        <f>TEXT(Table2[[#This Row],[Enrollment_date]],"Ddd")</f>
        <v>Fri</v>
      </c>
      <c r="M647" s="4" t="s">
        <v>34</v>
      </c>
      <c r="N647" t="s">
        <v>35</v>
      </c>
      <c r="O647" t="s">
        <v>38</v>
      </c>
      <c r="P647" s="8">
        <v>4</v>
      </c>
      <c r="Q647" s="6">
        <v>0.89583333333333337</v>
      </c>
      <c r="R647" s="6">
        <v>86</v>
      </c>
      <c r="S647" s="6" t="str">
        <f>IF(Table2[[#This Row],[Avg_score]]&gt;=79,"Distinction",IF(Table2[[#This Row],[Avg_score]]&gt;=60,"Pass","Fail"))</f>
        <v>Distinction</v>
      </c>
      <c r="T647" t="s">
        <v>39</v>
      </c>
      <c r="U647">
        <f>IF(Table2[[#This Row],[Completed]]="Yes",1,0)</f>
        <v>1</v>
      </c>
      <c r="V647" t="s">
        <v>39</v>
      </c>
      <c r="W647" t="s">
        <v>40</v>
      </c>
      <c r="X647" s="4">
        <v>45838</v>
      </c>
    </row>
    <row r="648" spans="1:24" x14ac:dyDescent="0.3">
      <c r="A648">
        <v>647</v>
      </c>
      <c r="B648" s="8">
        <v>216</v>
      </c>
      <c r="C648">
        <v>2</v>
      </c>
      <c r="D648" t="s">
        <v>20</v>
      </c>
      <c r="E648" t="s">
        <v>22</v>
      </c>
      <c r="F648">
        <v>32</v>
      </c>
      <c r="G648" t="str">
        <f>IF(Table2[[#This Row],[Age]]&gt;=30,"Experienced",IF(Table2[[#This Row],[Age]]&gt;=25,"Mid Level", "Entry Level"))</f>
        <v>Experienced</v>
      </c>
      <c r="H648" t="s">
        <v>29</v>
      </c>
      <c r="I648" t="s">
        <v>30</v>
      </c>
      <c r="J648" s="4">
        <v>45807</v>
      </c>
      <c r="K648" s="4" t="str">
        <f>TEXT(Table2[[#This Row],[Enrollment_date]],"Mmm")</f>
        <v>May</v>
      </c>
      <c r="L648" s="4" t="str">
        <f>TEXT(Table2[[#This Row],[Enrollment_date]],"Ddd")</f>
        <v>Fri</v>
      </c>
      <c r="M648" s="4" t="s">
        <v>34</v>
      </c>
      <c r="N648" t="s">
        <v>36</v>
      </c>
      <c r="O648" t="s">
        <v>38</v>
      </c>
      <c r="P648" s="8">
        <v>4</v>
      </c>
      <c r="Q648" s="6">
        <v>0.89583333333333337</v>
      </c>
      <c r="R648" s="6">
        <v>71</v>
      </c>
      <c r="S648" s="6" t="str">
        <f>IF(Table2[[#This Row],[Avg_score]]&gt;=79,"Distinction",IF(Table2[[#This Row],[Avg_score]]&gt;=60,"Pass","Fail"))</f>
        <v>Pass</v>
      </c>
      <c r="T648" t="s">
        <v>39</v>
      </c>
      <c r="U648">
        <f>IF(Table2[[#This Row],[Completed]]="Yes",1,0)</f>
        <v>1</v>
      </c>
      <c r="V648" t="s">
        <v>39</v>
      </c>
      <c r="W648" t="s">
        <v>40</v>
      </c>
      <c r="X648" s="4">
        <v>45838</v>
      </c>
    </row>
    <row r="649" spans="1:24" x14ac:dyDescent="0.3">
      <c r="A649">
        <v>648</v>
      </c>
      <c r="B649" s="8">
        <v>216</v>
      </c>
      <c r="C649">
        <v>3</v>
      </c>
      <c r="D649" t="s">
        <v>19</v>
      </c>
      <c r="E649" t="s">
        <v>22</v>
      </c>
      <c r="F649">
        <v>32</v>
      </c>
      <c r="G649" t="str">
        <f>IF(Table2[[#This Row],[Age]]&gt;=30,"Experienced",IF(Table2[[#This Row],[Age]]&gt;=25,"Mid Level", "Entry Level"))</f>
        <v>Experienced</v>
      </c>
      <c r="H649" t="s">
        <v>29</v>
      </c>
      <c r="I649" t="s">
        <v>30</v>
      </c>
      <c r="J649" s="4">
        <v>45807</v>
      </c>
      <c r="K649" s="4" t="str">
        <f>TEXT(Table2[[#This Row],[Enrollment_date]],"Mmm")</f>
        <v>May</v>
      </c>
      <c r="L649" s="4" t="str">
        <f>TEXT(Table2[[#This Row],[Enrollment_date]],"Ddd")</f>
        <v>Fri</v>
      </c>
      <c r="M649" s="4" t="s">
        <v>34</v>
      </c>
      <c r="N649" t="s">
        <v>37</v>
      </c>
      <c r="O649" t="s">
        <v>38</v>
      </c>
      <c r="P649" s="8">
        <v>4</v>
      </c>
      <c r="Q649" s="6">
        <v>0.875</v>
      </c>
      <c r="R649" s="6">
        <v>60.5</v>
      </c>
      <c r="S649" s="6" t="str">
        <f>IF(Table2[[#This Row],[Avg_score]]&gt;=79,"Distinction",IF(Table2[[#This Row],[Avg_score]]&gt;=60,"Pass","Fail"))</f>
        <v>Pass</v>
      </c>
      <c r="T649" t="s">
        <v>39</v>
      </c>
      <c r="U649">
        <f>IF(Table2[[#This Row],[Completed]]="Yes",1,0)</f>
        <v>1</v>
      </c>
      <c r="V649" t="s">
        <v>39</v>
      </c>
      <c r="W649" t="s">
        <v>40</v>
      </c>
      <c r="X649" s="4">
        <v>45838</v>
      </c>
    </row>
    <row r="650" spans="1:24" x14ac:dyDescent="0.3">
      <c r="A650">
        <v>649</v>
      </c>
      <c r="B650" s="8">
        <v>217</v>
      </c>
      <c r="C650">
        <v>1</v>
      </c>
      <c r="D650" t="s">
        <v>19</v>
      </c>
      <c r="E650" t="s">
        <v>23</v>
      </c>
      <c r="F650">
        <v>29</v>
      </c>
      <c r="G650" t="str">
        <f>IF(Table2[[#This Row],[Age]]&gt;=30,"Experienced",IF(Table2[[#This Row],[Age]]&gt;=25,"Mid Level", "Entry Level"))</f>
        <v>Mid Level</v>
      </c>
      <c r="H650" t="s">
        <v>25</v>
      </c>
      <c r="I650" t="s">
        <v>32</v>
      </c>
      <c r="J650" s="4">
        <v>45778</v>
      </c>
      <c r="K650" s="4" t="str">
        <f>TEXT(Table2[[#This Row],[Enrollment_date]],"Mmm")</f>
        <v>May</v>
      </c>
      <c r="L650" s="4" t="str">
        <f>TEXT(Table2[[#This Row],[Enrollment_date]],"Ddd")</f>
        <v>Thu</v>
      </c>
      <c r="M650" s="4" t="s">
        <v>34</v>
      </c>
      <c r="N650" t="s">
        <v>35</v>
      </c>
      <c r="O650" t="s">
        <v>38</v>
      </c>
      <c r="P650" s="8">
        <v>4</v>
      </c>
      <c r="Q650" s="6">
        <v>0.89583333333333337</v>
      </c>
      <c r="R650" s="6">
        <v>66.5</v>
      </c>
      <c r="S650" s="6" t="str">
        <f>IF(Table2[[#This Row],[Avg_score]]&gt;=79,"Distinction",IF(Table2[[#This Row],[Avg_score]]&gt;=60,"Pass","Fail"))</f>
        <v>Pass</v>
      </c>
      <c r="T650" t="s">
        <v>39</v>
      </c>
      <c r="U650">
        <f>IF(Table2[[#This Row],[Completed]]="Yes",1,0)</f>
        <v>1</v>
      </c>
      <c r="V650" t="s">
        <v>40</v>
      </c>
      <c r="W650" t="s">
        <v>40</v>
      </c>
      <c r="X650" s="4">
        <v>45838</v>
      </c>
    </row>
    <row r="651" spans="1:24" x14ac:dyDescent="0.3">
      <c r="A651">
        <v>650</v>
      </c>
      <c r="B651" s="8">
        <v>217</v>
      </c>
      <c r="C651">
        <v>2</v>
      </c>
      <c r="D651" t="s">
        <v>19</v>
      </c>
      <c r="E651" t="s">
        <v>23</v>
      </c>
      <c r="F651">
        <v>29</v>
      </c>
      <c r="G651" t="str">
        <f>IF(Table2[[#This Row],[Age]]&gt;=30,"Experienced",IF(Table2[[#This Row],[Age]]&gt;=25,"Mid Level", "Entry Level"))</f>
        <v>Mid Level</v>
      </c>
      <c r="H651" t="s">
        <v>25</v>
      </c>
      <c r="I651" t="s">
        <v>32</v>
      </c>
      <c r="J651" s="4">
        <v>45778</v>
      </c>
      <c r="K651" s="4" t="str">
        <f>TEXT(Table2[[#This Row],[Enrollment_date]],"Mmm")</f>
        <v>May</v>
      </c>
      <c r="L651" s="4" t="str">
        <f>TEXT(Table2[[#This Row],[Enrollment_date]],"Ddd")</f>
        <v>Thu</v>
      </c>
      <c r="M651" s="4" t="s">
        <v>34</v>
      </c>
      <c r="N651" t="s">
        <v>36</v>
      </c>
      <c r="O651" t="s">
        <v>38</v>
      </c>
      <c r="P651" s="8">
        <v>4</v>
      </c>
      <c r="Q651" s="6">
        <v>0.72916666666666663</v>
      </c>
      <c r="R651" s="6">
        <v>66</v>
      </c>
      <c r="S651" s="6" t="str">
        <f>IF(Table2[[#This Row],[Avg_score]]&gt;=79,"Distinction",IF(Table2[[#This Row],[Avg_score]]&gt;=60,"Pass","Fail"))</f>
        <v>Pass</v>
      </c>
      <c r="T651" t="s">
        <v>39</v>
      </c>
      <c r="U651">
        <f>IF(Table2[[#This Row],[Completed]]="Yes",1,0)</f>
        <v>1</v>
      </c>
      <c r="V651" t="s">
        <v>40</v>
      </c>
      <c r="W651" t="s">
        <v>40</v>
      </c>
      <c r="X651" s="4">
        <v>45838</v>
      </c>
    </row>
    <row r="652" spans="1:24" x14ac:dyDescent="0.3">
      <c r="A652">
        <v>651</v>
      </c>
      <c r="B652" s="8">
        <v>217</v>
      </c>
      <c r="C652">
        <v>3</v>
      </c>
      <c r="D652" t="s">
        <v>19</v>
      </c>
      <c r="E652" t="s">
        <v>23</v>
      </c>
      <c r="F652">
        <v>29</v>
      </c>
      <c r="G652" t="str">
        <f>IF(Table2[[#This Row],[Age]]&gt;=30,"Experienced",IF(Table2[[#This Row],[Age]]&gt;=25,"Mid Level", "Entry Level"))</f>
        <v>Mid Level</v>
      </c>
      <c r="H652" t="s">
        <v>25</v>
      </c>
      <c r="I652" t="s">
        <v>32</v>
      </c>
      <c r="J652" s="4">
        <v>45778</v>
      </c>
      <c r="K652" s="4" t="str">
        <f>TEXT(Table2[[#This Row],[Enrollment_date]],"Mmm")</f>
        <v>May</v>
      </c>
      <c r="L652" s="4" t="str">
        <f>TEXT(Table2[[#This Row],[Enrollment_date]],"Ddd")</f>
        <v>Thu</v>
      </c>
      <c r="M652" s="4" t="s">
        <v>34</v>
      </c>
      <c r="N652" t="s">
        <v>37</v>
      </c>
      <c r="O652" t="s">
        <v>38</v>
      </c>
      <c r="P652" s="8">
        <v>4</v>
      </c>
      <c r="Q652" s="6">
        <v>0.8125</v>
      </c>
      <c r="R652" s="6">
        <v>60</v>
      </c>
      <c r="S652" s="6" t="str">
        <f>IF(Table2[[#This Row],[Avg_score]]&gt;=79,"Distinction",IF(Table2[[#This Row],[Avg_score]]&gt;=60,"Pass","Fail"))</f>
        <v>Pass</v>
      </c>
      <c r="T652" t="s">
        <v>39</v>
      </c>
      <c r="U652">
        <f>IF(Table2[[#This Row],[Completed]]="Yes",1,0)</f>
        <v>1</v>
      </c>
      <c r="V652" t="s">
        <v>40</v>
      </c>
      <c r="W652" t="s">
        <v>40</v>
      </c>
      <c r="X652" s="4">
        <v>45838</v>
      </c>
    </row>
    <row r="653" spans="1:24" x14ac:dyDescent="0.3">
      <c r="A653">
        <v>652</v>
      </c>
      <c r="B653" s="8">
        <v>218</v>
      </c>
      <c r="C653">
        <v>1</v>
      </c>
      <c r="D653" t="s">
        <v>19</v>
      </c>
      <c r="E653" t="s">
        <v>22</v>
      </c>
      <c r="F653">
        <v>35</v>
      </c>
      <c r="G653" t="str">
        <f>IF(Table2[[#This Row],[Age]]&gt;=30,"Experienced",IF(Table2[[#This Row],[Age]]&gt;=25,"Mid Level", "Entry Level"))</f>
        <v>Experienced</v>
      </c>
      <c r="H653" t="s">
        <v>29</v>
      </c>
      <c r="I653" t="s">
        <v>32</v>
      </c>
      <c r="J653" s="4">
        <v>45674</v>
      </c>
      <c r="K653" s="4" t="str">
        <f>TEXT(Table2[[#This Row],[Enrollment_date]],"Mmm")</f>
        <v>Jan</v>
      </c>
      <c r="L653" s="4" t="str">
        <f>TEXT(Table2[[#This Row],[Enrollment_date]],"Ddd")</f>
        <v>Fri</v>
      </c>
      <c r="M653" s="4" t="s">
        <v>34</v>
      </c>
      <c r="N653" t="s">
        <v>35</v>
      </c>
      <c r="O653" t="s">
        <v>38</v>
      </c>
      <c r="P653" s="8">
        <v>4</v>
      </c>
      <c r="Q653" s="6">
        <v>0.85416666666666663</v>
      </c>
      <c r="R653" s="6">
        <v>59</v>
      </c>
      <c r="S653" s="6" t="str">
        <f>IF(Table2[[#This Row],[Avg_score]]&gt;=79,"Distinction",IF(Table2[[#This Row],[Avg_score]]&gt;=60,"Pass","Fail"))</f>
        <v>Fail</v>
      </c>
      <c r="T653" t="s">
        <v>39</v>
      </c>
      <c r="U653">
        <f>IF(Table2[[#This Row],[Completed]]="Yes",1,0)</f>
        <v>1</v>
      </c>
      <c r="V653" t="s">
        <v>39</v>
      </c>
      <c r="W653" t="s">
        <v>39</v>
      </c>
      <c r="X653" s="4">
        <v>45838</v>
      </c>
    </row>
    <row r="654" spans="1:24" x14ac:dyDescent="0.3">
      <c r="A654">
        <v>653</v>
      </c>
      <c r="B654" s="8">
        <v>218</v>
      </c>
      <c r="C654">
        <v>2</v>
      </c>
      <c r="D654" t="s">
        <v>19</v>
      </c>
      <c r="E654" t="s">
        <v>22</v>
      </c>
      <c r="F654">
        <v>35</v>
      </c>
      <c r="G654" t="str">
        <f>IF(Table2[[#This Row],[Age]]&gt;=30,"Experienced",IF(Table2[[#This Row],[Age]]&gt;=25,"Mid Level", "Entry Level"))</f>
        <v>Experienced</v>
      </c>
      <c r="H654" t="s">
        <v>29</v>
      </c>
      <c r="I654" t="s">
        <v>32</v>
      </c>
      <c r="J654" s="4">
        <v>45674</v>
      </c>
      <c r="K654" s="4" t="str">
        <f>TEXT(Table2[[#This Row],[Enrollment_date]],"Mmm")</f>
        <v>Jan</v>
      </c>
      <c r="L654" s="4" t="str">
        <f>TEXT(Table2[[#This Row],[Enrollment_date]],"Ddd")</f>
        <v>Fri</v>
      </c>
      <c r="M654" s="4" t="s">
        <v>34</v>
      </c>
      <c r="N654" t="s">
        <v>36</v>
      </c>
      <c r="O654" t="s">
        <v>38</v>
      </c>
      <c r="P654" s="8">
        <v>4</v>
      </c>
      <c r="Q654" s="6">
        <v>0.875</v>
      </c>
      <c r="R654" s="6">
        <v>74</v>
      </c>
      <c r="S654" s="6" t="str">
        <f>IF(Table2[[#This Row],[Avg_score]]&gt;=79,"Distinction",IF(Table2[[#This Row],[Avg_score]]&gt;=60,"Pass","Fail"))</f>
        <v>Pass</v>
      </c>
      <c r="T654" t="s">
        <v>39</v>
      </c>
      <c r="U654">
        <f>IF(Table2[[#This Row],[Completed]]="Yes",1,0)</f>
        <v>1</v>
      </c>
      <c r="V654" t="s">
        <v>39</v>
      </c>
      <c r="W654" t="s">
        <v>39</v>
      </c>
      <c r="X654" s="4">
        <v>45838</v>
      </c>
    </row>
    <row r="655" spans="1:24" x14ac:dyDescent="0.3">
      <c r="A655">
        <v>654</v>
      </c>
      <c r="B655" s="8">
        <v>218</v>
      </c>
      <c r="C655">
        <v>3</v>
      </c>
      <c r="D655" t="s">
        <v>19</v>
      </c>
      <c r="E655" t="s">
        <v>22</v>
      </c>
      <c r="F655">
        <v>35</v>
      </c>
      <c r="G655" t="str">
        <f>IF(Table2[[#This Row],[Age]]&gt;=30,"Experienced",IF(Table2[[#This Row],[Age]]&gt;=25,"Mid Level", "Entry Level"))</f>
        <v>Experienced</v>
      </c>
      <c r="H655" t="s">
        <v>29</v>
      </c>
      <c r="I655" t="s">
        <v>32</v>
      </c>
      <c r="J655" s="4">
        <v>45674</v>
      </c>
      <c r="K655" s="4" t="str">
        <f>TEXT(Table2[[#This Row],[Enrollment_date]],"Mmm")</f>
        <v>Jan</v>
      </c>
      <c r="L655" s="4" t="str">
        <f>TEXT(Table2[[#This Row],[Enrollment_date]],"Ddd")</f>
        <v>Fri</v>
      </c>
      <c r="M655" s="4" t="s">
        <v>34</v>
      </c>
      <c r="N655" t="s">
        <v>37</v>
      </c>
      <c r="O655" t="s">
        <v>38</v>
      </c>
      <c r="P655" s="8">
        <v>4</v>
      </c>
      <c r="Q655" s="6">
        <v>0.85416666666666663</v>
      </c>
      <c r="R655" s="6">
        <v>72.5</v>
      </c>
      <c r="S655" s="6" t="str">
        <f>IF(Table2[[#This Row],[Avg_score]]&gt;=79,"Distinction",IF(Table2[[#This Row],[Avg_score]]&gt;=60,"Pass","Fail"))</f>
        <v>Pass</v>
      </c>
      <c r="T655" t="s">
        <v>39</v>
      </c>
      <c r="U655">
        <f>IF(Table2[[#This Row],[Completed]]="Yes",1,0)</f>
        <v>1</v>
      </c>
      <c r="V655" t="s">
        <v>39</v>
      </c>
      <c r="W655" t="s">
        <v>39</v>
      </c>
      <c r="X655" s="4">
        <v>45838</v>
      </c>
    </row>
    <row r="656" spans="1:24" x14ac:dyDescent="0.3">
      <c r="A656">
        <v>655</v>
      </c>
      <c r="B656" s="8">
        <v>219</v>
      </c>
      <c r="C656">
        <v>1</v>
      </c>
      <c r="D656" t="s">
        <v>19</v>
      </c>
      <c r="E656" t="s">
        <v>23</v>
      </c>
      <c r="F656">
        <v>27</v>
      </c>
      <c r="G656" t="str">
        <f>IF(Table2[[#This Row],[Age]]&gt;=30,"Experienced",IF(Table2[[#This Row],[Age]]&gt;=25,"Mid Level", "Entry Level"))</f>
        <v>Mid Level</v>
      </c>
      <c r="H656" t="s">
        <v>24</v>
      </c>
      <c r="I656" t="s">
        <v>44</v>
      </c>
      <c r="J656" s="4">
        <v>45687</v>
      </c>
      <c r="K656" s="4" t="str">
        <f>TEXT(Table2[[#This Row],[Enrollment_date]],"Mmm")</f>
        <v>Jan</v>
      </c>
      <c r="L656" s="4" t="str">
        <f>TEXT(Table2[[#This Row],[Enrollment_date]],"Ddd")</f>
        <v>Thu</v>
      </c>
      <c r="M656" s="4" t="s">
        <v>34</v>
      </c>
      <c r="N656" t="s">
        <v>35</v>
      </c>
      <c r="O656" t="s">
        <v>38</v>
      </c>
      <c r="P656" s="8">
        <v>4</v>
      </c>
      <c r="Q656" s="6">
        <v>0.89583333333333337</v>
      </c>
      <c r="R656" s="6">
        <v>74</v>
      </c>
      <c r="S656" s="6" t="str">
        <f>IF(Table2[[#This Row],[Avg_score]]&gt;=79,"Distinction",IF(Table2[[#This Row],[Avg_score]]&gt;=60,"Pass","Fail"))</f>
        <v>Pass</v>
      </c>
      <c r="T656" t="s">
        <v>39</v>
      </c>
      <c r="U656">
        <f>IF(Table2[[#This Row],[Completed]]="Yes",1,0)</f>
        <v>1</v>
      </c>
      <c r="V656" t="s">
        <v>39</v>
      </c>
      <c r="W656" t="s">
        <v>40</v>
      </c>
      <c r="X656" s="4">
        <v>45838</v>
      </c>
    </row>
    <row r="657" spans="1:24" x14ac:dyDescent="0.3">
      <c r="A657">
        <v>656</v>
      </c>
      <c r="B657" s="8">
        <v>219</v>
      </c>
      <c r="C657">
        <v>2</v>
      </c>
      <c r="D657" t="s">
        <v>19</v>
      </c>
      <c r="E657" t="s">
        <v>23</v>
      </c>
      <c r="F657">
        <v>27</v>
      </c>
      <c r="G657" t="str">
        <f>IF(Table2[[#This Row],[Age]]&gt;=30,"Experienced",IF(Table2[[#This Row],[Age]]&gt;=25,"Mid Level", "Entry Level"))</f>
        <v>Mid Level</v>
      </c>
      <c r="H657" t="s">
        <v>24</v>
      </c>
      <c r="I657" t="s">
        <v>44</v>
      </c>
      <c r="J657" s="4">
        <v>45687</v>
      </c>
      <c r="K657" s="4" t="str">
        <f>TEXT(Table2[[#This Row],[Enrollment_date]],"Mmm")</f>
        <v>Jan</v>
      </c>
      <c r="L657" s="4" t="str">
        <f>TEXT(Table2[[#This Row],[Enrollment_date]],"Ddd")</f>
        <v>Thu</v>
      </c>
      <c r="M657" s="4" t="s">
        <v>34</v>
      </c>
      <c r="N657" t="s">
        <v>36</v>
      </c>
      <c r="O657" t="s">
        <v>38</v>
      </c>
      <c r="P657" s="8">
        <v>4</v>
      </c>
      <c r="Q657" s="6">
        <v>0.8125</v>
      </c>
      <c r="R657" s="6">
        <v>56</v>
      </c>
      <c r="S657" s="6" t="str">
        <f>IF(Table2[[#This Row],[Avg_score]]&gt;=79,"Distinction",IF(Table2[[#This Row],[Avg_score]]&gt;=60,"Pass","Fail"))</f>
        <v>Fail</v>
      </c>
      <c r="T657" t="s">
        <v>39</v>
      </c>
      <c r="U657">
        <f>IF(Table2[[#This Row],[Completed]]="Yes",1,0)</f>
        <v>1</v>
      </c>
      <c r="V657" t="s">
        <v>39</v>
      </c>
      <c r="W657" t="s">
        <v>40</v>
      </c>
      <c r="X657" s="4">
        <v>45838</v>
      </c>
    </row>
    <row r="658" spans="1:24" x14ac:dyDescent="0.3">
      <c r="A658">
        <v>657</v>
      </c>
      <c r="B658" s="8">
        <v>219</v>
      </c>
      <c r="C658">
        <v>3</v>
      </c>
      <c r="D658" t="s">
        <v>21</v>
      </c>
      <c r="E658" t="s">
        <v>23</v>
      </c>
      <c r="F658">
        <v>27</v>
      </c>
      <c r="G658" t="str">
        <f>IF(Table2[[#This Row],[Age]]&gt;=30,"Experienced",IF(Table2[[#This Row],[Age]]&gt;=25,"Mid Level", "Entry Level"))</f>
        <v>Mid Level</v>
      </c>
      <c r="H658" t="s">
        <v>24</v>
      </c>
      <c r="I658" t="s">
        <v>44</v>
      </c>
      <c r="J658" s="4">
        <v>45687</v>
      </c>
      <c r="K658" s="4" t="str">
        <f>TEXT(Table2[[#This Row],[Enrollment_date]],"Mmm")</f>
        <v>Jan</v>
      </c>
      <c r="L658" s="4" t="str">
        <f>TEXT(Table2[[#This Row],[Enrollment_date]],"Ddd")</f>
        <v>Thu</v>
      </c>
      <c r="M658" s="4" t="s">
        <v>34</v>
      </c>
      <c r="N658" t="s">
        <v>37</v>
      </c>
      <c r="O658" t="s">
        <v>38</v>
      </c>
      <c r="P658" s="8">
        <v>4</v>
      </c>
      <c r="Q658" s="6">
        <v>0.85416666666666663</v>
      </c>
      <c r="R658" s="6">
        <v>87</v>
      </c>
      <c r="S658" s="6" t="str">
        <f>IF(Table2[[#This Row],[Avg_score]]&gt;=79,"Distinction",IF(Table2[[#This Row],[Avg_score]]&gt;=60,"Pass","Fail"))</f>
        <v>Distinction</v>
      </c>
      <c r="T658" t="s">
        <v>39</v>
      </c>
      <c r="U658">
        <f>IF(Table2[[#This Row],[Completed]]="Yes",1,0)</f>
        <v>1</v>
      </c>
      <c r="V658" t="s">
        <v>39</v>
      </c>
      <c r="W658" t="s">
        <v>40</v>
      </c>
      <c r="X658" s="4">
        <v>45838</v>
      </c>
    </row>
    <row r="659" spans="1:24" x14ac:dyDescent="0.3">
      <c r="A659">
        <v>658</v>
      </c>
      <c r="B659" s="8">
        <v>220</v>
      </c>
      <c r="C659">
        <v>1</v>
      </c>
      <c r="D659" t="s">
        <v>20</v>
      </c>
      <c r="E659" t="s">
        <v>22</v>
      </c>
      <c r="F659">
        <v>19</v>
      </c>
      <c r="G659" t="str">
        <f>IF(Table2[[#This Row],[Age]]&gt;=30,"Experienced",IF(Table2[[#This Row],[Age]]&gt;=25,"Mid Level", "Entry Level"))</f>
        <v>Entry Level</v>
      </c>
      <c r="H659" t="s">
        <v>25</v>
      </c>
      <c r="I659" t="s">
        <v>30</v>
      </c>
      <c r="J659" s="4">
        <v>45784</v>
      </c>
      <c r="K659" s="4" t="str">
        <f>TEXT(Table2[[#This Row],[Enrollment_date]],"Mmm")</f>
        <v>May</v>
      </c>
      <c r="L659" s="4" t="str">
        <f>TEXT(Table2[[#This Row],[Enrollment_date]],"Ddd")</f>
        <v>Wed</v>
      </c>
      <c r="M659" s="4" t="s">
        <v>34</v>
      </c>
      <c r="N659" t="s">
        <v>35</v>
      </c>
      <c r="O659" t="s">
        <v>38</v>
      </c>
      <c r="P659" s="8">
        <v>4</v>
      </c>
      <c r="Q659" s="6">
        <v>0.83333333333333337</v>
      </c>
      <c r="R659" s="6">
        <v>81.5</v>
      </c>
      <c r="S659" s="6" t="str">
        <f>IF(Table2[[#This Row],[Avg_score]]&gt;=79,"Distinction",IF(Table2[[#This Row],[Avg_score]]&gt;=60,"Pass","Fail"))</f>
        <v>Distinction</v>
      </c>
      <c r="T659" t="s">
        <v>40</v>
      </c>
      <c r="U659">
        <f>IF(Table2[[#This Row],[Completed]]="Yes",1,0)</f>
        <v>0</v>
      </c>
      <c r="V659" t="s">
        <v>40</v>
      </c>
      <c r="W659" t="s">
        <v>40</v>
      </c>
      <c r="X659" s="4">
        <v>45838</v>
      </c>
    </row>
    <row r="660" spans="1:24" x14ac:dyDescent="0.3">
      <c r="A660">
        <v>659</v>
      </c>
      <c r="B660" s="8">
        <v>220</v>
      </c>
      <c r="C660">
        <v>2</v>
      </c>
      <c r="D660" t="s">
        <v>19</v>
      </c>
      <c r="E660" t="s">
        <v>22</v>
      </c>
      <c r="F660">
        <v>19</v>
      </c>
      <c r="G660" t="str">
        <f>IF(Table2[[#This Row],[Age]]&gt;=30,"Experienced",IF(Table2[[#This Row],[Age]]&gt;=25,"Mid Level", "Entry Level"))</f>
        <v>Entry Level</v>
      </c>
      <c r="H660" t="s">
        <v>25</v>
      </c>
      <c r="I660" t="s">
        <v>30</v>
      </c>
      <c r="J660" s="4">
        <v>45784</v>
      </c>
      <c r="K660" s="4" t="str">
        <f>TEXT(Table2[[#This Row],[Enrollment_date]],"Mmm")</f>
        <v>May</v>
      </c>
      <c r="L660" s="4" t="str">
        <f>TEXT(Table2[[#This Row],[Enrollment_date]],"Ddd")</f>
        <v>Wed</v>
      </c>
      <c r="M660" s="4" t="s">
        <v>34</v>
      </c>
      <c r="N660" t="s">
        <v>36</v>
      </c>
      <c r="O660" t="s">
        <v>38</v>
      </c>
      <c r="P660" s="8">
        <v>4</v>
      </c>
      <c r="Q660" s="6">
        <v>0.89583333333333337</v>
      </c>
      <c r="R660" s="6">
        <v>73</v>
      </c>
      <c r="S660" s="6" t="str">
        <f>IF(Table2[[#This Row],[Avg_score]]&gt;=79,"Distinction",IF(Table2[[#This Row],[Avg_score]]&gt;=60,"Pass","Fail"))</f>
        <v>Pass</v>
      </c>
      <c r="T660" t="s">
        <v>40</v>
      </c>
      <c r="U660">
        <f>IF(Table2[[#This Row],[Completed]]="Yes",1,0)</f>
        <v>0</v>
      </c>
      <c r="V660" t="s">
        <v>40</v>
      </c>
      <c r="W660" t="s">
        <v>40</v>
      </c>
      <c r="X660" s="4">
        <v>45838</v>
      </c>
    </row>
    <row r="661" spans="1:24" x14ac:dyDescent="0.3">
      <c r="A661">
        <v>660</v>
      </c>
      <c r="B661" s="8">
        <v>220</v>
      </c>
      <c r="C661">
        <v>3</v>
      </c>
      <c r="D661" t="s">
        <v>19</v>
      </c>
      <c r="E661" t="s">
        <v>22</v>
      </c>
      <c r="F661">
        <v>19</v>
      </c>
      <c r="G661" t="str">
        <f>IF(Table2[[#This Row],[Age]]&gt;=30,"Experienced",IF(Table2[[#This Row],[Age]]&gt;=25,"Mid Level", "Entry Level"))</f>
        <v>Entry Level</v>
      </c>
      <c r="H661" t="s">
        <v>25</v>
      </c>
      <c r="I661" t="s">
        <v>30</v>
      </c>
      <c r="J661" s="4">
        <v>45784</v>
      </c>
      <c r="K661" s="4" t="str">
        <f>TEXT(Table2[[#This Row],[Enrollment_date]],"Mmm")</f>
        <v>May</v>
      </c>
      <c r="L661" s="4" t="str">
        <f>TEXT(Table2[[#This Row],[Enrollment_date]],"Ddd")</f>
        <v>Wed</v>
      </c>
      <c r="M661" s="4" t="s">
        <v>34</v>
      </c>
      <c r="N661" t="s">
        <v>37</v>
      </c>
      <c r="O661" t="s">
        <v>38</v>
      </c>
      <c r="P661" s="8">
        <v>4</v>
      </c>
      <c r="Q661" s="6">
        <v>0.79166666666666663</v>
      </c>
      <c r="R661" s="6">
        <v>68</v>
      </c>
      <c r="S661" s="6" t="str">
        <f>IF(Table2[[#This Row],[Avg_score]]&gt;=79,"Distinction",IF(Table2[[#This Row],[Avg_score]]&gt;=60,"Pass","Fail"))</f>
        <v>Pass</v>
      </c>
      <c r="T661" t="s">
        <v>40</v>
      </c>
      <c r="U661">
        <f>IF(Table2[[#This Row],[Completed]]="Yes",1,0)</f>
        <v>0</v>
      </c>
      <c r="V661" t="s">
        <v>40</v>
      </c>
      <c r="W661" t="s">
        <v>40</v>
      </c>
      <c r="X661" s="4">
        <v>45838</v>
      </c>
    </row>
    <row r="662" spans="1:24" x14ac:dyDescent="0.3">
      <c r="A662">
        <v>661</v>
      </c>
      <c r="B662" s="8">
        <v>221</v>
      </c>
      <c r="C662">
        <v>1</v>
      </c>
      <c r="D662" t="s">
        <v>21</v>
      </c>
      <c r="E662" t="s">
        <v>22</v>
      </c>
      <c r="F662">
        <v>21</v>
      </c>
      <c r="G662" t="str">
        <f>IF(Table2[[#This Row],[Age]]&gt;=30,"Experienced",IF(Table2[[#This Row],[Age]]&gt;=25,"Mid Level", "Entry Level"))</f>
        <v>Entry Level</v>
      </c>
      <c r="H662" t="s">
        <v>28</v>
      </c>
      <c r="I662" t="s">
        <v>32</v>
      </c>
      <c r="J662" s="4">
        <v>45757</v>
      </c>
      <c r="K662" s="4" t="str">
        <f>TEXT(Table2[[#This Row],[Enrollment_date]],"Mmm")</f>
        <v>Apr</v>
      </c>
      <c r="L662" s="4" t="str">
        <f>TEXT(Table2[[#This Row],[Enrollment_date]],"Ddd")</f>
        <v>Thu</v>
      </c>
      <c r="M662" s="4" t="s">
        <v>34</v>
      </c>
      <c r="N662" t="s">
        <v>35</v>
      </c>
      <c r="O662" t="s">
        <v>38</v>
      </c>
      <c r="P662" s="8">
        <v>4</v>
      </c>
      <c r="Q662" s="6">
        <v>0.91666666666666663</v>
      </c>
      <c r="R662" s="6">
        <v>70</v>
      </c>
      <c r="S662" s="6" t="str">
        <f>IF(Table2[[#This Row],[Avg_score]]&gt;=79,"Distinction",IF(Table2[[#This Row],[Avg_score]]&gt;=60,"Pass","Fail"))</f>
        <v>Pass</v>
      </c>
      <c r="T662" t="s">
        <v>39</v>
      </c>
      <c r="U662">
        <f>IF(Table2[[#This Row],[Completed]]="Yes",1,0)</f>
        <v>1</v>
      </c>
      <c r="V662" t="s">
        <v>39</v>
      </c>
      <c r="W662" t="s">
        <v>39</v>
      </c>
      <c r="X662" s="4">
        <v>45838</v>
      </c>
    </row>
    <row r="663" spans="1:24" x14ac:dyDescent="0.3">
      <c r="A663">
        <v>662</v>
      </c>
      <c r="B663" s="8">
        <v>221</v>
      </c>
      <c r="C663">
        <v>2</v>
      </c>
      <c r="D663" t="s">
        <v>19</v>
      </c>
      <c r="E663" t="s">
        <v>22</v>
      </c>
      <c r="F663">
        <v>21</v>
      </c>
      <c r="G663" t="str">
        <f>IF(Table2[[#This Row],[Age]]&gt;=30,"Experienced",IF(Table2[[#This Row],[Age]]&gt;=25,"Mid Level", "Entry Level"))</f>
        <v>Entry Level</v>
      </c>
      <c r="H663" t="s">
        <v>28</v>
      </c>
      <c r="I663" t="s">
        <v>32</v>
      </c>
      <c r="J663" s="4">
        <v>45757</v>
      </c>
      <c r="K663" s="4" t="str">
        <f>TEXT(Table2[[#This Row],[Enrollment_date]],"Mmm")</f>
        <v>Apr</v>
      </c>
      <c r="L663" s="4" t="str">
        <f>TEXT(Table2[[#This Row],[Enrollment_date]],"Ddd")</f>
        <v>Thu</v>
      </c>
      <c r="M663" s="4" t="s">
        <v>34</v>
      </c>
      <c r="N663" t="s">
        <v>36</v>
      </c>
      <c r="O663" t="s">
        <v>38</v>
      </c>
      <c r="P663" s="8">
        <v>4</v>
      </c>
      <c r="Q663" s="6">
        <v>0.875</v>
      </c>
      <c r="R663" s="6">
        <v>77.5</v>
      </c>
      <c r="S663" s="6" t="str">
        <f>IF(Table2[[#This Row],[Avg_score]]&gt;=79,"Distinction",IF(Table2[[#This Row],[Avg_score]]&gt;=60,"Pass","Fail"))</f>
        <v>Pass</v>
      </c>
      <c r="T663" t="s">
        <v>39</v>
      </c>
      <c r="U663">
        <f>IF(Table2[[#This Row],[Completed]]="Yes",1,0)</f>
        <v>1</v>
      </c>
      <c r="V663" t="s">
        <v>39</v>
      </c>
      <c r="W663" t="s">
        <v>39</v>
      </c>
      <c r="X663" s="4">
        <v>45838</v>
      </c>
    </row>
    <row r="664" spans="1:24" x14ac:dyDescent="0.3">
      <c r="A664">
        <v>663</v>
      </c>
      <c r="B664" s="8">
        <v>221</v>
      </c>
      <c r="C664">
        <v>3</v>
      </c>
      <c r="D664" t="s">
        <v>21</v>
      </c>
      <c r="E664" t="s">
        <v>22</v>
      </c>
      <c r="F664">
        <v>21</v>
      </c>
      <c r="G664" t="str">
        <f>IF(Table2[[#This Row],[Age]]&gt;=30,"Experienced",IF(Table2[[#This Row],[Age]]&gt;=25,"Mid Level", "Entry Level"))</f>
        <v>Entry Level</v>
      </c>
      <c r="H664" t="s">
        <v>28</v>
      </c>
      <c r="I664" t="s">
        <v>32</v>
      </c>
      <c r="J664" s="4">
        <v>45757</v>
      </c>
      <c r="K664" s="4" t="str">
        <f>TEXT(Table2[[#This Row],[Enrollment_date]],"Mmm")</f>
        <v>Apr</v>
      </c>
      <c r="L664" s="4" t="str">
        <f>TEXT(Table2[[#This Row],[Enrollment_date]],"Ddd")</f>
        <v>Thu</v>
      </c>
      <c r="M664" s="4" t="s">
        <v>34</v>
      </c>
      <c r="N664" t="s">
        <v>37</v>
      </c>
      <c r="O664" t="s">
        <v>38</v>
      </c>
      <c r="P664" s="8">
        <v>4</v>
      </c>
      <c r="Q664" s="6">
        <v>0.85416666666666663</v>
      </c>
      <c r="R664" s="6">
        <v>59.5</v>
      </c>
      <c r="S664" s="6" t="str">
        <f>IF(Table2[[#This Row],[Avg_score]]&gt;=79,"Distinction",IF(Table2[[#This Row],[Avg_score]]&gt;=60,"Pass","Fail"))</f>
        <v>Fail</v>
      </c>
      <c r="T664" t="s">
        <v>39</v>
      </c>
      <c r="U664">
        <f>IF(Table2[[#This Row],[Completed]]="Yes",1,0)</f>
        <v>1</v>
      </c>
      <c r="V664" t="s">
        <v>39</v>
      </c>
      <c r="W664" t="s">
        <v>39</v>
      </c>
      <c r="X664" s="4">
        <v>45838</v>
      </c>
    </row>
    <row r="665" spans="1:24" x14ac:dyDescent="0.3">
      <c r="A665">
        <v>664</v>
      </c>
      <c r="B665" s="8">
        <v>222</v>
      </c>
      <c r="C665">
        <v>1</v>
      </c>
      <c r="D665" t="s">
        <v>19</v>
      </c>
      <c r="E665" t="s">
        <v>23</v>
      </c>
      <c r="F665">
        <v>29</v>
      </c>
      <c r="G665" t="str">
        <f>IF(Table2[[#This Row],[Age]]&gt;=30,"Experienced",IF(Table2[[#This Row],[Age]]&gt;=25,"Mid Level", "Entry Level"))</f>
        <v>Mid Level</v>
      </c>
      <c r="H665" t="s">
        <v>24</v>
      </c>
      <c r="I665" t="s">
        <v>44</v>
      </c>
      <c r="J665" s="4">
        <v>45808</v>
      </c>
      <c r="K665" s="4" t="str">
        <f>TEXT(Table2[[#This Row],[Enrollment_date]],"Mmm")</f>
        <v>May</v>
      </c>
      <c r="L665" s="4" t="str">
        <f>TEXT(Table2[[#This Row],[Enrollment_date]],"Ddd")</f>
        <v>Sat</v>
      </c>
      <c r="M665" s="4" t="s">
        <v>34</v>
      </c>
      <c r="N665" t="s">
        <v>35</v>
      </c>
      <c r="O665" t="s">
        <v>38</v>
      </c>
      <c r="P665" s="8">
        <v>4</v>
      </c>
      <c r="Q665" s="6">
        <v>0.85416666666666663</v>
      </c>
      <c r="R665" s="6">
        <v>83.5</v>
      </c>
      <c r="S665" s="6" t="str">
        <f>IF(Table2[[#This Row],[Avg_score]]&gt;=79,"Distinction",IF(Table2[[#This Row],[Avg_score]]&gt;=60,"Pass","Fail"))</f>
        <v>Distinction</v>
      </c>
      <c r="T665" t="s">
        <v>40</v>
      </c>
      <c r="U665">
        <f>IF(Table2[[#This Row],[Completed]]="Yes",1,0)</f>
        <v>0</v>
      </c>
      <c r="V665" t="s">
        <v>40</v>
      </c>
      <c r="W665" t="s">
        <v>40</v>
      </c>
      <c r="X665" s="4">
        <v>45838</v>
      </c>
    </row>
    <row r="666" spans="1:24" x14ac:dyDescent="0.3">
      <c r="A666">
        <v>665</v>
      </c>
      <c r="B666" s="8">
        <v>222</v>
      </c>
      <c r="C666">
        <v>2</v>
      </c>
      <c r="D666" t="s">
        <v>19</v>
      </c>
      <c r="E666" t="s">
        <v>23</v>
      </c>
      <c r="F666">
        <v>29</v>
      </c>
      <c r="G666" t="str">
        <f>IF(Table2[[#This Row],[Age]]&gt;=30,"Experienced",IF(Table2[[#This Row],[Age]]&gt;=25,"Mid Level", "Entry Level"))</f>
        <v>Mid Level</v>
      </c>
      <c r="H666" t="s">
        <v>24</v>
      </c>
      <c r="I666" t="s">
        <v>44</v>
      </c>
      <c r="J666" s="4">
        <v>45808</v>
      </c>
      <c r="K666" s="4" t="str">
        <f>TEXT(Table2[[#This Row],[Enrollment_date]],"Mmm")</f>
        <v>May</v>
      </c>
      <c r="L666" s="4" t="str">
        <f>TEXT(Table2[[#This Row],[Enrollment_date]],"Ddd")</f>
        <v>Sat</v>
      </c>
      <c r="M666" s="4" t="s">
        <v>34</v>
      </c>
      <c r="N666" t="s">
        <v>36</v>
      </c>
      <c r="O666" t="s">
        <v>38</v>
      </c>
      <c r="P666" s="8">
        <v>4</v>
      </c>
      <c r="Q666" s="6">
        <v>0.83333333333333337</v>
      </c>
      <c r="R666" s="6">
        <v>87.5</v>
      </c>
      <c r="S666" s="6" t="str">
        <f>IF(Table2[[#This Row],[Avg_score]]&gt;=79,"Distinction",IF(Table2[[#This Row],[Avg_score]]&gt;=60,"Pass","Fail"))</f>
        <v>Distinction</v>
      </c>
      <c r="T666" t="s">
        <v>40</v>
      </c>
      <c r="U666">
        <f>IF(Table2[[#This Row],[Completed]]="Yes",1,0)</f>
        <v>0</v>
      </c>
      <c r="V666" t="s">
        <v>40</v>
      </c>
      <c r="W666" t="s">
        <v>40</v>
      </c>
      <c r="X666" s="4">
        <v>45838</v>
      </c>
    </row>
    <row r="667" spans="1:24" x14ac:dyDescent="0.3">
      <c r="A667">
        <v>666</v>
      </c>
      <c r="B667" s="8">
        <v>222</v>
      </c>
      <c r="C667">
        <v>3</v>
      </c>
      <c r="D667" t="s">
        <v>19</v>
      </c>
      <c r="E667" t="s">
        <v>23</v>
      </c>
      <c r="F667">
        <v>29</v>
      </c>
      <c r="G667" t="str">
        <f>IF(Table2[[#This Row],[Age]]&gt;=30,"Experienced",IF(Table2[[#This Row],[Age]]&gt;=25,"Mid Level", "Entry Level"))</f>
        <v>Mid Level</v>
      </c>
      <c r="H667" t="s">
        <v>24</v>
      </c>
      <c r="I667" t="s">
        <v>44</v>
      </c>
      <c r="J667" s="4">
        <v>45808</v>
      </c>
      <c r="K667" s="4" t="str">
        <f>TEXT(Table2[[#This Row],[Enrollment_date]],"Mmm")</f>
        <v>May</v>
      </c>
      <c r="L667" s="4" t="str">
        <f>TEXT(Table2[[#This Row],[Enrollment_date]],"Ddd")</f>
        <v>Sat</v>
      </c>
      <c r="M667" s="4" t="s">
        <v>34</v>
      </c>
      <c r="N667" t="s">
        <v>37</v>
      </c>
      <c r="O667" t="s">
        <v>38</v>
      </c>
      <c r="P667" s="8">
        <v>4</v>
      </c>
      <c r="Q667" s="6">
        <v>0.8125</v>
      </c>
      <c r="R667" s="6">
        <v>81.5</v>
      </c>
      <c r="S667" s="6" t="str">
        <f>IF(Table2[[#This Row],[Avg_score]]&gt;=79,"Distinction",IF(Table2[[#This Row],[Avg_score]]&gt;=60,"Pass","Fail"))</f>
        <v>Distinction</v>
      </c>
      <c r="T667" t="s">
        <v>40</v>
      </c>
      <c r="U667">
        <f>IF(Table2[[#This Row],[Completed]]="Yes",1,0)</f>
        <v>0</v>
      </c>
      <c r="V667" t="s">
        <v>40</v>
      </c>
      <c r="W667" t="s">
        <v>40</v>
      </c>
      <c r="X667" s="4">
        <v>45838</v>
      </c>
    </row>
    <row r="668" spans="1:24" x14ac:dyDescent="0.3">
      <c r="A668">
        <v>667</v>
      </c>
      <c r="B668" s="8">
        <v>223</v>
      </c>
      <c r="C668">
        <v>1</v>
      </c>
      <c r="D668" t="s">
        <v>21</v>
      </c>
      <c r="E668" t="s">
        <v>22</v>
      </c>
      <c r="F668">
        <v>31</v>
      </c>
      <c r="G668" t="str">
        <f>IF(Table2[[#This Row],[Age]]&gt;=30,"Experienced",IF(Table2[[#This Row],[Age]]&gt;=25,"Mid Level", "Entry Level"))</f>
        <v>Experienced</v>
      </c>
      <c r="H668" t="s">
        <v>24</v>
      </c>
      <c r="I668" t="s">
        <v>68</v>
      </c>
      <c r="J668" s="4">
        <v>45783</v>
      </c>
      <c r="K668" s="4" t="str">
        <f>TEXT(Table2[[#This Row],[Enrollment_date]],"Mmm")</f>
        <v>May</v>
      </c>
      <c r="L668" s="4" t="str">
        <f>TEXT(Table2[[#This Row],[Enrollment_date]],"Ddd")</f>
        <v>Tue</v>
      </c>
      <c r="M668" s="4" t="s">
        <v>34</v>
      </c>
      <c r="N668" t="s">
        <v>35</v>
      </c>
      <c r="O668" t="s">
        <v>38</v>
      </c>
      <c r="P668" s="8">
        <v>4</v>
      </c>
      <c r="Q668" s="6">
        <v>0.875</v>
      </c>
      <c r="R668" s="6">
        <v>59</v>
      </c>
      <c r="S668" s="6" t="str">
        <f>IF(Table2[[#This Row],[Avg_score]]&gt;=79,"Distinction",IF(Table2[[#This Row],[Avg_score]]&gt;=60,"Pass","Fail"))</f>
        <v>Fail</v>
      </c>
      <c r="T668" t="s">
        <v>39</v>
      </c>
      <c r="U668">
        <f>IF(Table2[[#This Row],[Completed]]="Yes",1,0)</f>
        <v>1</v>
      </c>
      <c r="V668" t="s">
        <v>39</v>
      </c>
      <c r="W668" t="s">
        <v>40</v>
      </c>
      <c r="X668" s="4">
        <v>45838</v>
      </c>
    </row>
    <row r="669" spans="1:24" x14ac:dyDescent="0.3">
      <c r="A669">
        <v>668</v>
      </c>
      <c r="B669" s="8">
        <v>223</v>
      </c>
      <c r="C669">
        <v>2</v>
      </c>
      <c r="D669" t="s">
        <v>19</v>
      </c>
      <c r="E669" t="s">
        <v>22</v>
      </c>
      <c r="F669">
        <v>31</v>
      </c>
      <c r="G669" t="str">
        <f>IF(Table2[[#This Row],[Age]]&gt;=30,"Experienced",IF(Table2[[#This Row],[Age]]&gt;=25,"Mid Level", "Entry Level"))</f>
        <v>Experienced</v>
      </c>
      <c r="H669" t="s">
        <v>24</v>
      </c>
      <c r="I669" t="s">
        <v>68</v>
      </c>
      <c r="J669" s="4">
        <v>45783</v>
      </c>
      <c r="K669" s="4" t="str">
        <f>TEXT(Table2[[#This Row],[Enrollment_date]],"Mmm")</f>
        <v>May</v>
      </c>
      <c r="L669" s="4" t="str">
        <f>TEXT(Table2[[#This Row],[Enrollment_date]],"Ddd")</f>
        <v>Tue</v>
      </c>
      <c r="M669" s="4" t="s">
        <v>34</v>
      </c>
      <c r="N669" t="s">
        <v>36</v>
      </c>
      <c r="O669" t="s">
        <v>38</v>
      </c>
      <c r="P669" s="8">
        <v>4</v>
      </c>
      <c r="Q669" s="6">
        <v>0.89583333333333337</v>
      </c>
      <c r="R669" s="6">
        <v>66.5</v>
      </c>
      <c r="S669" s="6" t="str">
        <f>IF(Table2[[#This Row],[Avg_score]]&gt;=79,"Distinction",IF(Table2[[#This Row],[Avg_score]]&gt;=60,"Pass","Fail"))</f>
        <v>Pass</v>
      </c>
      <c r="T669" t="s">
        <v>39</v>
      </c>
      <c r="U669">
        <f>IF(Table2[[#This Row],[Completed]]="Yes",1,0)</f>
        <v>1</v>
      </c>
      <c r="V669" t="s">
        <v>39</v>
      </c>
      <c r="W669" t="s">
        <v>40</v>
      </c>
      <c r="X669" s="4">
        <v>45838</v>
      </c>
    </row>
    <row r="670" spans="1:24" x14ac:dyDescent="0.3">
      <c r="A670">
        <v>669</v>
      </c>
      <c r="B670" s="8">
        <v>223</v>
      </c>
      <c r="C670">
        <v>3</v>
      </c>
      <c r="D670" t="s">
        <v>19</v>
      </c>
      <c r="E670" t="s">
        <v>22</v>
      </c>
      <c r="F670">
        <v>31</v>
      </c>
      <c r="G670" t="str">
        <f>IF(Table2[[#This Row],[Age]]&gt;=30,"Experienced",IF(Table2[[#This Row],[Age]]&gt;=25,"Mid Level", "Entry Level"))</f>
        <v>Experienced</v>
      </c>
      <c r="H670" t="s">
        <v>24</v>
      </c>
      <c r="I670" t="s">
        <v>68</v>
      </c>
      <c r="J670" s="4">
        <v>45783</v>
      </c>
      <c r="K670" s="4" t="str">
        <f>TEXT(Table2[[#This Row],[Enrollment_date]],"Mmm")</f>
        <v>May</v>
      </c>
      <c r="L670" s="4" t="str">
        <f>TEXT(Table2[[#This Row],[Enrollment_date]],"Ddd")</f>
        <v>Tue</v>
      </c>
      <c r="M670" s="4" t="s">
        <v>34</v>
      </c>
      <c r="N670" t="s">
        <v>37</v>
      </c>
      <c r="O670" t="s">
        <v>38</v>
      </c>
      <c r="P670" s="8">
        <v>4</v>
      </c>
      <c r="Q670" s="6">
        <v>0.79166666666666663</v>
      </c>
      <c r="R670" s="6">
        <v>86</v>
      </c>
      <c r="S670" s="6" t="str">
        <f>IF(Table2[[#This Row],[Avg_score]]&gt;=79,"Distinction",IF(Table2[[#This Row],[Avg_score]]&gt;=60,"Pass","Fail"))</f>
        <v>Distinction</v>
      </c>
      <c r="T670" t="s">
        <v>39</v>
      </c>
      <c r="U670">
        <f>IF(Table2[[#This Row],[Completed]]="Yes",1,0)</f>
        <v>1</v>
      </c>
      <c r="V670" t="s">
        <v>39</v>
      </c>
      <c r="W670" t="s">
        <v>40</v>
      </c>
      <c r="X670" s="4">
        <v>45838</v>
      </c>
    </row>
    <row r="671" spans="1:24" x14ac:dyDescent="0.3">
      <c r="A671">
        <v>670</v>
      </c>
      <c r="B671" s="8">
        <v>224</v>
      </c>
      <c r="C671">
        <v>1</v>
      </c>
      <c r="D671" t="s">
        <v>19</v>
      </c>
      <c r="E671" t="s">
        <v>23</v>
      </c>
      <c r="F671">
        <v>26</v>
      </c>
      <c r="G671" t="str">
        <f>IF(Table2[[#This Row],[Age]]&gt;=30,"Experienced",IF(Table2[[#This Row],[Age]]&gt;=25,"Mid Level", "Entry Level"))</f>
        <v>Mid Level</v>
      </c>
      <c r="H671" t="s">
        <v>25</v>
      </c>
      <c r="I671" t="s">
        <v>30</v>
      </c>
      <c r="J671" s="4">
        <v>45713</v>
      </c>
      <c r="K671" s="4" t="str">
        <f>TEXT(Table2[[#This Row],[Enrollment_date]],"Mmm")</f>
        <v>Feb</v>
      </c>
      <c r="L671" s="4" t="str">
        <f>TEXT(Table2[[#This Row],[Enrollment_date]],"Ddd")</f>
        <v>Tue</v>
      </c>
      <c r="M671" s="4" t="s">
        <v>34</v>
      </c>
      <c r="N671" t="s">
        <v>35</v>
      </c>
      <c r="O671" t="s">
        <v>38</v>
      </c>
      <c r="P671" s="8">
        <v>4</v>
      </c>
      <c r="Q671" s="6">
        <v>0.89583333333333337</v>
      </c>
      <c r="R671" s="6">
        <v>65.5</v>
      </c>
      <c r="S671" s="6" t="str">
        <f>IF(Table2[[#This Row],[Avg_score]]&gt;=79,"Distinction",IF(Table2[[#This Row],[Avg_score]]&gt;=60,"Pass","Fail"))</f>
        <v>Pass</v>
      </c>
      <c r="T671" t="s">
        <v>39</v>
      </c>
      <c r="U671">
        <f>IF(Table2[[#This Row],[Completed]]="Yes",1,0)</f>
        <v>1</v>
      </c>
      <c r="V671" t="s">
        <v>39</v>
      </c>
      <c r="W671" t="s">
        <v>40</v>
      </c>
      <c r="X671" s="4">
        <v>45838</v>
      </c>
    </row>
    <row r="672" spans="1:24" x14ac:dyDescent="0.3">
      <c r="A672">
        <v>671</v>
      </c>
      <c r="B672" s="8">
        <v>224</v>
      </c>
      <c r="C672">
        <v>2</v>
      </c>
      <c r="D672" t="s">
        <v>19</v>
      </c>
      <c r="E672" t="s">
        <v>23</v>
      </c>
      <c r="F672">
        <v>26</v>
      </c>
      <c r="G672" t="str">
        <f>IF(Table2[[#This Row],[Age]]&gt;=30,"Experienced",IF(Table2[[#This Row],[Age]]&gt;=25,"Mid Level", "Entry Level"))</f>
        <v>Mid Level</v>
      </c>
      <c r="H672" t="s">
        <v>25</v>
      </c>
      <c r="I672" t="s">
        <v>30</v>
      </c>
      <c r="J672" s="4">
        <v>45713</v>
      </c>
      <c r="K672" s="4" t="str">
        <f>TEXT(Table2[[#This Row],[Enrollment_date]],"Mmm")</f>
        <v>Feb</v>
      </c>
      <c r="L672" s="4" t="str">
        <f>TEXT(Table2[[#This Row],[Enrollment_date]],"Ddd")</f>
        <v>Tue</v>
      </c>
      <c r="M672" s="4" t="s">
        <v>34</v>
      </c>
      <c r="N672" t="s">
        <v>36</v>
      </c>
      <c r="O672" t="s">
        <v>38</v>
      </c>
      <c r="P672" s="8">
        <v>4</v>
      </c>
      <c r="Q672" s="6">
        <v>0.8125</v>
      </c>
      <c r="R672" s="6">
        <v>76</v>
      </c>
      <c r="S672" s="6" t="str">
        <f>IF(Table2[[#This Row],[Avg_score]]&gt;=79,"Distinction",IF(Table2[[#This Row],[Avg_score]]&gt;=60,"Pass","Fail"))</f>
        <v>Pass</v>
      </c>
      <c r="T672" t="s">
        <v>39</v>
      </c>
      <c r="U672">
        <f>IF(Table2[[#This Row],[Completed]]="Yes",1,0)</f>
        <v>1</v>
      </c>
      <c r="V672" t="s">
        <v>39</v>
      </c>
      <c r="W672" t="s">
        <v>40</v>
      </c>
      <c r="X672" s="4">
        <v>45838</v>
      </c>
    </row>
    <row r="673" spans="1:24" x14ac:dyDescent="0.3">
      <c r="A673">
        <v>672</v>
      </c>
      <c r="B673" s="8">
        <v>224</v>
      </c>
      <c r="C673">
        <v>3</v>
      </c>
      <c r="D673" t="s">
        <v>19</v>
      </c>
      <c r="E673" t="s">
        <v>23</v>
      </c>
      <c r="F673">
        <v>26</v>
      </c>
      <c r="G673" t="str">
        <f>IF(Table2[[#This Row],[Age]]&gt;=30,"Experienced",IF(Table2[[#This Row],[Age]]&gt;=25,"Mid Level", "Entry Level"))</f>
        <v>Mid Level</v>
      </c>
      <c r="H673" t="s">
        <v>25</v>
      </c>
      <c r="I673" t="s">
        <v>30</v>
      </c>
      <c r="J673" s="4">
        <v>45713</v>
      </c>
      <c r="K673" s="4" t="str">
        <f>TEXT(Table2[[#This Row],[Enrollment_date]],"Mmm")</f>
        <v>Feb</v>
      </c>
      <c r="L673" s="4" t="str">
        <f>TEXT(Table2[[#This Row],[Enrollment_date]],"Ddd")</f>
        <v>Tue</v>
      </c>
      <c r="M673" s="4" t="s">
        <v>34</v>
      </c>
      <c r="N673" t="s">
        <v>37</v>
      </c>
      <c r="O673" t="s">
        <v>38</v>
      </c>
      <c r="P673" s="8">
        <v>4</v>
      </c>
      <c r="Q673" s="6">
        <v>0.83333333333333337</v>
      </c>
      <c r="R673" s="6">
        <v>58.5</v>
      </c>
      <c r="S673" s="6" t="str">
        <f>IF(Table2[[#This Row],[Avg_score]]&gt;=79,"Distinction",IF(Table2[[#This Row],[Avg_score]]&gt;=60,"Pass","Fail"))</f>
        <v>Fail</v>
      </c>
      <c r="T673" t="s">
        <v>39</v>
      </c>
      <c r="U673">
        <f>IF(Table2[[#This Row],[Completed]]="Yes",1,0)</f>
        <v>1</v>
      </c>
      <c r="V673" t="s">
        <v>39</v>
      </c>
      <c r="W673" t="s">
        <v>40</v>
      </c>
      <c r="X673" s="4">
        <v>45838</v>
      </c>
    </row>
    <row r="674" spans="1:24" x14ac:dyDescent="0.3">
      <c r="A674">
        <v>673</v>
      </c>
      <c r="B674" s="8">
        <v>225</v>
      </c>
      <c r="C674">
        <v>1</v>
      </c>
      <c r="D674" t="s">
        <v>21</v>
      </c>
      <c r="E674" t="s">
        <v>23</v>
      </c>
      <c r="F674">
        <v>32</v>
      </c>
      <c r="G674" t="str">
        <f>IF(Table2[[#This Row],[Age]]&gt;=30,"Experienced",IF(Table2[[#This Row],[Age]]&gt;=25,"Mid Level", "Entry Level"))</f>
        <v>Experienced</v>
      </c>
      <c r="H674" t="s">
        <v>28</v>
      </c>
      <c r="I674" t="s">
        <v>30</v>
      </c>
      <c r="J674" s="4">
        <v>45683</v>
      </c>
      <c r="K674" s="4" t="str">
        <f>TEXT(Table2[[#This Row],[Enrollment_date]],"Mmm")</f>
        <v>Jan</v>
      </c>
      <c r="L674" s="4" t="str">
        <f>TEXT(Table2[[#This Row],[Enrollment_date]],"Ddd")</f>
        <v>Sun</v>
      </c>
      <c r="M674" s="4" t="s">
        <v>34</v>
      </c>
      <c r="N674" t="s">
        <v>35</v>
      </c>
      <c r="O674" t="s">
        <v>38</v>
      </c>
      <c r="P674" s="8">
        <v>4</v>
      </c>
      <c r="Q674" s="6">
        <v>0.77083333333333337</v>
      </c>
      <c r="R674" s="6">
        <v>72</v>
      </c>
      <c r="S674" s="6" t="str">
        <f>IF(Table2[[#This Row],[Avg_score]]&gt;=79,"Distinction",IF(Table2[[#This Row],[Avg_score]]&gt;=60,"Pass","Fail"))</f>
        <v>Pass</v>
      </c>
      <c r="T674" t="s">
        <v>40</v>
      </c>
      <c r="U674">
        <f>IF(Table2[[#This Row],[Completed]]="Yes",1,0)</f>
        <v>0</v>
      </c>
      <c r="V674" t="s">
        <v>40</v>
      </c>
      <c r="W674" t="s">
        <v>40</v>
      </c>
      <c r="X674" s="4">
        <v>45838</v>
      </c>
    </row>
    <row r="675" spans="1:24" x14ac:dyDescent="0.3">
      <c r="A675">
        <v>674</v>
      </c>
      <c r="B675" s="8">
        <v>225</v>
      </c>
      <c r="C675">
        <v>2</v>
      </c>
      <c r="D675" t="s">
        <v>21</v>
      </c>
      <c r="E675" t="s">
        <v>23</v>
      </c>
      <c r="F675">
        <v>32</v>
      </c>
      <c r="G675" t="str">
        <f>IF(Table2[[#This Row],[Age]]&gt;=30,"Experienced",IF(Table2[[#This Row],[Age]]&gt;=25,"Mid Level", "Entry Level"))</f>
        <v>Experienced</v>
      </c>
      <c r="H675" t="s">
        <v>28</v>
      </c>
      <c r="I675" t="s">
        <v>30</v>
      </c>
      <c r="J675" s="4">
        <v>45683</v>
      </c>
      <c r="K675" s="4" t="str">
        <f>TEXT(Table2[[#This Row],[Enrollment_date]],"Mmm")</f>
        <v>Jan</v>
      </c>
      <c r="L675" s="4" t="str">
        <f>TEXT(Table2[[#This Row],[Enrollment_date]],"Ddd")</f>
        <v>Sun</v>
      </c>
      <c r="M675" s="4" t="s">
        <v>34</v>
      </c>
      <c r="N675" t="s">
        <v>36</v>
      </c>
      <c r="O675" t="s">
        <v>38</v>
      </c>
      <c r="P675" s="8">
        <v>4</v>
      </c>
      <c r="Q675" s="6">
        <v>0.8125</v>
      </c>
      <c r="R675" s="6">
        <v>59.5</v>
      </c>
      <c r="S675" s="6" t="str">
        <f>IF(Table2[[#This Row],[Avg_score]]&gt;=79,"Distinction",IF(Table2[[#This Row],[Avg_score]]&gt;=60,"Pass","Fail"))</f>
        <v>Fail</v>
      </c>
      <c r="T675" t="s">
        <v>40</v>
      </c>
      <c r="U675">
        <f>IF(Table2[[#This Row],[Completed]]="Yes",1,0)</f>
        <v>0</v>
      </c>
      <c r="V675" t="s">
        <v>40</v>
      </c>
      <c r="W675" t="s">
        <v>40</v>
      </c>
      <c r="X675" s="4">
        <v>45838</v>
      </c>
    </row>
    <row r="676" spans="1:24" x14ac:dyDescent="0.3">
      <c r="A676">
        <v>675</v>
      </c>
      <c r="B676" s="8">
        <v>225</v>
      </c>
      <c r="C676">
        <v>3</v>
      </c>
      <c r="D676" t="s">
        <v>19</v>
      </c>
      <c r="E676" t="s">
        <v>23</v>
      </c>
      <c r="F676">
        <v>32</v>
      </c>
      <c r="G676" t="str">
        <f>IF(Table2[[#This Row],[Age]]&gt;=30,"Experienced",IF(Table2[[#This Row],[Age]]&gt;=25,"Mid Level", "Entry Level"))</f>
        <v>Experienced</v>
      </c>
      <c r="H676" t="s">
        <v>28</v>
      </c>
      <c r="I676" t="s">
        <v>30</v>
      </c>
      <c r="J676" s="4">
        <v>45683</v>
      </c>
      <c r="K676" s="4" t="str">
        <f>TEXT(Table2[[#This Row],[Enrollment_date]],"Mmm")</f>
        <v>Jan</v>
      </c>
      <c r="L676" s="4" t="str">
        <f>TEXT(Table2[[#This Row],[Enrollment_date]],"Ddd")</f>
        <v>Sun</v>
      </c>
      <c r="M676" s="4" t="s">
        <v>34</v>
      </c>
      <c r="N676" t="s">
        <v>37</v>
      </c>
      <c r="O676" t="s">
        <v>38</v>
      </c>
      <c r="P676" s="8">
        <v>4</v>
      </c>
      <c r="Q676" s="6">
        <v>0.77083333333333337</v>
      </c>
      <c r="R676" s="6">
        <v>76.5</v>
      </c>
      <c r="S676" s="6" t="str">
        <f>IF(Table2[[#This Row],[Avg_score]]&gt;=79,"Distinction",IF(Table2[[#This Row],[Avg_score]]&gt;=60,"Pass","Fail"))</f>
        <v>Pass</v>
      </c>
      <c r="T676" t="s">
        <v>40</v>
      </c>
      <c r="U676">
        <f>IF(Table2[[#This Row],[Completed]]="Yes",1,0)</f>
        <v>0</v>
      </c>
      <c r="V676" t="s">
        <v>40</v>
      </c>
      <c r="W676" t="s">
        <v>40</v>
      </c>
      <c r="X676" s="4">
        <v>45838</v>
      </c>
    </row>
    <row r="677" spans="1:24" x14ac:dyDescent="0.3">
      <c r="A677">
        <v>676</v>
      </c>
      <c r="B677" s="8">
        <v>226</v>
      </c>
      <c r="C677">
        <v>1</v>
      </c>
      <c r="D677" t="s">
        <v>19</v>
      </c>
      <c r="E677" t="s">
        <v>23</v>
      </c>
      <c r="F677">
        <v>35</v>
      </c>
      <c r="G677" t="str">
        <f>IF(Table2[[#This Row],[Age]]&gt;=30,"Experienced",IF(Table2[[#This Row],[Age]]&gt;=25,"Mid Level", "Entry Level"))</f>
        <v>Experienced</v>
      </c>
      <c r="H677" t="s">
        <v>24</v>
      </c>
      <c r="I677" t="s">
        <v>30</v>
      </c>
      <c r="J677" s="4">
        <v>45673</v>
      </c>
      <c r="K677" s="4" t="str">
        <f>TEXT(Table2[[#This Row],[Enrollment_date]],"Mmm")</f>
        <v>Jan</v>
      </c>
      <c r="L677" s="4" t="str">
        <f>TEXT(Table2[[#This Row],[Enrollment_date]],"Ddd")</f>
        <v>Thu</v>
      </c>
      <c r="M677" s="4" t="s">
        <v>34</v>
      </c>
      <c r="N677" t="s">
        <v>35</v>
      </c>
      <c r="O677" t="s">
        <v>38</v>
      </c>
      <c r="P677" s="8">
        <v>4</v>
      </c>
      <c r="Q677" s="6">
        <v>0.85416666666666663</v>
      </c>
      <c r="R677" s="6">
        <v>78.5</v>
      </c>
      <c r="S677" s="6" t="str">
        <f>IF(Table2[[#This Row],[Avg_score]]&gt;=79,"Distinction",IF(Table2[[#This Row],[Avg_score]]&gt;=60,"Pass","Fail"))</f>
        <v>Pass</v>
      </c>
      <c r="T677" t="s">
        <v>39</v>
      </c>
      <c r="U677">
        <f>IF(Table2[[#This Row],[Completed]]="Yes",1,0)</f>
        <v>1</v>
      </c>
      <c r="V677" t="s">
        <v>39</v>
      </c>
      <c r="W677" t="s">
        <v>40</v>
      </c>
      <c r="X677" s="4">
        <v>45838</v>
      </c>
    </row>
    <row r="678" spans="1:24" x14ac:dyDescent="0.3">
      <c r="A678">
        <v>677</v>
      </c>
      <c r="B678" s="8">
        <v>226</v>
      </c>
      <c r="C678">
        <v>2</v>
      </c>
      <c r="D678" t="s">
        <v>19</v>
      </c>
      <c r="E678" t="s">
        <v>23</v>
      </c>
      <c r="F678">
        <v>35</v>
      </c>
      <c r="G678" t="str">
        <f>IF(Table2[[#This Row],[Age]]&gt;=30,"Experienced",IF(Table2[[#This Row],[Age]]&gt;=25,"Mid Level", "Entry Level"))</f>
        <v>Experienced</v>
      </c>
      <c r="H678" t="s">
        <v>24</v>
      </c>
      <c r="I678" t="s">
        <v>30</v>
      </c>
      <c r="J678" s="4">
        <v>45673</v>
      </c>
      <c r="K678" s="4" t="str">
        <f>TEXT(Table2[[#This Row],[Enrollment_date]],"Mmm")</f>
        <v>Jan</v>
      </c>
      <c r="L678" s="4" t="str">
        <f>TEXT(Table2[[#This Row],[Enrollment_date]],"Ddd")</f>
        <v>Thu</v>
      </c>
      <c r="M678" s="4" t="s">
        <v>34</v>
      </c>
      <c r="N678" t="s">
        <v>36</v>
      </c>
      <c r="O678" t="s">
        <v>38</v>
      </c>
      <c r="P678" s="8">
        <v>4</v>
      </c>
      <c r="Q678" s="6">
        <v>0.83333333333333337</v>
      </c>
      <c r="R678" s="6">
        <v>57.5</v>
      </c>
      <c r="S678" s="6" t="str">
        <f>IF(Table2[[#This Row],[Avg_score]]&gt;=79,"Distinction",IF(Table2[[#This Row],[Avg_score]]&gt;=60,"Pass","Fail"))</f>
        <v>Fail</v>
      </c>
      <c r="T678" t="s">
        <v>39</v>
      </c>
      <c r="U678">
        <f>IF(Table2[[#This Row],[Completed]]="Yes",1,0)</f>
        <v>1</v>
      </c>
      <c r="V678" t="s">
        <v>39</v>
      </c>
      <c r="W678" t="s">
        <v>40</v>
      </c>
      <c r="X678" s="4">
        <v>45838</v>
      </c>
    </row>
    <row r="679" spans="1:24" x14ac:dyDescent="0.3">
      <c r="A679">
        <v>678</v>
      </c>
      <c r="B679" s="8">
        <v>226</v>
      </c>
      <c r="C679">
        <v>3</v>
      </c>
      <c r="D679" t="s">
        <v>21</v>
      </c>
      <c r="E679" t="s">
        <v>23</v>
      </c>
      <c r="F679">
        <v>35</v>
      </c>
      <c r="G679" t="str">
        <f>IF(Table2[[#This Row],[Age]]&gt;=30,"Experienced",IF(Table2[[#This Row],[Age]]&gt;=25,"Mid Level", "Entry Level"))</f>
        <v>Experienced</v>
      </c>
      <c r="H679" t="s">
        <v>24</v>
      </c>
      <c r="I679" t="s">
        <v>30</v>
      </c>
      <c r="J679" s="4">
        <v>45673</v>
      </c>
      <c r="K679" s="4" t="str">
        <f>TEXT(Table2[[#This Row],[Enrollment_date]],"Mmm")</f>
        <v>Jan</v>
      </c>
      <c r="L679" s="4" t="str">
        <f>TEXT(Table2[[#This Row],[Enrollment_date]],"Ddd")</f>
        <v>Thu</v>
      </c>
      <c r="M679" s="4" t="s">
        <v>34</v>
      </c>
      <c r="N679" t="s">
        <v>37</v>
      </c>
      <c r="O679" t="s">
        <v>38</v>
      </c>
      <c r="P679" s="8">
        <v>4</v>
      </c>
      <c r="Q679" s="6">
        <v>0.77083333333333337</v>
      </c>
      <c r="R679" s="6">
        <v>83</v>
      </c>
      <c r="S679" s="6" t="str">
        <f>IF(Table2[[#This Row],[Avg_score]]&gt;=79,"Distinction",IF(Table2[[#This Row],[Avg_score]]&gt;=60,"Pass","Fail"))</f>
        <v>Distinction</v>
      </c>
      <c r="T679" t="s">
        <v>39</v>
      </c>
      <c r="U679">
        <f>IF(Table2[[#This Row],[Completed]]="Yes",1,0)</f>
        <v>1</v>
      </c>
      <c r="V679" t="s">
        <v>39</v>
      </c>
      <c r="W679" t="s">
        <v>40</v>
      </c>
      <c r="X679" s="4">
        <v>45838</v>
      </c>
    </row>
    <row r="680" spans="1:24" x14ac:dyDescent="0.3">
      <c r="A680">
        <v>679</v>
      </c>
      <c r="B680" s="8">
        <v>227</v>
      </c>
      <c r="C680">
        <v>1</v>
      </c>
      <c r="D680" t="s">
        <v>21</v>
      </c>
      <c r="E680" t="s">
        <v>23</v>
      </c>
      <c r="F680">
        <v>26</v>
      </c>
      <c r="G680" t="str">
        <f>IF(Table2[[#This Row],[Age]]&gt;=30,"Experienced",IF(Table2[[#This Row],[Age]]&gt;=25,"Mid Level", "Entry Level"))</f>
        <v>Mid Level</v>
      </c>
      <c r="H680" t="s">
        <v>28</v>
      </c>
      <c r="I680" t="s">
        <v>68</v>
      </c>
      <c r="J680" s="4">
        <v>45774</v>
      </c>
      <c r="K680" s="4" t="str">
        <f>TEXT(Table2[[#This Row],[Enrollment_date]],"Mmm")</f>
        <v>Apr</v>
      </c>
      <c r="L680" s="4" t="str">
        <f>TEXT(Table2[[#This Row],[Enrollment_date]],"Ddd")</f>
        <v>Sun</v>
      </c>
      <c r="M680" s="4" t="s">
        <v>34</v>
      </c>
      <c r="N680" t="s">
        <v>35</v>
      </c>
      <c r="O680" t="s">
        <v>38</v>
      </c>
      <c r="P680" s="8">
        <v>4</v>
      </c>
      <c r="Q680" s="6">
        <v>0.89583333333333337</v>
      </c>
      <c r="R680" s="6">
        <v>63</v>
      </c>
      <c r="S680" s="6" t="str">
        <f>IF(Table2[[#This Row],[Avg_score]]&gt;=79,"Distinction",IF(Table2[[#This Row],[Avg_score]]&gt;=60,"Pass","Fail"))</f>
        <v>Pass</v>
      </c>
      <c r="T680" t="s">
        <v>40</v>
      </c>
      <c r="U680">
        <f>IF(Table2[[#This Row],[Completed]]="Yes",1,0)</f>
        <v>0</v>
      </c>
      <c r="V680" t="s">
        <v>40</v>
      </c>
      <c r="W680" t="s">
        <v>40</v>
      </c>
      <c r="X680" s="4">
        <v>45838</v>
      </c>
    </row>
    <row r="681" spans="1:24" x14ac:dyDescent="0.3">
      <c r="A681">
        <v>680</v>
      </c>
      <c r="B681" s="8">
        <v>227</v>
      </c>
      <c r="C681">
        <v>2</v>
      </c>
      <c r="D681" t="s">
        <v>19</v>
      </c>
      <c r="E681" t="s">
        <v>23</v>
      </c>
      <c r="F681">
        <v>26</v>
      </c>
      <c r="G681" t="str">
        <f>IF(Table2[[#This Row],[Age]]&gt;=30,"Experienced",IF(Table2[[#This Row],[Age]]&gt;=25,"Mid Level", "Entry Level"))</f>
        <v>Mid Level</v>
      </c>
      <c r="H681" t="s">
        <v>28</v>
      </c>
      <c r="I681" t="s">
        <v>68</v>
      </c>
      <c r="J681" s="4">
        <v>45774</v>
      </c>
      <c r="K681" s="4" t="str">
        <f>TEXT(Table2[[#This Row],[Enrollment_date]],"Mmm")</f>
        <v>Apr</v>
      </c>
      <c r="L681" s="4" t="str">
        <f>TEXT(Table2[[#This Row],[Enrollment_date]],"Ddd")</f>
        <v>Sun</v>
      </c>
      <c r="M681" s="4" t="s">
        <v>34</v>
      </c>
      <c r="N681" t="s">
        <v>36</v>
      </c>
      <c r="O681" t="s">
        <v>38</v>
      </c>
      <c r="P681" s="8">
        <v>4</v>
      </c>
      <c r="Q681" s="6">
        <v>0.875</v>
      </c>
      <c r="R681" s="6">
        <v>66.5</v>
      </c>
      <c r="S681" s="6" t="str">
        <f>IF(Table2[[#This Row],[Avg_score]]&gt;=79,"Distinction",IF(Table2[[#This Row],[Avg_score]]&gt;=60,"Pass","Fail"))</f>
        <v>Pass</v>
      </c>
      <c r="T681" t="s">
        <v>40</v>
      </c>
      <c r="U681">
        <f>IF(Table2[[#This Row],[Completed]]="Yes",1,0)</f>
        <v>0</v>
      </c>
      <c r="V681" t="s">
        <v>40</v>
      </c>
      <c r="W681" t="s">
        <v>40</v>
      </c>
      <c r="X681" s="4">
        <v>45838</v>
      </c>
    </row>
    <row r="682" spans="1:24" x14ac:dyDescent="0.3">
      <c r="A682">
        <v>681</v>
      </c>
      <c r="B682" s="8">
        <v>227</v>
      </c>
      <c r="C682">
        <v>3</v>
      </c>
      <c r="D682" t="s">
        <v>21</v>
      </c>
      <c r="E682" t="s">
        <v>23</v>
      </c>
      <c r="F682">
        <v>26</v>
      </c>
      <c r="G682" t="str">
        <f>IF(Table2[[#This Row],[Age]]&gt;=30,"Experienced",IF(Table2[[#This Row],[Age]]&gt;=25,"Mid Level", "Entry Level"))</f>
        <v>Mid Level</v>
      </c>
      <c r="H682" t="s">
        <v>28</v>
      </c>
      <c r="I682" t="s">
        <v>68</v>
      </c>
      <c r="J682" s="4">
        <v>45774</v>
      </c>
      <c r="K682" s="4" t="str">
        <f>TEXT(Table2[[#This Row],[Enrollment_date]],"Mmm")</f>
        <v>Apr</v>
      </c>
      <c r="L682" s="4" t="str">
        <f>TEXT(Table2[[#This Row],[Enrollment_date]],"Ddd")</f>
        <v>Sun</v>
      </c>
      <c r="M682" s="4" t="s">
        <v>34</v>
      </c>
      <c r="N682" t="s">
        <v>37</v>
      </c>
      <c r="O682" t="s">
        <v>38</v>
      </c>
      <c r="P682" s="8">
        <v>4</v>
      </c>
      <c r="Q682" s="6">
        <v>0.83333333333333337</v>
      </c>
      <c r="R682" s="6">
        <v>80</v>
      </c>
      <c r="S682" s="6" t="str">
        <f>IF(Table2[[#This Row],[Avg_score]]&gt;=79,"Distinction",IF(Table2[[#This Row],[Avg_score]]&gt;=60,"Pass","Fail"))</f>
        <v>Distinction</v>
      </c>
      <c r="T682" t="s">
        <v>40</v>
      </c>
      <c r="U682">
        <f>IF(Table2[[#This Row],[Completed]]="Yes",1,0)</f>
        <v>0</v>
      </c>
      <c r="V682" t="s">
        <v>40</v>
      </c>
      <c r="W682" t="s">
        <v>40</v>
      </c>
      <c r="X682" s="4">
        <v>45838</v>
      </c>
    </row>
    <row r="683" spans="1:24" x14ac:dyDescent="0.3">
      <c r="A683">
        <v>682</v>
      </c>
      <c r="B683" s="8">
        <v>228</v>
      </c>
      <c r="C683">
        <v>1</v>
      </c>
      <c r="D683" t="s">
        <v>19</v>
      </c>
      <c r="E683" t="s">
        <v>22</v>
      </c>
      <c r="F683">
        <v>24</v>
      </c>
      <c r="G683" t="str">
        <f>IF(Table2[[#This Row],[Age]]&gt;=30,"Experienced",IF(Table2[[#This Row],[Age]]&gt;=25,"Mid Level", "Entry Level"))</f>
        <v>Entry Level</v>
      </c>
      <c r="H683" t="s">
        <v>24</v>
      </c>
      <c r="I683" t="s">
        <v>68</v>
      </c>
      <c r="J683" s="4">
        <v>45670</v>
      </c>
      <c r="K683" s="4" t="str">
        <f>TEXT(Table2[[#This Row],[Enrollment_date]],"Mmm")</f>
        <v>Jan</v>
      </c>
      <c r="L683" s="4" t="str">
        <f>TEXT(Table2[[#This Row],[Enrollment_date]],"Ddd")</f>
        <v>Mon</v>
      </c>
      <c r="M683" s="4" t="s">
        <v>34</v>
      </c>
      <c r="N683" t="s">
        <v>35</v>
      </c>
      <c r="O683" t="s">
        <v>38</v>
      </c>
      <c r="P683" s="8">
        <v>4</v>
      </c>
      <c r="Q683" s="6">
        <v>0.85416666666666663</v>
      </c>
      <c r="R683" s="6">
        <v>87</v>
      </c>
      <c r="S683" s="6" t="str">
        <f>IF(Table2[[#This Row],[Avg_score]]&gt;=79,"Distinction",IF(Table2[[#This Row],[Avg_score]]&gt;=60,"Pass","Fail"))</f>
        <v>Distinction</v>
      </c>
      <c r="T683" t="s">
        <v>39</v>
      </c>
      <c r="U683">
        <f>IF(Table2[[#This Row],[Completed]]="Yes",1,0)</f>
        <v>1</v>
      </c>
      <c r="V683" t="s">
        <v>39</v>
      </c>
      <c r="W683" t="s">
        <v>40</v>
      </c>
      <c r="X683" s="4">
        <v>45838</v>
      </c>
    </row>
    <row r="684" spans="1:24" x14ac:dyDescent="0.3">
      <c r="A684">
        <v>683</v>
      </c>
      <c r="B684" s="8">
        <v>228</v>
      </c>
      <c r="C684">
        <v>2</v>
      </c>
      <c r="D684" t="s">
        <v>21</v>
      </c>
      <c r="E684" t="s">
        <v>22</v>
      </c>
      <c r="F684">
        <v>24</v>
      </c>
      <c r="G684" t="str">
        <f>IF(Table2[[#This Row],[Age]]&gt;=30,"Experienced",IF(Table2[[#This Row],[Age]]&gt;=25,"Mid Level", "Entry Level"))</f>
        <v>Entry Level</v>
      </c>
      <c r="H684" t="s">
        <v>24</v>
      </c>
      <c r="I684" t="s">
        <v>68</v>
      </c>
      <c r="J684" s="4">
        <v>45670</v>
      </c>
      <c r="K684" s="4" t="str">
        <f>TEXT(Table2[[#This Row],[Enrollment_date]],"Mmm")</f>
        <v>Jan</v>
      </c>
      <c r="L684" s="4" t="str">
        <f>TEXT(Table2[[#This Row],[Enrollment_date]],"Ddd")</f>
        <v>Mon</v>
      </c>
      <c r="M684" s="4" t="s">
        <v>34</v>
      </c>
      <c r="N684" t="s">
        <v>36</v>
      </c>
      <c r="O684" t="s">
        <v>38</v>
      </c>
      <c r="P684" s="8">
        <v>4</v>
      </c>
      <c r="Q684" s="6">
        <v>0.8125</v>
      </c>
      <c r="R684" s="6">
        <v>77</v>
      </c>
      <c r="S684" s="6" t="str">
        <f>IF(Table2[[#This Row],[Avg_score]]&gt;=79,"Distinction",IF(Table2[[#This Row],[Avg_score]]&gt;=60,"Pass","Fail"))</f>
        <v>Pass</v>
      </c>
      <c r="T684" t="s">
        <v>39</v>
      </c>
      <c r="U684">
        <f>IF(Table2[[#This Row],[Completed]]="Yes",1,0)</f>
        <v>1</v>
      </c>
      <c r="V684" t="s">
        <v>39</v>
      </c>
      <c r="W684" t="s">
        <v>40</v>
      </c>
      <c r="X684" s="4">
        <v>45838</v>
      </c>
    </row>
    <row r="685" spans="1:24" x14ac:dyDescent="0.3">
      <c r="A685">
        <v>684</v>
      </c>
      <c r="B685" s="8">
        <v>228</v>
      </c>
      <c r="C685">
        <v>3</v>
      </c>
      <c r="D685" t="s">
        <v>19</v>
      </c>
      <c r="E685" t="s">
        <v>22</v>
      </c>
      <c r="F685">
        <v>24</v>
      </c>
      <c r="G685" t="str">
        <f>IF(Table2[[#This Row],[Age]]&gt;=30,"Experienced",IF(Table2[[#This Row],[Age]]&gt;=25,"Mid Level", "Entry Level"))</f>
        <v>Entry Level</v>
      </c>
      <c r="H685" t="s">
        <v>24</v>
      </c>
      <c r="I685" t="s">
        <v>68</v>
      </c>
      <c r="J685" s="4">
        <v>45670</v>
      </c>
      <c r="K685" s="4" t="str">
        <f>TEXT(Table2[[#This Row],[Enrollment_date]],"Mmm")</f>
        <v>Jan</v>
      </c>
      <c r="L685" s="4" t="str">
        <f>TEXT(Table2[[#This Row],[Enrollment_date]],"Ddd")</f>
        <v>Mon</v>
      </c>
      <c r="M685" s="4" t="s">
        <v>34</v>
      </c>
      <c r="N685" t="s">
        <v>37</v>
      </c>
      <c r="O685" t="s">
        <v>38</v>
      </c>
      <c r="P685" s="8">
        <v>4</v>
      </c>
      <c r="Q685" s="6">
        <v>0.8125</v>
      </c>
      <c r="R685" s="6">
        <v>79.5</v>
      </c>
      <c r="S685" s="6" t="str">
        <f>IF(Table2[[#This Row],[Avg_score]]&gt;=79,"Distinction",IF(Table2[[#This Row],[Avg_score]]&gt;=60,"Pass","Fail"))</f>
        <v>Distinction</v>
      </c>
      <c r="T685" t="s">
        <v>39</v>
      </c>
      <c r="U685">
        <f>IF(Table2[[#This Row],[Completed]]="Yes",1,0)</f>
        <v>1</v>
      </c>
      <c r="V685" t="s">
        <v>39</v>
      </c>
      <c r="W685" t="s">
        <v>40</v>
      </c>
      <c r="X685" s="4">
        <v>45838</v>
      </c>
    </row>
    <row r="686" spans="1:24" x14ac:dyDescent="0.3">
      <c r="A686">
        <v>685</v>
      </c>
      <c r="B686" s="8">
        <v>229</v>
      </c>
      <c r="C686">
        <v>1</v>
      </c>
      <c r="D686" t="s">
        <v>20</v>
      </c>
      <c r="E686" t="s">
        <v>23</v>
      </c>
      <c r="F686">
        <v>25</v>
      </c>
      <c r="G686" t="str">
        <f>IF(Table2[[#This Row],[Age]]&gt;=30,"Experienced",IF(Table2[[#This Row],[Age]]&gt;=25,"Mid Level", "Entry Level"))</f>
        <v>Mid Level</v>
      </c>
      <c r="H686" t="s">
        <v>28</v>
      </c>
      <c r="I686" t="s">
        <v>32</v>
      </c>
      <c r="J686" s="4">
        <v>45675</v>
      </c>
      <c r="K686" s="4" t="str">
        <f>TEXT(Table2[[#This Row],[Enrollment_date]],"Mmm")</f>
        <v>Jan</v>
      </c>
      <c r="L686" s="4" t="str">
        <f>TEXT(Table2[[#This Row],[Enrollment_date]],"Ddd")</f>
        <v>Sat</v>
      </c>
      <c r="M686" s="4" t="s">
        <v>34</v>
      </c>
      <c r="N686" t="s">
        <v>35</v>
      </c>
      <c r="O686" t="s">
        <v>38</v>
      </c>
      <c r="P686" s="8">
        <v>4</v>
      </c>
      <c r="Q686" s="6">
        <v>0.70833333333333337</v>
      </c>
      <c r="R686" s="6">
        <v>59</v>
      </c>
      <c r="S686" s="6" t="str">
        <f>IF(Table2[[#This Row],[Avg_score]]&gt;=79,"Distinction",IF(Table2[[#This Row],[Avg_score]]&gt;=60,"Pass","Fail"))</f>
        <v>Fail</v>
      </c>
      <c r="T686" t="s">
        <v>40</v>
      </c>
      <c r="U686">
        <f>IF(Table2[[#This Row],[Completed]]="Yes",1,0)</f>
        <v>0</v>
      </c>
      <c r="V686" t="s">
        <v>40</v>
      </c>
      <c r="W686" t="s">
        <v>40</v>
      </c>
      <c r="X686" s="4">
        <v>45838</v>
      </c>
    </row>
    <row r="687" spans="1:24" x14ac:dyDescent="0.3">
      <c r="A687">
        <v>686</v>
      </c>
      <c r="B687" s="8">
        <v>229</v>
      </c>
      <c r="C687">
        <v>2</v>
      </c>
      <c r="D687" t="s">
        <v>19</v>
      </c>
      <c r="E687" t="s">
        <v>23</v>
      </c>
      <c r="F687">
        <v>25</v>
      </c>
      <c r="G687" t="str">
        <f>IF(Table2[[#This Row],[Age]]&gt;=30,"Experienced",IF(Table2[[#This Row],[Age]]&gt;=25,"Mid Level", "Entry Level"))</f>
        <v>Mid Level</v>
      </c>
      <c r="H687" t="s">
        <v>28</v>
      </c>
      <c r="I687" t="s">
        <v>32</v>
      </c>
      <c r="J687" s="4">
        <v>45675</v>
      </c>
      <c r="K687" s="4" t="str">
        <f>TEXT(Table2[[#This Row],[Enrollment_date]],"Mmm")</f>
        <v>Jan</v>
      </c>
      <c r="L687" s="4" t="str">
        <f>TEXT(Table2[[#This Row],[Enrollment_date]],"Ddd")</f>
        <v>Sat</v>
      </c>
      <c r="M687" s="4" t="s">
        <v>34</v>
      </c>
      <c r="N687" t="s">
        <v>36</v>
      </c>
      <c r="O687" t="s">
        <v>38</v>
      </c>
      <c r="P687" s="8">
        <v>4</v>
      </c>
      <c r="Q687" s="6">
        <v>0.8125</v>
      </c>
      <c r="R687" s="6">
        <v>84.5</v>
      </c>
      <c r="S687" s="6" t="str">
        <f>IF(Table2[[#This Row],[Avg_score]]&gt;=79,"Distinction",IF(Table2[[#This Row],[Avg_score]]&gt;=60,"Pass","Fail"))</f>
        <v>Distinction</v>
      </c>
      <c r="T687" t="s">
        <v>40</v>
      </c>
      <c r="U687">
        <f>IF(Table2[[#This Row],[Completed]]="Yes",1,0)</f>
        <v>0</v>
      </c>
      <c r="V687" t="s">
        <v>40</v>
      </c>
      <c r="W687" t="s">
        <v>40</v>
      </c>
      <c r="X687" s="4">
        <v>45838</v>
      </c>
    </row>
    <row r="688" spans="1:24" x14ac:dyDescent="0.3">
      <c r="A688">
        <v>687</v>
      </c>
      <c r="B688" s="8">
        <v>229</v>
      </c>
      <c r="C688">
        <v>3</v>
      </c>
      <c r="D688" t="s">
        <v>21</v>
      </c>
      <c r="E688" t="s">
        <v>23</v>
      </c>
      <c r="F688">
        <v>25</v>
      </c>
      <c r="G688" t="str">
        <f>IF(Table2[[#This Row],[Age]]&gt;=30,"Experienced",IF(Table2[[#This Row],[Age]]&gt;=25,"Mid Level", "Entry Level"))</f>
        <v>Mid Level</v>
      </c>
      <c r="H688" t="s">
        <v>28</v>
      </c>
      <c r="I688" t="s">
        <v>32</v>
      </c>
      <c r="J688" s="4">
        <v>45675</v>
      </c>
      <c r="K688" s="4" t="str">
        <f>TEXT(Table2[[#This Row],[Enrollment_date]],"Mmm")</f>
        <v>Jan</v>
      </c>
      <c r="L688" s="4" t="str">
        <f>TEXT(Table2[[#This Row],[Enrollment_date]],"Ddd")</f>
        <v>Sat</v>
      </c>
      <c r="M688" s="4" t="s">
        <v>34</v>
      </c>
      <c r="N688" t="s">
        <v>37</v>
      </c>
      <c r="O688" t="s">
        <v>38</v>
      </c>
      <c r="P688" s="8">
        <v>4</v>
      </c>
      <c r="Q688" s="6">
        <v>0.875</v>
      </c>
      <c r="R688" s="6">
        <v>72.5</v>
      </c>
      <c r="S688" s="6" t="str">
        <f>IF(Table2[[#This Row],[Avg_score]]&gt;=79,"Distinction",IF(Table2[[#This Row],[Avg_score]]&gt;=60,"Pass","Fail"))</f>
        <v>Pass</v>
      </c>
      <c r="T688" t="s">
        <v>40</v>
      </c>
      <c r="U688">
        <f>IF(Table2[[#This Row],[Completed]]="Yes",1,0)</f>
        <v>0</v>
      </c>
      <c r="V688" t="s">
        <v>40</v>
      </c>
      <c r="W688" t="s">
        <v>40</v>
      </c>
      <c r="X688" s="4">
        <v>45838</v>
      </c>
    </row>
    <row r="689" spans="1:24" x14ac:dyDescent="0.3">
      <c r="A689">
        <v>688</v>
      </c>
      <c r="B689" s="8">
        <v>230</v>
      </c>
      <c r="C689">
        <v>1</v>
      </c>
      <c r="D689" t="s">
        <v>21</v>
      </c>
      <c r="E689" t="s">
        <v>22</v>
      </c>
      <c r="F689">
        <v>24</v>
      </c>
      <c r="G689" t="str">
        <f>IF(Table2[[#This Row],[Age]]&gt;=30,"Experienced",IF(Table2[[#This Row],[Age]]&gt;=25,"Mid Level", "Entry Level"))</f>
        <v>Entry Level</v>
      </c>
      <c r="H689" t="s">
        <v>28</v>
      </c>
      <c r="I689" t="s">
        <v>30</v>
      </c>
      <c r="J689" s="4">
        <v>45695</v>
      </c>
      <c r="K689" s="4" t="str">
        <f>TEXT(Table2[[#This Row],[Enrollment_date]],"Mmm")</f>
        <v>Feb</v>
      </c>
      <c r="L689" s="4" t="str">
        <f>TEXT(Table2[[#This Row],[Enrollment_date]],"Ddd")</f>
        <v>Fri</v>
      </c>
      <c r="M689" s="4" t="s">
        <v>34</v>
      </c>
      <c r="N689" t="s">
        <v>35</v>
      </c>
      <c r="O689" t="s">
        <v>38</v>
      </c>
      <c r="P689" s="8">
        <v>4</v>
      </c>
      <c r="Q689" s="6">
        <v>0.79166666666666663</v>
      </c>
      <c r="R689" s="6">
        <v>67</v>
      </c>
      <c r="S689" s="6" t="str">
        <f>IF(Table2[[#This Row],[Avg_score]]&gt;=79,"Distinction",IF(Table2[[#This Row],[Avg_score]]&gt;=60,"Pass","Fail"))</f>
        <v>Pass</v>
      </c>
      <c r="T689" t="s">
        <v>39</v>
      </c>
      <c r="U689">
        <f>IF(Table2[[#This Row],[Completed]]="Yes",1,0)</f>
        <v>1</v>
      </c>
      <c r="V689" t="s">
        <v>39</v>
      </c>
      <c r="W689" t="s">
        <v>40</v>
      </c>
      <c r="X689" s="4">
        <v>45838</v>
      </c>
    </row>
    <row r="690" spans="1:24" x14ac:dyDescent="0.3">
      <c r="A690">
        <v>689</v>
      </c>
      <c r="B690" s="8">
        <v>230</v>
      </c>
      <c r="C690">
        <v>2</v>
      </c>
      <c r="D690" t="s">
        <v>19</v>
      </c>
      <c r="E690" t="s">
        <v>22</v>
      </c>
      <c r="F690">
        <v>24</v>
      </c>
      <c r="G690" t="str">
        <f>IF(Table2[[#This Row],[Age]]&gt;=30,"Experienced",IF(Table2[[#This Row],[Age]]&gt;=25,"Mid Level", "Entry Level"))</f>
        <v>Entry Level</v>
      </c>
      <c r="H690" t="s">
        <v>28</v>
      </c>
      <c r="I690" t="s">
        <v>30</v>
      </c>
      <c r="J690" s="4">
        <v>45695</v>
      </c>
      <c r="K690" s="4" t="str">
        <f>TEXT(Table2[[#This Row],[Enrollment_date]],"Mmm")</f>
        <v>Feb</v>
      </c>
      <c r="L690" s="4" t="str">
        <f>TEXT(Table2[[#This Row],[Enrollment_date]],"Ddd")</f>
        <v>Fri</v>
      </c>
      <c r="M690" s="4" t="s">
        <v>34</v>
      </c>
      <c r="N690" t="s">
        <v>36</v>
      </c>
      <c r="O690" t="s">
        <v>38</v>
      </c>
      <c r="P690" s="8">
        <v>4</v>
      </c>
      <c r="Q690" s="6">
        <v>0.83333333333333337</v>
      </c>
      <c r="R690" s="6">
        <v>62</v>
      </c>
      <c r="S690" s="6" t="str">
        <f>IF(Table2[[#This Row],[Avg_score]]&gt;=79,"Distinction",IF(Table2[[#This Row],[Avg_score]]&gt;=60,"Pass","Fail"))</f>
        <v>Pass</v>
      </c>
      <c r="T690" t="s">
        <v>39</v>
      </c>
      <c r="U690">
        <f>IF(Table2[[#This Row],[Completed]]="Yes",1,0)</f>
        <v>1</v>
      </c>
      <c r="V690" t="s">
        <v>39</v>
      </c>
      <c r="W690" t="s">
        <v>40</v>
      </c>
      <c r="X690" s="4">
        <v>45838</v>
      </c>
    </row>
    <row r="691" spans="1:24" x14ac:dyDescent="0.3">
      <c r="A691">
        <v>690</v>
      </c>
      <c r="B691" s="8">
        <v>230</v>
      </c>
      <c r="C691">
        <v>3</v>
      </c>
      <c r="D691" t="s">
        <v>20</v>
      </c>
      <c r="E691" t="s">
        <v>22</v>
      </c>
      <c r="F691">
        <v>24</v>
      </c>
      <c r="G691" t="str">
        <f>IF(Table2[[#This Row],[Age]]&gt;=30,"Experienced",IF(Table2[[#This Row],[Age]]&gt;=25,"Mid Level", "Entry Level"))</f>
        <v>Entry Level</v>
      </c>
      <c r="H691" t="s">
        <v>28</v>
      </c>
      <c r="I691" t="s">
        <v>30</v>
      </c>
      <c r="J691" s="4">
        <v>45695</v>
      </c>
      <c r="K691" s="4" t="str">
        <f>TEXT(Table2[[#This Row],[Enrollment_date]],"Mmm")</f>
        <v>Feb</v>
      </c>
      <c r="L691" s="4" t="str">
        <f>TEXT(Table2[[#This Row],[Enrollment_date]],"Ddd")</f>
        <v>Fri</v>
      </c>
      <c r="M691" s="4" t="s">
        <v>34</v>
      </c>
      <c r="N691" t="s">
        <v>37</v>
      </c>
      <c r="O691" t="s">
        <v>38</v>
      </c>
      <c r="P691" s="8">
        <v>4</v>
      </c>
      <c r="Q691" s="6">
        <v>0.8125</v>
      </c>
      <c r="R691" s="6">
        <v>69</v>
      </c>
      <c r="S691" s="6" t="str">
        <f>IF(Table2[[#This Row],[Avg_score]]&gt;=79,"Distinction",IF(Table2[[#This Row],[Avg_score]]&gt;=60,"Pass","Fail"))</f>
        <v>Pass</v>
      </c>
      <c r="T691" t="s">
        <v>39</v>
      </c>
      <c r="U691">
        <f>IF(Table2[[#This Row],[Completed]]="Yes",1,0)</f>
        <v>1</v>
      </c>
      <c r="V691" t="s">
        <v>39</v>
      </c>
      <c r="W691" t="s">
        <v>40</v>
      </c>
      <c r="X691" s="4">
        <v>45838</v>
      </c>
    </row>
    <row r="692" spans="1:24" x14ac:dyDescent="0.3">
      <c r="A692">
        <v>691</v>
      </c>
      <c r="B692" s="8">
        <v>231</v>
      </c>
      <c r="C692">
        <v>1</v>
      </c>
      <c r="D692" t="s">
        <v>19</v>
      </c>
      <c r="E692" t="s">
        <v>22</v>
      </c>
      <c r="F692">
        <v>26</v>
      </c>
      <c r="G692" t="str">
        <f>IF(Table2[[#This Row],[Age]]&gt;=30,"Experienced",IF(Table2[[#This Row],[Age]]&gt;=25,"Mid Level", "Entry Level"))</f>
        <v>Mid Level</v>
      </c>
      <c r="H692" t="s">
        <v>28</v>
      </c>
      <c r="I692" t="s">
        <v>32</v>
      </c>
      <c r="J692" s="4">
        <v>45796</v>
      </c>
      <c r="K692" s="4" t="str">
        <f>TEXT(Table2[[#This Row],[Enrollment_date]],"Mmm")</f>
        <v>May</v>
      </c>
      <c r="L692" s="4" t="str">
        <f>TEXT(Table2[[#This Row],[Enrollment_date]],"Ddd")</f>
        <v>Mon</v>
      </c>
      <c r="M692" s="4" t="s">
        <v>34</v>
      </c>
      <c r="N692" t="s">
        <v>35</v>
      </c>
      <c r="O692" t="s">
        <v>38</v>
      </c>
      <c r="P692" s="8">
        <v>4</v>
      </c>
      <c r="Q692" s="6">
        <v>0.875</v>
      </c>
      <c r="R692" s="6">
        <v>72</v>
      </c>
      <c r="S692" s="6" t="str">
        <f>IF(Table2[[#This Row],[Avg_score]]&gt;=79,"Distinction",IF(Table2[[#This Row],[Avg_score]]&gt;=60,"Pass","Fail"))</f>
        <v>Pass</v>
      </c>
      <c r="T692" t="s">
        <v>39</v>
      </c>
      <c r="U692">
        <f>IF(Table2[[#This Row],[Completed]]="Yes",1,0)</f>
        <v>1</v>
      </c>
      <c r="V692" t="s">
        <v>40</v>
      </c>
      <c r="W692" t="s">
        <v>40</v>
      </c>
      <c r="X692" s="4">
        <v>45838</v>
      </c>
    </row>
    <row r="693" spans="1:24" x14ac:dyDescent="0.3">
      <c r="A693">
        <v>692</v>
      </c>
      <c r="B693" s="8">
        <v>231</v>
      </c>
      <c r="C693">
        <v>2</v>
      </c>
      <c r="D693" t="s">
        <v>19</v>
      </c>
      <c r="E693" t="s">
        <v>22</v>
      </c>
      <c r="F693">
        <v>26</v>
      </c>
      <c r="G693" t="str">
        <f>IF(Table2[[#This Row],[Age]]&gt;=30,"Experienced",IF(Table2[[#This Row],[Age]]&gt;=25,"Mid Level", "Entry Level"))</f>
        <v>Mid Level</v>
      </c>
      <c r="H693" t="s">
        <v>28</v>
      </c>
      <c r="I693" t="s">
        <v>32</v>
      </c>
      <c r="J693" s="4">
        <v>45796</v>
      </c>
      <c r="K693" s="4" t="str">
        <f>TEXT(Table2[[#This Row],[Enrollment_date]],"Mmm")</f>
        <v>May</v>
      </c>
      <c r="L693" s="4" t="str">
        <f>TEXT(Table2[[#This Row],[Enrollment_date]],"Ddd")</f>
        <v>Mon</v>
      </c>
      <c r="M693" s="4" t="s">
        <v>34</v>
      </c>
      <c r="N693" t="s">
        <v>36</v>
      </c>
      <c r="O693" t="s">
        <v>38</v>
      </c>
      <c r="P693" s="8">
        <v>4</v>
      </c>
      <c r="Q693" s="6">
        <v>0.77083333333333337</v>
      </c>
      <c r="R693" s="6">
        <v>75</v>
      </c>
      <c r="S693" s="6" t="str">
        <f>IF(Table2[[#This Row],[Avg_score]]&gt;=79,"Distinction",IF(Table2[[#This Row],[Avg_score]]&gt;=60,"Pass","Fail"))</f>
        <v>Pass</v>
      </c>
      <c r="T693" t="s">
        <v>39</v>
      </c>
      <c r="U693">
        <f>IF(Table2[[#This Row],[Completed]]="Yes",1,0)</f>
        <v>1</v>
      </c>
      <c r="V693" t="s">
        <v>40</v>
      </c>
      <c r="W693" t="s">
        <v>40</v>
      </c>
      <c r="X693" s="4">
        <v>45838</v>
      </c>
    </row>
    <row r="694" spans="1:24" x14ac:dyDescent="0.3">
      <c r="A694">
        <v>693</v>
      </c>
      <c r="B694" s="8">
        <v>231</v>
      </c>
      <c r="C694">
        <v>3</v>
      </c>
      <c r="D694" t="s">
        <v>21</v>
      </c>
      <c r="E694" t="s">
        <v>22</v>
      </c>
      <c r="F694">
        <v>26</v>
      </c>
      <c r="G694" t="str">
        <f>IF(Table2[[#This Row],[Age]]&gt;=30,"Experienced",IF(Table2[[#This Row],[Age]]&gt;=25,"Mid Level", "Entry Level"))</f>
        <v>Mid Level</v>
      </c>
      <c r="H694" t="s">
        <v>28</v>
      </c>
      <c r="I694" t="s">
        <v>32</v>
      </c>
      <c r="J694" s="4">
        <v>45796</v>
      </c>
      <c r="K694" s="4" t="str">
        <f>TEXT(Table2[[#This Row],[Enrollment_date]],"Mmm")</f>
        <v>May</v>
      </c>
      <c r="L694" s="4" t="str">
        <f>TEXT(Table2[[#This Row],[Enrollment_date]],"Ddd")</f>
        <v>Mon</v>
      </c>
      <c r="M694" s="4" t="s">
        <v>34</v>
      </c>
      <c r="N694" t="s">
        <v>37</v>
      </c>
      <c r="O694" t="s">
        <v>38</v>
      </c>
      <c r="P694" s="8">
        <v>4</v>
      </c>
      <c r="Q694" s="6">
        <v>0.85416666666666663</v>
      </c>
      <c r="R694" s="6">
        <v>86</v>
      </c>
      <c r="S694" s="6" t="str">
        <f>IF(Table2[[#This Row],[Avg_score]]&gt;=79,"Distinction",IF(Table2[[#This Row],[Avg_score]]&gt;=60,"Pass","Fail"))</f>
        <v>Distinction</v>
      </c>
      <c r="T694" t="s">
        <v>39</v>
      </c>
      <c r="U694">
        <f>IF(Table2[[#This Row],[Completed]]="Yes",1,0)</f>
        <v>1</v>
      </c>
      <c r="V694" t="s">
        <v>40</v>
      </c>
      <c r="W694" t="s">
        <v>40</v>
      </c>
      <c r="X694" s="4">
        <v>45838</v>
      </c>
    </row>
    <row r="695" spans="1:24" x14ac:dyDescent="0.3">
      <c r="A695">
        <v>694</v>
      </c>
      <c r="B695" s="8">
        <v>232</v>
      </c>
      <c r="C695">
        <v>1</v>
      </c>
      <c r="D695" t="s">
        <v>19</v>
      </c>
      <c r="E695" t="s">
        <v>23</v>
      </c>
      <c r="F695">
        <v>23</v>
      </c>
      <c r="G695" t="str">
        <f>IF(Table2[[#This Row],[Age]]&gt;=30,"Experienced",IF(Table2[[#This Row],[Age]]&gt;=25,"Mid Level", "Entry Level"))</f>
        <v>Entry Level</v>
      </c>
      <c r="H695" t="s">
        <v>25</v>
      </c>
      <c r="I695" t="s">
        <v>68</v>
      </c>
      <c r="J695" s="4">
        <v>45691</v>
      </c>
      <c r="K695" s="4" t="str">
        <f>TEXT(Table2[[#This Row],[Enrollment_date]],"Mmm")</f>
        <v>Feb</v>
      </c>
      <c r="L695" s="4" t="str">
        <f>TEXT(Table2[[#This Row],[Enrollment_date]],"Ddd")</f>
        <v>Mon</v>
      </c>
      <c r="M695" s="4" t="s">
        <v>34</v>
      </c>
      <c r="N695" t="s">
        <v>35</v>
      </c>
      <c r="O695" t="s">
        <v>38</v>
      </c>
      <c r="P695" s="8">
        <v>4</v>
      </c>
      <c r="Q695" s="6">
        <v>0.72916666666666663</v>
      </c>
      <c r="R695" s="6">
        <v>79</v>
      </c>
      <c r="S695" s="6" t="str">
        <f>IF(Table2[[#This Row],[Avg_score]]&gt;=79,"Distinction",IF(Table2[[#This Row],[Avg_score]]&gt;=60,"Pass","Fail"))</f>
        <v>Distinction</v>
      </c>
      <c r="T695" t="s">
        <v>40</v>
      </c>
      <c r="U695">
        <f>IF(Table2[[#This Row],[Completed]]="Yes",1,0)</f>
        <v>0</v>
      </c>
      <c r="V695" t="s">
        <v>40</v>
      </c>
      <c r="W695" t="s">
        <v>40</v>
      </c>
      <c r="X695" s="4">
        <v>45838</v>
      </c>
    </row>
    <row r="696" spans="1:24" x14ac:dyDescent="0.3">
      <c r="A696">
        <v>695</v>
      </c>
      <c r="B696" s="8">
        <v>232</v>
      </c>
      <c r="C696">
        <v>2</v>
      </c>
      <c r="D696" t="s">
        <v>20</v>
      </c>
      <c r="E696" t="s">
        <v>23</v>
      </c>
      <c r="F696">
        <v>23</v>
      </c>
      <c r="G696" t="str">
        <f>IF(Table2[[#This Row],[Age]]&gt;=30,"Experienced",IF(Table2[[#This Row],[Age]]&gt;=25,"Mid Level", "Entry Level"))</f>
        <v>Entry Level</v>
      </c>
      <c r="H696" t="s">
        <v>25</v>
      </c>
      <c r="I696" t="s">
        <v>68</v>
      </c>
      <c r="J696" s="4">
        <v>45691</v>
      </c>
      <c r="K696" s="4" t="str">
        <f>TEXT(Table2[[#This Row],[Enrollment_date]],"Mmm")</f>
        <v>Feb</v>
      </c>
      <c r="L696" s="4" t="str">
        <f>TEXT(Table2[[#This Row],[Enrollment_date]],"Ddd")</f>
        <v>Mon</v>
      </c>
      <c r="M696" s="4" t="s">
        <v>34</v>
      </c>
      <c r="N696" t="s">
        <v>36</v>
      </c>
      <c r="O696" t="s">
        <v>38</v>
      </c>
      <c r="P696" s="8">
        <v>4</v>
      </c>
      <c r="Q696" s="6">
        <v>0.89583333333333337</v>
      </c>
      <c r="R696" s="6">
        <v>67</v>
      </c>
      <c r="S696" s="6" t="str">
        <f>IF(Table2[[#This Row],[Avg_score]]&gt;=79,"Distinction",IF(Table2[[#This Row],[Avg_score]]&gt;=60,"Pass","Fail"))</f>
        <v>Pass</v>
      </c>
      <c r="T696" t="s">
        <v>40</v>
      </c>
      <c r="U696">
        <f>IF(Table2[[#This Row],[Completed]]="Yes",1,0)</f>
        <v>0</v>
      </c>
      <c r="V696" t="s">
        <v>40</v>
      </c>
      <c r="W696" t="s">
        <v>40</v>
      </c>
      <c r="X696" s="4">
        <v>45838</v>
      </c>
    </row>
    <row r="697" spans="1:24" x14ac:dyDescent="0.3">
      <c r="A697">
        <v>696</v>
      </c>
      <c r="B697" s="8">
        <v>232</v>
      </c>
      <c r="C697">
        <v>3</v>
      </c>
      <c r="D697" t="s">
        <v>21</v>
      </c>
      <c r="E697" t="s">
        <v>23</v>
      </c>
      <c r="F697">
        <v>23</v>
      </c>
      <c r="G697" t="str">
        <f>IF(Table2[[#This Row],[Age]]&gt;=30,"Experienced",IF(Table2[[#This Row],[Age]]&gt;=25,"Mid Level", "Entry Level"))</f>
        <v>Entry Level</v>
      </c>
      <c r="H697" t="s">
        <v>25</v>
      </c>
      <c r="I697" t="s">
        <v>68</v>
      </c>
      <c r="J697" s="4">
        <v>45691</v>
      </c>
      <c r="K697" s="4" t="str">
        <f>TEXT(Table2[[#This Row],[Enrollment_date]],"Mmm")</f>
        <v>Feb</v>
      </c>
      <c r="L697" s="4" t="str">
        <f>TEXT(Table2[[#This Row],[Enrollment_date]],"Ddd")</f>
        <v>Mon</v>
      </c>
      <c r="M697" s="4" t="s">
        <v>34</v>
      </c>
      <c r="N697" t="s">
        <v>37</v>
      </c>
      <c r="O697" t="s">
        <v>38</v>
      </c>
      <c r="P697" s="8">
        <v>4</v>
      </c>
      <c r="Q697" s="6">
        <v>0.83333333333333337</v>
      </c>
      <c r="R697" s="6">
        <v>68.5</v>
      </c>
      <c r="S697" s="6" t="str">
        <f>IF(Table2[[#This Row],[Avg_score]]&gt;=79,"Distinction",IF(Table2[[#This Row],[Avg_score]]&gt;=60,"Pass","Fail"))</f>
        <v>Pass</v>
      </c>
      <c r="T697" t="s">
        <v>40</v>
      </c>
      <c r="U697">
        <f>IF(Table2[[#This Row],[Completed]]="Yes",1,0)</f>
        <v>0</v>
      </c>
      <c r="V697" t="s">
        <v>40</v>
      </c>
      <c r="W697" t="s">
        <v>40</v>
      </c>
      <c r="X697" s="4">
        <v>45838</v>
      </c>
    </row>
    <row r="698" spans="1:24" x14ac:dyDescent="0.3">
      <c r="A698">
        <v>697</v>
      </c>
      <c r="B698" s="8">
        <v>233</v>
      </c>
      <c r="C698">
        <v>1</v>
      </c>
      <c r="D698" t="s">
        <v>19</v>
      </c>
      <c r="E698" t="s">
        <v>22</v>
      </c>
      <c r="F698">
        <v>29</v>
      </c>
      <c r="G698" t="str">
        <f>IF(Table2[[#This Row],[Age]]&gt;=30,"Experienced",IF(Table2[[#This Row],[Age]]&gt;=25,"Mid Level", "Entry Level"))</f>
        <v>Mid Level</v>
      </c>
      <c r="H698" t="s">
        <v>28</v>
      </c>
      <c r="I698" t="s">
        <v>30</v>
      </c>
      <c r="J698" s="4">
        <v>45662</v>
      </c>
      <c r="K698" s="4" t="str">
        <f>TEXT(Table2[[#This Row],[Enrollment_date]],"Mmm")</f>
        <v>Jan</v>
      </c>
      <c r="L698" s="4" t="str">
        <f>TEXT(Table2[[#This Row],[Enrollment_date]],"Ddd")</f>
        <v>Sun</v>
      </c>
      <c r="M698" s="4" t="s">
        <v>34</v>
      </c>
      <c r="N698" t="s">
        <v>35</v>
      </c>
      <c r="O698" t="s">
        <v>38</v>
      </c>
      <c r="P698" s="8">
        <v>4</v>
      </c>
      <c r="Q698" s="6">
        <v>0.875</v>
      </c>
      <c r="R698" s="6">
        <v>57.5</v>
      </c>
      <c r="S698" s="6" t="str">
        <f>IF(Table2[[#This Row],[Avg_score]]&gt;=79,"Distinction",IF(Table2[[#This Row],[Avg_score]]&gt;=60,"Pass","Fail"))</f>
        <v>Fail</v>
      </c>
      <c r="T698" t="s">
        <v>39</v>
      </c>
      <c r="U698">
        <f>IF(Table2[[#This Row],[Completed]]="Yes",1,0)</f>
        <v>1</v>
      </c>
      <c r="V698" t="s">
        <v>39</v>
      </c>
      <c r="W698" t="s">
        <v>40</v>
      </c>
      <c r="X698" s="4">
        <v>45838</v>
      </c>
    </row>
    <row r="699" spans="1:24" x14ac:dyDescent="0.3">
      <c r="A699">
        <v>698</v>
      </c>
      <c r="B699" s="8">
        <v>233</v>
      </c>
      <c r="C699">
        <v>2</v>
      </c>
      <c r="D699" t="s">
        <v>21</v>
      </c>
      <c r="E699" t="s">
        <v>22</v>
      </c>
      <c r="F699">
        <v>29</v>
      </c>
      <c r="G699" t="str">
        <f>IF(Table2[[#This Row],[Age]]&gt;=30,"Experienced",IF(Table2[[#This Row],[Age]]&gt;=25,"Mid Level", "Entry Level"))</f>
        <v>Mid Level</v>
      </c>
      <c r="H699" t="s">
        <v>28</v>
      </c>
      <c r="I699" t="s">
        <v>30</v>
      </c>
      <c r="J699" s="4">
        <v>45662</v>
      </c>
      <c r="K699" s="4" t="str">
        <f>TEXT(Table2[[#This Row],[Enrollment_date]],"Mmm")</f>
        <v>Jan</v>
      </c>
      <c r="L699" s="4" t="str">
        <f>TEXT(Table2[[#This Row],[Enrollment_date]],"Ddd")</f>
        <v>Sun</v>
      </c>
      <c r="M699" s="4" t="s">
        <v>34</v>
      </c>
      <c r="N699" t="s">
        <v>36</v>
      </c>
      <c r="O699" t="s">
        <v>38</v>
      </c>
      <c r="P699" s="8">
        <v>4</v>
      </c>
      <c r="Q699" s="6">
        <v>0.77083333333333337</v>
      </c>
      <c r="R699" s="6">
        <v>67.5</v>
      </c>
      <c r="S699" s="6" t="str">
        <f>IF(Table2[[#This Row],[Avg_score]]&gt;=79,"Distinction",IF(Table2[[#This Row],[Avg_score]]&gt;=60,"Pass","Fail"))</f>
        <v>Pass</v>
      </c>
      <c r="T699" t="s">
        <v>39</v>
      </c>
      <c r="U699">
        <f>IF(Table2[[#This Row],[Completed]]="Yes",1,0)</f>
        <v>1</v>
      </c>
      <c r="V699" t="s">
        <v>39</v>
      </c>
      <c r="W699" t="s">
        <v>40</v>
      </c>
      <c r="X699" s="4">
        <v>45838</v>
      </c>
    </row>
    <row r="700" spans="1:24" x14ac:dyDescent="0.3">
      <c r="A700">
        <v>699</v>
      </c>
      <c r="B700" s="8">
        <v>233</v>
      </c>
      <c r="C700">
        <v>3</v>
      </c>
      <c r="D700" t="s">
        <v>19</v>
      </c>
      <c r="E700" t="s">
        <v>22</v>
      </c>
      <c r="F700">
        <v>29</v>
      </c>
      <c r="G700" t="str">
        <f>IF(Table2[[#This Row],[Age]]&gt;=30,"Experienced",IF(Table2[[#This Row],[Age]]&gt;=25,"Mid Level", "Entry Level"))</f>
        <v>Mid Level</v>
      </c>
      <c r="H700" t="s">
        <v>28</v>
      </c>
      <c r="I700" t="s">
        <v>30</v>
      </c>
      <c r="J700" s="4">
        <v>45662</v>
      </c>
      <c r="K700" s="4" t="str">
        <f>TEXT(Table2[[#This Row],[Enrollment_date]],"Mmm")</f>
        <v>Jan</v>
      </c>
      <c r="L700" s="4" t="str">
        <f>TEXT(Table2[[#This Row],[Enrollment_date]],"Ddd")</f>
        <v>Sun</v>
      </c>
      <c r="M700" s="4" t="s">
        <v>34</v>
      </c>
      <c r="N700" t="s">
        <v>37</v>
      </c>
      <c r="O700" t="s">
        <v>38</v>
      </c>
      <c r="P700" s="8">
        <v>4</v>
      </c>
      <c r="Q700" s="6">
        <v>0.85416666666666663</v>
      </c>
      <c r="R700" s="6">
        <v>74</v>
      </c>
      <c r="S700" s="6" t="str">
        <f>IF(Table2[[#This Row],[Avg_score]]&gt;=79,"Distinction",IF(Table2[[#This Row],[Avg_score]]&gt;=60,"Pass","Fail"))</f>
        <v>Pass</v>
      </c>
      <c r="T700" t="s">
        <v>39</v>
      </c>
      <c r="U700">
        <f>IF(Table2[[#This Row],[Completed]]="Yes",1,0)</f>
        <v>1</v>
      </c>
      <c r="V700" t="s">
        <v>39</v>
      </c>
      <c r="W700" t="s">
        <v>40</v>
      </c>
      <c r="X700" s="4">
        <v>45838</v>
      </c>
    </row>
    <row r="701" spans="1:24" x14ac:dyDescent="0.3">
      <c r="A701">
        <v>700</v>
      </c>
      <c r="B701" s="8">
        <v>234</v>
      </c>
      <c r="C701">
        <v>1</v>
      </c>
      <c r="D701" t="s">
        <v>19</v>
      </c>
      <c r="E701" t="s">
        <v>22</v>
      </c>
      <c r="F701">
        <v>26</v>
      </c>
      <c r="G701" t="str">
        <f>IF(Table2[[#This Row],[Age]]&gt;=30,"Experienced",IF(Table2[[#This Row],[Age]]&gt;=25,"Mid Level", "Entry Level"))</f>
        <v>Mid Level</v>
      </c>
      <c r="H701" t="s">
        <v>25</v>
      </c>
      <c r="I701" t="s">
        <v>32</v>
      </c>
      <c r="J701" s="4">
        <v>45765</v>
      </c>
      <c r="K701" s="4" t="str">
        <f>TEXT(Table2[[#This Row],[Enrollment_date]],"Mmm")</f>
        <v>Apr</v>
      </c>
      <c r="L701" s="4" t="str">
        <f>TEXT(Table2[[#This Row],[Enrollment_date]],"Ddd")</f>
        <v>Fri</v>
      </c>
      <c r="M701" s="4" t="s">
        <v>34</v>
      </c>
      <c r="N701" t="s">
        <v>35</v>
      </c>
      <c r="O701" t="s">
        <v>38</v>
      </c>
      <c r="P701" s="8">
        <v>4</v>
      </c>
      <c r="Q701" s="6">
        <v>0.79166666666666663</v>
      </c>
      <c r="R701" s="6">
        <v>74</v>
      </c>
      <c r="S701" s="6" t="str">
        <f>IF(Table2[[#This Row],[Avg_score]]&gt;=79,"Distinction",IF(Table2[[#This Row],[Avg_score]]&gt;=60,"Pass","Fail"))</f>
        <v>Pass</v>
      </c>
      <c r="T701" t="s">
        <v>39</v>
      </c>
      <c r="U701">
        <f>IF(Table2[[#This Row],[Completed]]="Yes",1,0)</f>
        <v>1</v>
      </c>
      <c r="V701" t="s">
        <v>39</v>
      </c>
      <c r="W701" t="s">
        <v>40</v>
      </c>
      <c r="X701" s="4">
        <v>45838</v>
      </c>
    </row>
    <row r="702" spans="1:24" x14ac:dyDescent="0.3">
      <c r="A702">
        <v>701</v>
      </c>
      <c r="B702" s="8">
        <v>234</v>
      </c>
      <c r="C702">
        <v>2</v>
      </c>
      <c r="D702" t="s">
        <v>21</v>
      </c>
      <c r="E702" t="s">
        <v>22</v>
      </c>
      <c r="F702">
        <v>26</v>
      </c>
      <c r="G702" t="str">
        <f>IF(Table2[[#This Row],[Age]]&gt;=30,"Experienced",IF(Table2[[#This Row],[Age]]&gt;=25,"Mid Level", "Entry Level"))</f>
        <v>Mid Level</v>
      </c>
      <c r="H702" t="s">
        <v>25</v>
      </c>
      <c r="I702" t="s">
        <v>32</v>
      </c>
      <c r="J702" s="4">
        <v>45765</v>
      </c>
      <c r="K702" s="4" t="str">
        <f>TEXT(Table2[[#This Row],[Enrollment_date]],"Mmm")</f>
        <v>Apr</v>
      </c>
      <c r="L702" s="4" t="str">
        <f>TEXT(Table2[[#This Row],[Enrollment_date]],"Ddd")</f>
        <v>Fri</v>
      </c>
      <c r="M702" s="4" t="s">
        <v>34</v>
      </c>
      <c r="N702" t="s">
        <v>36</v>
      </c>
      <c r="O702" t="s">
        <v>38</v>
      </c>
      <c r="P702" s="8">
        <v>4</v>
      </c>
      <c r="Q702" s="6">
        <v>0.75</v>
      </c>
      <c r="R702" s="6">
        <v>72</v>
      </c>
      <c r="S702" s="6" t="str">
        <f>IF(Table2[[#This Row],[Avg_score]]&gt;=79,"Distinction",IF(Table2[[#This Row],[Avg_score]]&gt;=60,"Pass","Fail"))</f>
        <v>Pass</v>
      </c>
      <c r="T702" t="s">
        <v>39</v>
      </c>
      <c r="U702">
        <f>IF(Table2[[#This Row],[Completed]]="Yes",1,0)</f>
        <v>1</v>
      </c>
      <c r="V702" t="s">
        <v>39</v>
      </c>
      <c r="W702" t="s">
        <v>40</v>
      </c>
      <c r="X702" s="4">
        <v>45838</v>
      </c>
    </row>
    <row r="703" spans="1:24" x14ac:dyDescent="0.3">
      <c r="A703">
        <v>702</v>
      </c>
      <c r="B703" s="8">
        <v>234</v>
      </c>
      <c r="C703">
        <v>3</v>
      </c>
      <c r="D703" t="s">
        <v>19</v>
      </c>
      <c r="E703" t="s">
        <v>22</v>
      </c>
      <c r="F703">
        <v>26</v>
      </c>
      <c r="G703" t="str">
        <f>IF(Table2[[#This Row],[Age]]&gt;=30,"Experienced",IF(Table2[[#This Row],[Age]]&gt;=25,"Mid Level", "Entry Level"))</f>
        <v>Mid Level</v>
      </c>
      <c r="H703" t="s">
        <v>25</v>
      </c>
      <c r="I703" t="s">
        <v>32</v>
      </c>
      <c r="J703" s="4">
        <v>45765</v>
      </c>
      <c r="K703" s="4" t="str">
        <f>TEXT(Table2[[#This Row],[Enrollment_date]],"Mmm")</f>
        <v>Apr</v>
      </c>
      <c r="L703" s="4" t="str">
        <f>TEXT(Table2[[#This Row],[Enrollment_date]],"Ddd")</f>
        <v>Fri</v>
      </c>
      <c r="M703" s="4" t="s">
        <v>34</v>
      </c>
      <c r="N703" t="s">
        <v>37</v>
      </c>
      <c r="O703" t="s">
        <v>38</v>
      </c>
      <c r="P703" s="8">
        <v>4</v>
      </c>
      <c r="Q703" s="6">
        <v>0.875</v>
      </c>
      <c r="R703" s="6">
        <v>66.5</v>
      </c>
      <c r="S703" s="6" t="str">
        <f>IF(Table2[[#This Row],[Avg_score]]&gt;=79,"Distinction",IF(Table2[[#This Row],[Avg_score]]&gt;=60,"Pass","Fail"))</f>
        <v>Pass</v>
      </c>
      <c r="T703" t="s">
        <v>39</v>
      </c>
      <c r="U703">
        <f>IF(Table2[[#This Row],[Completed]]="Yes",1,0)</f>
        <v>1</v>
      </c>
      <c r="V703" t="s">
        <v>39</v>
      </c>
      <c r="W703" t="s">
        <v>40</v>
      </c>
      <c r="X703" s="4">
        <v>45838</v>
      </c>
    </row>
    <row r="704" spans="1:24" x14ac:dyDescent="0.3">
      <c r="A704">
        <v>703</v>
      </c>
      <c r="B704" s="8">
        <v>235</v>
      </c>
      <c r="C704">
        <v>1</v>
      </c>
      <c r="D704" t="s">
        <v>19</v>
      </c>
      <c r="E704" t="s">
        <v>22</v>
      </c>
      <c r="F704">
        <v>20</v>
      </c>
      <c r="G704" t="str">
        <f>IF(Table2[[#This Row],[Age]]&gt;=30,"Experienced",IF(Table2[[#This Row],[Age]]&gt;=25,"Mid Level", "Entry Level"))</f>
        <v>Entry Level</v>
      </c>
      <c r="H704" t="s">
        <v>27</v>
      </c>
      <c r="I704" t="s">
        <v>44</v>
      </c>
      <c r="J704" s="4">
        <v>45750</v>
      </c>
      <c r="K704" s="4" t="str">
        <f>TEXT(Table2[[#This Row],[Enrollment_date]],"Mmm")</f>
        <v>Apr</v>
      </c>
      <c r="L704" s="4" t="str">
        <f>TEXT(Table2[[#This Row],[Enrollment_date]],"Ddd")</f>
        <v>Thu</v>
      </c>
      <c r="M704" s="4" t="s">
        <v>34</v>
      </c>
      <c r="N704" t="s">
        <v>35</v>
      </c>
      <c r="O704" t="s">
        <v>38</v>
      </c>
      <c r="P704" s="8">
        <v>4</v>
      </c>
      <c r="Q704" s="6">
        <v>0.75</v>
      </c>
      <c r="R704" s="6">
        <v>53.5</v>
      </c>
      <c r="S704" s="6" t="str">
        <f>IF(Table2[[#This Row],[Avg_score]]&gt;=79,"Distinction",IF(Table2[[#This Row],[Avg_score]]&gt;=60,"Pass","Fail"))</f>
        <v>Fail</v>
      </c>
      <c r="T704" t="s">
        <v>39</v>
      </c>
      <c r="U704">
        <f>IF(Table2[[#This Row],[Completed]]="Yes",1,0)</f>
        <v>1</v>
      </c>
      <c r="V704" t="s">
        <v>40</v>
      </c>
      <c r="W704" t="s">
        <v>40</v>
      </c>
      <c r="X704" s="4">
        <v>45838</v>
      </c>
    </row>
    <row r="705" spans="1:24" x14ac:dyDescent="0.3">
      <c r="A705">
        <v>704</v>
      </c>
      <c r="B705" s="8">
        <v>235</v>
      </c>
      <c r="C705">
        <v>2</v>
      </c>
      <c r="D705" t="s">
        <v>19</v>
      </c>
      <c r="E705" t="s">
        <v>22</v>
      </c>
      <c r="F705">
        <v>20</v>
      </c>
      <c r="G705" t="str">
        <f>IF(Table2[[#This Row],[Age]]&gt;=30,"Experienced",IF(Table2[[#This Row],[Age]]&gt;=25,"Mid Level", "Entry Level"))</f>
        <v>Entry Level</v>
      </c>
      <c r="H705" t="s">
        <v>27</v>
      </c>
      <c r="I705" t="s">
        <v>44</v>
      </c>
      <c r="J705" s="4">
        <v>45750</v>
      </c>
      <c r="K705" s="4" t="str">
        <f>TEXT(Table2[[#This Row],[Enrollment_date]],"Mmm")</f>
        <v>Apr</v>
      </c>
      <c r="L705" s="4" t="str">
        <f>TEXT(Table2[[#This Row],[Enrollment_date]],"Ddd")</f>
        <v>Thu</v>
      </c>
      <c r="M705" s="4" t="s">
        <v>34</v>
      </c>
      <c r="N705" t="s">
        <v>36</v>
      </c>
      <c r="O705" t="s">
        <v>38</v>
      </c>
      <c r="P705" s="8">
        <v>4</v>
      </c>
      <c r="Q705" s="6">
        <v>0.83333333333333337</v>
      </c>
      <c r="R705" s="6">
        <v>92</v>
      </c>
      <c r="S705" s="6" t="str">
        <f>IF(Table2[[#This Row],[Avg_score]]&gt;=79,"Distinction",IF(Table2[[#This Row],[Avg_score]]&gt;=60,"Pass","Fail"))</f>
        <v>Distinction</v>
      </c>
      <c r="T705" t="s">
        <v>39</v>
      </c>
      <c r="U705">
        <f>IF(Table2[[#This Row],[Completed]]="Yes",1,0)</f>
        <v>1</v>
      </c>
      <c r="V705" t="s">
        <v>40</v>
      </c>
      <c r="W705" t="s">
        <v>40</v>
      </c>
      <c r="X705" s="4">
        <v>45838</v>
      </c>
    </row>
    <row r="706" spans="1:24" x14ac:dyDescent="0.3">
      <c r="A706">
        <v>705</v>
      </c>
      <c r="B706" s="8">
        <v>235</v>
      </c>
      <c r="C706">
        <v>3</v>
      </c>
      <c r="D706" t="s">
        <v>19</v>
      </c>
      <c r="E706" t="s">
        <v>22</v>
      </c>
      <c r="F706">
        <v>20</v>
      </c>
      <c r="G706" t="str">
        <f>IF(Table2[[#This Row],[Age]]&gt;=30,"Experienced",IF(Table2[[#This Row],[Age]]&gt;=25,"Mid Level", "Entry Level"))</f>
        <v>Entry Level</v>
      </c>
      <c r="H706" t="s">
        <v>27</v>
      </c>
      <c r="I706" t="s">
        <v>44</v>
      </c>
      <c r="J706" s="4">
        <v>45750</v>
      </c>
      <c r="K706" s="4" t="str">
        <f>TEXT(Table2[[#This Row],[Enrollment_date]],"Mmm")</f>
        <v>Apr</v>
      </c>
      <c r="L706" s="4" t="str">
        <f>TEXT(Table2[[#This Row],[Enrollment_date]],"Ddd")</f>
        <v>Thu</v>
      </c>
      <c r="M706" s="4" t="s">
        <v>34</v>
      </c>
      <c r="N706" t="s">
        <v>37</v>
      </c>
      <c r="O706" t="s">
        <v>38</v>
      </c>
      <c r="P706" s="8">
        <v>4</v>
      </c>
      <c r="Q706" s="6">
        <v>0.875</v>
      </c>
      <c r="R706" s="6">
        <v>72.5</v>
      </c>
      <c r="S706" s="6" t="str">
        <f>IF(Table2[[#This Row],[Avg_score]]&gt;=79,"Distinction",IF(Table2[[#This Row],[Avg_score]]&gt;=60,"Pass","Fail"))</f>
        <v>Pass</v>
      </c>
      <c r="T706" t="s">
        <v>39</v>
      </c>
      <c r="U706">
        <f>IF(Table2[[#This Row],[Completed]]="Yes",1,0)</f>
        <v>1</v>
      </c>
      <c r="V706" t="s">
        <v>40</v>
      </c>
      <c r="W706" t="s">
        <v>40</v>
      </c>
      <c r="X706" s="4">
        <v>45838</v>
      </c>
    </row>
    <row r="707" spans="1:24" x14ac:dyDescent="0.3">
      <c r="A707">
        <v>706</v>
      </c>
      <c r="B707" s="8">
        <v>236</v>
      </c>
      <c r="C707">
        <v>1</v>
      </c>
      <c r="D707" t="s">
        <v>19</v>
      </c>
      <c r="E707" t="s">
        <v>22</v>
      </c>
      <c r="F707">
        <v>32</v>
      </c>
      <c r="G707" t="str">
        <f>IF(Table2[[#This Row],[Age]]&gt;=30,"Experienced",IF(Table2[[#This Row],[Age]]&gt;=25,"Mid Level", "Entry Level"))</f>
        <v>Experienced</v>
      </c>
      <c r="H707" t="s">
        <v>26</v>
      </c>
      <c r="I707" t="s">
        <v>32</v>
      </c>
      <c r="J707" s="4">
        <v>45669</v>
      </c>
      <c r="K707" s="4" t="str">
        <f>TEXT(Table2[[#This Row],[Enrollment_date]],"Mmm")</f>
        <v>Jan</v>
      </c>
      <c r="L707" s="4" t="str">
        <f>TEXT(Table2[[#This Row],[Enrollment_date]],"Ddd")</f>
        <v>Sun</v>
      </c>
      <c r="M707" s="4" t="s">
        <v>34</v>
      </c>
      <c r="N707" t="s">
        <v>35</v>
      </c>
      <c r="O707" t="s">
        <v>38</v>
      </c>
      <c r="P707" s="8">
        <v>4</v>
      </c>
      <c r="Q707" s="6">
        <v>0.83333333333333337</v>
      </c>
      <c r="R707" s="6">
        <v>65</v>
      </c>
      <c r="S707" s="6" t="str">
        <f>IF(Table2[[#This Row],[Avg_score]]&gt;=79,"Distinction",IF(Table2[[#This Row],[Avg_score]]&gt;=60,"Pass","Fail"))</f>
        <v>Pass</v>
      </c>
      <c r="T707" t="s">
        <v>39</v>
      </c>
      <c r="U707">
        <f>IF(Table2[[#This Row],[Completed]]="Yes",1,0)</f>
        <v>1</v>
      </c>
      <c r="V707" t="s">
        <v>39</v>
      </c>
      <c r="W707" t="s">
        <v>40</v>
      </c>
      <c r="X707" s="4">
        <v>45838</v>
      </c>
    </row>
    <row r="708" spans="1:24" x14ac:dyDescent="0.3">
      <c r="A708">
        <v>707</v>
      </c>
      <c r="B708" s="8">
        <v>236</v>
      </c>
      <c r="C708">
        <v>2</v>
      </c>
      <c r="D708" t="s">
        <v>19</v>
      </c>
      <c r="E708" t="s">
        <v>22</v>
      </c>
      <c r="F708">
        <v>32</v>
      </c>
      <c r="G708" t="str">
        <f>IF(Table2[[#This Row],[Age]]&gt;=30,"Experienced",IF(Table2[[#This Row],[Age]]&gt;=25,"Mid Level", "Entry Level"))</f>
        <v>Experienced</v>
      </c>
      <c r="H708" t="s">
        <v>26</v>
      </c>
      <c r="I708" t="s">
        <v>32</v>
      </c>
      <c r="J708" s="4">
        <v>45669</v>
      </c>
      <c r="K708" s="4" t="str">
        <f>TEXT(Table2[[#This Row],[Enrollment_date]],"Mmm")</f>
        <v>Jan</v>
      </c>
      <c r="L708" s="4" t="str">
        <f>TEXT(Table2[[#This Row],[Enrollment_date]],"Ddd")</f>
        <v>Sun</v>
      </c>
      <c r="M708" s="4" t="s">
        <v>34</v>
      </c>
      <c r="N708" t="s">
        <v>36</v>
      </c>
      <c r="O708" t="s">
        <v>38</v>
      </c>
      <c r="P708" s="8">
        <v>4</v>
      </c>
      <c r="Q708" s="6">
        <v>0.79166666666666663</v>
      </c>
      <c r="R708" s="6">
        <v>60.5</v>
      </c>
      <c r="S708" s="6" t="str">
        <f>IF(Table2[[#This Row],[Avg_score]]&gt;=79,"Distinction",IF(Table2[[#This Row],[Avg_score]]&gt;=60,"Pass","Fail"))</f>
        <v>Pass</v>
      </c>
      <c r="T708" t="s">
        <v>39</v>
      </c>
      <c r="U708">
        <f>IF(Table2[[#This Row],[Completed]]="Yes",1,0)</f>
        <v>1</v>
      </c>
      <c r="V708" t="s">
        <v>39</v>
      </c>
      <c r="W708" t="s">
        <v>40</v>
      </c>
      <c r="X708" s="4">
        <v>45838</v>
      </c>
    </row>
    <row r="709" spans="1:24" x14ac:dyDescent="0.3">
      <c r="A709">
        <v>708</v>
      </c>
      <c r="B709" s="8">
        <v>236</v>
      </c>
      <c r="C709">
        <v>3</v>
      </c>
      <c r="D709" t="s">
        <v>19</v>
      </c>
      <c r="E709" t="s">
        <v>22</v>
      </c>
      <c r="F709">
        <v>32</v>
      </c>
      <c r="G709" t="str">
        <f>IF(Table2[[#This Row],[Age]]&gt;=30,"Experienced",IF(Table2[[#This Row],[Age]]&gt;=25,"Mid Level", "Entry Level"))</f>
        <v>Experienced</v>
      </c>
      <c r="H709" t="s">
        <v>26</v>
      </c>
      <c r="I709" t="s">
        <v>32</v>
      </c>
      <c r="J709" s="4">
        <v>45669</v>
      </c>
      <c r="K709" s="4" t="str">
        <f>TEXT(Table2[[#This Row],[Enrollment_date]],"Mmm")</f>
        <v>Jan</v>
      </c>
      <c r="L709" s="4" t="str">
        <f>TEXT(Table2[[#This Row],[Enrollment_date]],"Ddd")</f>
        <v>Sun</v>
      </c>
      <c r="M709" s="4" t="s">
        <v>34</v>
      </c>
      <c r="N709" t="s">
        <v>37</v>
      </c>
      <c r="O709" t="s">
        <v>38</v>
      </c>
      <c r="P709" s="8">
        <v>4</v>
      </c>
      <c r="Q709" s="6">
        <v>0.83333333333333337</v>
      </c>
      <c r="R709" s="6">
        <v>70</v>
      </c>
      <c r="S709" s="6" t="str">
        <f>IF(Table2[[#This Row],[Avg_score]]&gt;=79,"Distinction",IF(Table2[[#This Row],[Avg_score]]&gt;=60,"Pass","Fail"))</f>
        <v>Pass</v>
      </c>
      <c r="T709" t="s">
        <v>39</v>
      </c>
      <c r="U709">
        <f>IF(Table2[[#This Row],[Completed]]="Yes",1,0)</f>
        <v>1</v>
      </c>
      <c r="V709" t="s">
        <v>39</v>
      </c>
      <c r="W709" t="s">
        <v>40</v>
      </c>
      <c r="X709" s="4">
        <v>45838</v>
      </c>
    </row>
    <row r="710" spans="1:24" x14ac:dyDescent="0.3">
      <c r="A710">
        <v>709</v>
      </c>
      <c r="B710" s="8">
        <v>237</v>
      </c>
      <c r="C710">
        <v>1</v>
      </c>
      <c r="D710" t="s">
        <v>19</v>
      </c>
      <c r="E710" t="s">
        <v>23</v>
      </c>
      <c r="F710">
        <v>32</v>
      </c>
      <c r="G710" t="str">
        <f>IF(Table2[[#This Row],[Age]]&gt;=30,"Experienced",IF(Table2[[#This Row],[Age]]&gt;=25,"Mid Level", "Entry Level"))</f>
        <v>Experienced</v>
      </c>
      <c r="H710" t="s">
        <v>24</v>
      </c>
      <c r="I710" t="s">
        <v>68</v>
      </c>
      <c r="J710" s="4">
        <v>45673</v>
      </c>
      <c r="K710" s="4" t="str">
        <f>TEXT(Table2[[#This Row],[Enrollment_date]],"Mmm")</f>
        <v>Jan</v>
      </c>
      <c r="L710" s="4" t="str">
        <f>TEXT(Table2[[#This Row],[Enrollment_date]],"Ddd")</f>
        <v>Thu</v>
      </c>
      <c r="M710" s="4" t="s">
        <v>34</v>
      </c>
      <c r="N710" t="s">
        <v>35</v>
      </c>
      <c r="O710" t="s">
        <v>38</v>
      </c>
      <c r="P710" s="8">
        <v>4</v>
      </c>
      <c r="Q710" s="6">
        <v>0.85416666666666663</v>
      </c>
      <c r="R710" s="6">
        <v>60.5</v>
      </c>
      <c r="S710" s="6" t="str">
        <f>IF(Table2[[#This Row],[Avg_score]]&gt;=79,"Distinction",IF(Table2[[#This Row],[Avg_score]]&gt;=60,"Pass","Fail"))</f>
        <v>Pass</v>
      </c>
      <c r="T710" t="s">
        <v>39</v>
      </c>
      <c r="U710">
        <f>IF(Table2[[#This Row],[Completed]]="Yes",1,0)</f>
        <v>1</v>
      </c>
      <c r="V710" t="s">
        <v>39</v>
      </c>
      <c r="W710" t="s">
        <v>40</v>
      </c>
      <c r="X710" s="4">
        <v>45838</v>
      </c>
    </row>
    <row r="711" spans="1:24" x14ac:dyDescent="0.3">
      <c r="A711">
        <v>710</v>
      </c>
      <c r="B711" s="8">
        <v>237</v>
      </c>
      <c r="C711">
        <v>2</v>
      </c>
      <c r="D711" t="s">
        <v>19</v>
      </c>
      <c r="E711" t="s">
        <v>23</v>
      </c>
      <c r="F711">
        <v>32</v>
      </c>
      <c r="G711" t="str">
        <f>IF(Table2[[#This Row],[Age]]&gt;=30,"Experienced",IF(Table2[[#This Row],[Age]]&gt;=25,"Mid Level", "Entry Level"))</f>
        <v>Experienced</v>
      </c>
      <c r="H711" t="s">
        <v>24</v>
      </c>
      <c r="I711" t="s">
        <v>68</v>
      </c>
      <c r="J711" s="4">
        <v>45673</v>
      </c>
      <c r="K711" s="4" t="str">
        <f>TEXT(Table2[[#This Row],[Enrollment_date]],"Mmm")</f>
        <v>Jan</v>
      </c>
      <c r="L711" s="4" t="str">
        <f>TEXT(Table2[[#This Row],[Enrollment_date]],"Ddd")</f>
        <v>Thu</v>
      </c>
      <c r="M711" s="4" t="s">
        <v>34</v>
      </c>
      <c r="N711" t="s">
        <v>36</v>
      </c>
      <c r="O711" t="s">
        <v>38</v>
      </c>
      <c r="P711" s="8">
        <v>4</v>
      </c>
      <c r="Q711" s="6">
        <v>0.79166666666666663</v>
      </c>
      <c r="R711" s="6">
        <v>67.5</v>
      </c>
      <c r="S711" s="6" t="str">
        <f>IF(Table2[[#This Row],[Avg_score]]&gt;=79,"Distinction",IF(Table2[[#This Row],[Avg_score]]&gt;=60,"Pass","Fail"))</f>
        <v>Pass</v>
      </c>
      <c r="T711" t="s">
        <v>39</v>
      </c>
      <c r="U711">
        <f>IF(Table2[[#This Row],[Completed]]="Yes",1,0)</f>
        <v>1</v>
      </c>
      <c r="V711" t="s">
        <v>39</v>
      </c>
      <c r="W711" t="s">
        <v>40</v>
      </c>
      <c r="X711" s="4">
        <v>45838</v>
      </c>
    </row>
    <row r="712" spans="1:24" x14ac:dyDescent="0.3">
      <c r="A712">
        <v>711</v>
      </c>
      <c r="B712" s="8">
        <v>237</v>
      </c>
      <c r="C712">
        <v>3</v>
      </c>
      <c r="D712" t="s">
        <v>19</v>
      </c>
      <c r="E712" t="s">
        <v>23</v>
      </c>
      <c r="F712">
        <v>32</v>
      </c>
      <c r="G712" t="str">
        <f>IF(Table2[[#This Row],[Age]]&gt;=30,"Experienced",IF(Table2[[#This Row],[Age]]&gt;=25,"Mid Level", "Entry Level"))</f>
        <v>Experienced</v>
      </c>
      <c r="H712" t="s">
        <v>24</v>
      </c>
      <c r="I712" t="s">
        <v>68</v>
      </c>
      <c r="J712" s="4">
        <v>45673</v>
      </c>
      <c r="K712" s="4" t="str">
        <f>TEXT(Table2[[#This Row],[Enrollment_date]],"Mmm")</f>
        <v>Jan</v>
      </c>
      <c r="L712" s="4" t="str">
        <f>TEXT(Table2[[#This Row],[Enrollment_date]],"Ddd")</f>
        <v>Thu</v>
      </c>
      <c r="M712" s="4" t="s">
        <v>34</v>
      </c>
      <c r="N712" t="s">
        <v>37</v>
      </c>
      <c r="O712" t="s">
        <v>38</v>
      </c>
      <c r="P712" s="8">
        <v>4</v>
      </c>
      <c r="Q712" s="6">
        <v>0.9375</v>
      </c>
      <c r="R712" s="6">
        <v>93.5</v>
      </c>
      <c r="S712" s="6" t="str">
        <f>IF(Table2[[#This Row],[Avg_score]]&gt;=79,"Distinction",IF(Table2[[#This Row],[Avg_score]]&gt;=60,"Pass","Fail"))</f>
        <v>Distinction</v>
      </c>
      <c r="T712" t="s">
        <v>39</v>
      </c>
      <c r="U712">
        <f>IF(Table2[[#This Row],[Completed]]="Yes",1,0)</f>
        <v>1</v>
      </c>
      <c r="V712" t="s">
        <v>39</v>
      </c>
      <c r="W712" t="s">
        <v>40</v>
      </c>
      <c r="X712" s="4">
        <v>45838</v>
      </c>
    </row>
    <row r="713" spans="1:24" x14ac:dyDescent="0.3">
      <c r="A713">
        <v>712</v>
      </c>
      <c r="B713" s="8">
        <v>238</v>
      </c>
      <c r="C713">
        <v>1</v>
      </c>
      <c r="D713" t="s">
        <v>21</v>
      </c>
      <c r="E713" t="s">
        <v>23</v>
      </c>
      <c r="F713">
        <v>30</v>
      </c>
      <c r="G713" t="str">
        <f>IF(Table2[[#This Row],[Age]]&gt;=30,"Experienced",IF(Table2[[#This Row],[Age]]&gt;=25,"Mid Level", "Entry Level"))</f>
        <v>Experienced</v>
      </c>
      <c r="H713" t="s">
        <v>27</v>
      </c>
      <c r="I713" t="s">
        <v>68</v>
      </c>
      <c r="J713" s="4">
        <v>45783</v>
      </c>
      <c r="K713" s="4" t="str">
        <f>TEXT(Table2[[#This Row],[Enrollment_date]],"Mmm")</f>
        <v>May</v>
      </c>
      <c r="L713" s="4" t="str">
        <f>TEXT(Table2[[#This Row],[Enrollment_date]],"Ddd")</f>
        <v>Tue</v>
      </c>
      <c r="M713" s="4" t="s">
        <v>34</v>
      </c>
      <c r="N713" t="s">
        <v>35</v>
      </c>
      <c r="O713" t="s">
        <v>38</v>
      </c>
      <c r="P713" s="8">
        <v>4</v>
      </c>
      <c r="Q713" s="6">
        <v>0.85416666666666663</v>
      </c>
      <c r="R713" s="6">
        <v>90.5</v>
      </c>
      <c r="S713" s="6" t="str">
        <f>IF(Table2[[#This Row],[Avg_score]]&gt;=79,"Distinction",IF(Table2[[#This Row],[Avg_score]]&gt;=60,"Pass","Fail"))</f>
        <v>Distinction</v>
      </c>
      <c r="T713" t="s">
        <v>40</v>
      </c>
      <c r="U713">
        <f>IF(Table2[[#This Row],[Completed]]="Yes",1,0)</f>
        <v>0</v>
      </c>
      <c r="V713" t="s">
        <v>40</v>
      </c>
      <c r="W713" t="s">
        <v>40</v>
      </c>
      <c r="X713" s="4">
        <v>45838</v>
      </c>
    </row>
    <row r="714" spans="1:24" x14ac:dyDescent="0.3">
      <c r="A714">
        <v>713</v>
      </c>
      <c r="B714" s="8">
        <v>238</v>
      </c>
      <c r="C714">
        <v>2</v>
      </c>
      <c r="D714" t="s">
        <v>19</v>
      </c>
      <c r="E714" t="s">
        <v>23</v>
      </c>
      <c r="F714">
        <v>30</v>
      </c>
      <c r="G714" t="str">
        <f>IF(Table2[[#This Row],[Age]]&gt;=30,"Experienced",IF(Table2[[#This Row],[Age]]&gt;=25,"Mid Level", "Entry Level"))</f>
        <v>Experienced</v>
      </c>
      <c r="H714" t="s">
        <v>27</v>
      </c>
      <c r="I714" t="s">
        <v>68</v>
      </c>
      <c r="J714" s="4">
        <v>45783</v>
      </c>
      <c r="K714" s="4" t="str">
        <f>TEXT(Table2[[#This Row],[Enrollment_date]],"Mmm")</f>
        <v>May</v>
      </c>
      <c r="L714" s="4" t="str">
        <f>TEXT(Table2[[#This Row],[Enrollment_date]],"Ddd")</f>
        <v>Tue</v>
      </c>
      <c r="M714" s="4" t="s">
        <v>34</v>
      </c>
      <c r="N714" t="s">
        <v>36</v>
      </c>
      <c r="O714" t="s">
        <v>38</v>
      </c>
      <c r="P714" s="8">
        <v>4</v>
      </c>
      <c r="Q714" s="6">
        <v>0.79166666666666663</v>
      </c>
      <c r="R714" s="6">
        <v>67.5</v>
      </c>
      <c r="S714" s="6" t="str">
        <f>IF(Table2[[#This Row],[Avg_score]]&gt;=79,"Distinction",IF(Table2[[#This Row],[Avg_score]]&gt;=60,"Pass","Fail"))</f>
        <v>Pass</v>
      </c>
      <c r="T714" t="s">
        <v>40</v>
      </c>
      <c r="U714">
        <f>IF(Table2[[#This Row],[Completed]]="Yes",1,0)</f>
        <v>0</v>
      </c>
      <c r="V714" t="s">
        <v>40</v>
      </c>
      <c r="W714" t="s">
        <v>40</v>
      </c>
      <c r="X714" s="4">
        <v>45838</v>
      </c>
    </row>
    <row r="715" spans="1:24" x14ac:dyDescent="0.3">
      <c r="A715">
        <v>714</v>
      </c>
      <c r="B715" s="8">
        <v>238</v>
      </c>
      <c r="C715">
        <v>3</v>
      </c>
      <c r="D715" t="s">
        <v>19</v>
      </c>
      <c r="E715" t="s">
        <v>23</v>
      </c>
      <c r="F715">
        <v>30</v>
      </c>
      <c r="G715" t="str">
        <f>IF(Table2[[#This Row],[Age]]&gt;=30,"Experienced",IF(Table2[[#This Row],[Age]]&gt;=25,"Mid Level", "Entry Level"))</f>
        <v>Experienced</v>
      </c>
      <c r="H715" t="s">
        <v>27</v>
      </c>
      <c r="I715" t="s">
        <v>68</v>
      </c>
      <c r="J715" s="4">
        <v>45783</v>
      </c>
      <c r="K715" s="4" t="str">
        <f>TEXT(Table2[[#This Row],[Enrollment_date]],"Mmm")</f>
        <v>May</v>
      </c>
      <c r="L715" s="4" t="str">
        <f>TEXT(Table2[[#This Row],[Enrollment_date]],"Ddd")</f>
        <v>Tue</v>
      </c>
      <c r="M715" s="4" t="s">
        <v>34</v>
      </c>
      <c r="N715" t="s">
        <v>37</v>
      </c>
      <c r="O715" t="s">
        <v>38</v>
      </c>
      <c r="P715" s="8">
        <v>4</v>
      </c>
      <c r="Q715" s="6">
        <v>0.83333333333333337</v>
      </c>
      <c r="R715" s="6">
        <v>51</v>
      </c>
      <c r="S715" s="6" t="str">
        <f>IF(Table2[[#This Row],[Avg_score]]&gt;=79,"Distinction",IF(Table2[[#This Row],[Avg_score]]&gt;=60,"Pass","Fail"))</f>
        <v>Fail</v>
      </c>
      <c r="T715" t="s">
        <v>40</v>
      </c>
      <c r="U715">
        <f>IF(Table2[[#This Row],[Completed]]="Yes",1,0)</f>
        <v>0</v>
      </c>
      <c r="V715" t="s">
        <v>40</v>
      </c>
      <c r="W715" t="s">
        <v>40</v>
      </c>
      <c r="X715" s="4">
        <v>45838</v>
      </c>
    </row>
    <row r="716" spans="1:24" x14ac:dyDescent="0.3">
      <c r="A716">
        <v>715</v>
      </c>
      <c r="B716" s="8">
        <v>239</v>
      </c>
      <c r="C716">
        <v>1</v>
      </c>
      <c r="D716" t="s">
        <v>21</v>
      </c>
      <c r="E716" t="s">
        <v>23</v>
      </c>
      <c r="F716">
        <v>20</v>
      </c>
      <c r="G716" t="str">
        <f>IF(Table2[[#This Row],[Age]]&gt;=30,"Experienced",IF(Table2[[#This Row],[Age]]&gt;=25,"Mid Level", "Entry Level"))</f>
        <v>Entry Level</v>
      </c>
      <c r="H716" t="s">
        <v>25</v>
      </c>
      <c r="I716" t="s">
        <v>30</v>
      </c>
      <c r="J716" s="4">
        <v>45695</v>
      </c>
      <c r="K716" s="4" t="str">
        <f>TEXT(Table2[[#This Row],[Enrollment_date]],"Mmm")</f>
        <v>Feb</v>
      </c>
      <c r="L716" s="4" t="str">
        <f>TEXT(Table2[[#This Row],[Enrollment_date]],"Ddd")</f>
        <v>Fri</v>
      </c>
      <c r="M716" s="4" t="s">
        <v>34</v>
      </c>
      <c r="N716" t="s">
        <v>35</v>
      </c>
      <c r="O716" t="s">
        <v>38</v>
      </c>
      <c r="P716" s="8">
        <v>4</v>
      </c>
      <c r="Q716" s="6">
        <v>0.91666666666666663</v>
      </c>
      <c r="R716" s="6">
        <v>75.5</v>
      </c>
      <c r="S716" s="6" t="str">
        <f>IF(Table2[[#This Row],[Avg_score]]&gt;=79,"Distinction",IF(Table2[[#This Row],[Avg_score]]&gt;=60,"Pass","Fail"))</f>
        <v>Pass</v>
      </c>
      <c r="T716" t="s">
        <v>39</v>
      </c>
      <c r="U716">
        <f>IF(Table2[[#This Row],[Completed]]="Yes",1,0)</f>
        <v>1</v>
      </c>
      <c r="V716" t="s">
        <v>39</v>
      </c>
      <c r="W716" t="s">
        <v>40</v>
      </c>
      <c r="X716" s="4">
        <v>45838</v>
      </c>
    </row>
    <row r="717" spans="1:24" x14ac:dyDescent="0.3">
      <c r="A717">
        <v>716</v>
      </c>
      <c r="B717" s="8">
        <v>239</v>
      </c>
      <c r="C717">
        <v>2</v>
      </c>
      <c r="D717" t="s">
        <v>20</v>
      </c>
      <c r="E717" t="s">
        <v>23</v>
      </c>
      <c r="F717">
        <v>20</v>
      </c>
      <c r="G717" t="str">
        <f>IF(Table2[[#This Row],[Age]]&gt;=30,"Experienced",IF(Table2[[#This Row],[Age]]&gt;=25,"Mid Level", "Entry Level"))</f>
        <v>Entry Level</v>
      </c>
      <c r="H717" t="s">
        <v>25</v>
      </c>
      <c r="I717" t="s">
        <v>30</v>
      </c>
      <c r="J717" s="4">
        <v>45695</v>
      </c>
      <c r="K717" s="4" t="str">
        <f>TEXT(Table2[[#This Row],[Enrollment_date]],"Mmm")</f>
        <v>Feb</v>
      </c>
      <c r="L717" s="4" t="str">
        <f>TEXT(Table2[[#This Row],[Enrollment_date]],"Ddd")</f>
        <v>Fri</v>
      </c>
      <c r="M717" s="4" t="s">
        <v>34</v>
      </c>
      <c r="N717" t="s">
        <v>36</v>
      </c>
      <c r="O717" t="s">
        <v>38</v>
      </c>
      <c r="P717" s="8">
        <v>4</v>
      </c>
      <c r="Q717" s="6">
        <v>0.875</v>
      </c>
      <c r="R717" s="6">
        <v>70</v>
      </c>
      <c r="S717" s="6" t="str">
        <f>IF(Table2[[#This Row],[Avg_score]]&gt;=79,"Distinction",IF(Table2[[#This Row],[Avg_score]]&gt;=60,"Pass","Fail"))</f>
        <v>Pass</v>
      </c>
      <c r="T717" t="s">
        <v>39</v>
      </c>
      <c r="U717">
        <f>IF(Table2[[#This Row],[Completed]]="Yes",1,0)</f>
        <v>1</v>
      </c>
      <c r="V717" t="s">
        <v>39</v>
      </c>
      <c r="W717" t="s">
        <v>40</v>
      </c>
      <c r="X717" s="4">
        <v>45838</v>
      </c>
    </row>
    <row r="718" spans="1:24" x14ac:dyDescent="0.3">
      <c r="A718">
        <v>717</v>
      </c>
      <c r="B718" s="8">
        <v>239</v>
      </c>
      <c r="C718">
        <v>3</v>
      </c>
      <c r="D718" t="s">
        <v>19</v>
      </c>
      <c r="E718" t="s">
        <v>23</v>
      </c>
      <c r="F718">
        <v>20</v>
      </c>
      <c r="G718" t="str">
        <f>IF(Table2[[#This Row],[Age]]&gt;=30,"Experienced",IF(Table2[[#This Row],[Age]]&gt;=25,"Mid Level", "Entry Level"))</f>
        <v>Entry Level</v>
      </c>
      <c r="H718" t="s">
        <v>25</v>
      </c>
      <c r="I718" t="s">
        <v>30</v>
      </c>
      <c r="J718" s="4">
        <v>45695</v>
      </c>
      <c r="K718" s="4" t="str">
        <f>TEXT(Table2[[#This Row],[Enrollment_date]],"Mmm")</f>
        <v>Feb</v>
      </c>
      <c r="L718" s="4" t="str">
        <f>TEXT(Table2[[#This Row],[Enrollment_date]],"Ddd")</f>
        <v>Fri</v>
      </c>
      <c r="M718" s="4" t="s">
        <v>34</v>
      </c>
      <c r="N718" t="s">
        <v>37</v>
      </c>
      <c r="O718" t="s">
        <v>38</v>
      </c>
      <c r="P718" s="8">
        <v>4</v>
      </c>
      <c r="Q718" s="6">
        <v>0.79166666666666663</v>
      </c>
      <c r="R718" s="6">
        <v>76</v>
      </c>
      <c r="S718" s="6" t="str">
        <f>IF(Table2[[#This Row],[Avg_score]]&gt;=79,"Distinction",IF(Table2[[#This Row],[Avg_score]]&gt;=60,"Pass","Fail"))</f>
        <v>Pass</v>
      </c>
      <c r="T718" t="s">
        <v>39</v>
      </c>
      <c r="U718">
        <f>IF(Table2[[#This Row],[Completed]]="Yes",1,0)</f>
        <v>1</v>
      </c>
      <c r="V718" t="s">
        <v>39</v>
      </c>
      <c r="W718" t="s">
        <v>40</v>
      </c>
      <c r="X718" s="4">
        <v>45838</v>
      </c>
    </row>
    <row r="719" spans="1:24" x14ac:dyDescent="0.3">
      <c r="A719">
        <v>718</v>
      </c>
      <c r="B719" s="8">
        <v>240</v>
      </c>
      <c r="C719">
        <v>1</v>
      </c>
      <c r="D719" t="s">
        <v>19</v>
      </c>
      <c r="E719" t="s">
        <v>22</v>
      </c>
      <c r="F719">
        <v>22</v>
      </c>
      <c r="G719" t="str">
        <f>IF(Table2[[#This Row],[Age]]&gt;=30,"Experienced",IF(Table2[[#This Row],[Age]]&gt;=25,"Mid Level", "Entry Level"))</f>
        <v>Entry Level</v>
      </c>
      <c r="H719" t="s">
        <v>29</v>
      </c>
      <c r="I719" t="s">
        <v>30</v>
      </c>
      <c r="J719" s="4">
        <v>45755</v>
      </c>
      <c r="K719" s="4" t="str">
        <f>TEXT(Table2[[#This Row],[Enrollment_date]],"Mmm")</f>
        <v>Apr</v>
      </c>
      <c r="L719" s="4" t="str">
        <f>TEXT(Table2[[#This Row],[Enrollment_date]],"Ddd")</f>
        <v>Tue</v>
      </c>
      <c r="M719" s="4" t="s">
        <v>34</v>
      </c>
      <c r="N719" t="s">
        <v>35</v>
      </c>
      <c r="O719" t="s">
        <v>38</v>
      </c>
      <c r="P719" s="8">
        <v>4</v>
      </c>
      <c r="Q719" s="6">
        <v>0.85416666666666663</v>
      </c>
      <c r="R719" s="6">
        <v>59.5</v>
      </c>
      <c r="S719" s="6" t="str">
        <f>IF(Table2[[#This Row],[Avg_score]]&gt;=79,"Distinction",IF(Table2[[#This Row],[Avg_score]]&gt;=60,"Pass","Fail"))</f>
        <v>Fail</v>
      </c>
      <c r="T719" t="s">
        <v>40</v>
      </c>
      <c r="U719">
        <f>IF(Table2[[#This Row],[Completed]]="Yes",1,0)</f>
        <v>0</v>
      </c>
      <c r="V719" t="s">
        <v>40</v>
      </c>
      <c r="W719" t="s">
        <v>40</v>
      </c>
      <c r="X719" s="4">
        <v>45838</v>
      </c>
    </row>
    <row r="720" spans="1:24" x14ac:dyDescent="0.3">
      <c r="A720">
        <v>719</v>
      </c>
      <c r="B720" s="8">
        <v>240</v>
      </c>
      <c r="C720">
        <v>2</v>
      </c>
      <c r="D720" t="s">
        <v>20</v>
      </c>
      <c r="E720" t="s">
        <v>22</v>
      </c>
      <c r="F720">
        <v>22</v>
      </c>
      <c r="G720" t="str">
        <f>IF(Table2[[#This Row],[Age]]&gt;=30,"Experienced",IF(Table2[[#This Row],[Age]]&gt;=25,"Mid Level", "Entry Level"))</f>
        <v>Entry Level</v>
      </c>
      <c r="H720" t="s">
        <v>29</v>
      </c>
      <c r="I720" t="s">
        <v>30</v>
      </c>
      <c r="J720" s="4">
        <v>45755</v>
      </c>
      <c r="K720" s="4" t="str">
        <f>TEXT(Table2[[#This Row],[Enrollment_date]],"Mmm")</f>
        <v>Apr</v>
      </c>
      <c r="L720" s="4" t="str">
        <f>TEXT(Table2[[#This Row],[Enrollment_date]],"Ddd")</f>
        <v>Tue</v>
      </c>
      <c r="M720" s="4" t="s">
        <v>34</v>
      </c>
      <c r="N720" t="s">
        <v>36</v>
      </c>
      <c r="O720" t="s">
        <v>38</v>
      </c>
      <c r="P720" s="8">
        <v>4</v>
      </c>
      <c r="Q720" s="6">
        <v>0.6875</v>
      </c>
      <c r="R720" s="6">
        <v>85.5</v>
      </c>
      <c r="S720" s="6" t="str">
        <f>IF(Table2[[#This Row],[Avg_score]]&gt;=79,"Distinction",IF(Table2[[#This Row],[Avg_score]]&gt;=60,"Pass","Fail"))</f>
        <v>Distinction</v>
      </c>
      <c r="T720" t="s">
        <v>40</v>
      </c>
      <c r="U720">
        <f>IF(Table2[[#This Row],[Completed]]="Yes",1,0)</f>
        <v>0</v>
      </c>
      <c r="V720" t="s">
        <v>40</v>
      </c>
      <c r="W720" t="s">
        <v>40</v>
      </c>
      <c r="X720" s="4">
        <v>45838</v>
      </c>
    </row>
    <row r="721" spans="1:24" x14ac:dyDescent="0.3">
      <c r="A721">
        <v>720</v>
      </c>
      <c r="B721" s="8">
        <v>240</v>
      </c>
      <c r="C721">
        <v>3</v>
      </c>
      <c r="D721" t="s">
        <v>21</v>
      </c>
      <c r="E721" t="s">
        <v>22</v>
      </c>
      <c r="F721">
        <v>22</v>
      </c>
      <c r="G721" t="str">
        <f>IF(Table2[[#This Row],[Age]]&gt;=30,"Experienced",IF(Table2[[#This Row],[Age]]&gt;=25,"Mid Level", "Entry Level"))</f>
        <v>Entry Level</v>
      </c>
      <c r="H721" t="s">
        <v>29</v>
      </c>
      <c r="I721" t="s">
        <v>30</v>
      </c>
      <c r="J721" s="4">
        <v>45755</v>
      </c>
      <c r="K721" s="4" t="str">
        <f>TEXT(Table2[[#This Row],[Enrollment_date]],"Mmm")</f>
        <v>Apr</v>
      </c>
      <c r="L721" s="4" t="str">
        <f>TEXT(Table2[[#This Row],[Enrollment_date]],"Ddd")</f>
        <v>Tue</v>
      </c>
      <c r="M721" s="4" t="s">
        <v>34</v>
      </c>
      <c r="N721" t="s">
        <v>37</v>
      </c>
      <c r="O721" t="s">
        <v>38</v>
      </c>
      <c r="P721" s="8">
        <v>4</v>
      </c>
      <c r="Q721" s="6">
        <v>0.8125</v>
      </c>
      <c r="R721" s="6">
        <v>73</v>
      </c>
      <c r="S721" s="6" t="str">
        <f>IF(Table2[[#This Row],[Avg_score]]&gt;=79,"Distinction",IF(Table2[[#This Row],[Avg_score]]&gt;=60,"Pass","Fail"))</f>
        <v>Pass</v>
      </c>
      <c r="T721" t="s">
        <v>40</v>
      </c>
      <c r="U721">
        <f>IF(Table2[[#This Row],[Completed]]="Yes",1,0)</f>
        <v>0</v>
      </c>
      <c r="V721" t="s">
        <v>40</v>
      </c>
      <c r="W721" t="s">
        <v>40</v>
      </c>
      <c r="X721" s="4">
        <v>45838</v>
      </c>
    </row>
    <row r="722" spans="1:24" x14ac:dyDescent="0.3">
      <c r="A722">
        <v>721</v>
      </c>
      <c r="B722" s="8">
        <v>241</v>
      </c>
      <c r="C722">
        <v>1</v>
      </c>
      <c r="D722" t="s">
        <v>20</v>
      </c>
      <c r="E722" t="s">
        <v>23</v>
      </c>
      <c r="F722">
        <v>32</v>
      </c>
      <c r="G722" t="str">
        <f>IF(Table2[[#This Row],[Age]]&gt;=30,"Experienced",IF(Table2[[#This Row],[Age]]&gt;=25,"Mid Level", "Entry Level"))</f>
        <v>Experienced</v>
      </c>
      <c r="H722" t="s">
        <v>26</v>
      </c>
      <c r="I722" t="s">
        <v>44</v>
      </c>
      <c r="J722" s="4">
        <v>45683</v>
      </c>
      <c r="K722" s="4" t="str">
        <f>TEXT(Table2[[#This Row],[Enrollment_date]],"Mmm")</f>
        <v>Jan</v>
      </c>
      <c r="L722" s="4" t="str">
        <f>TEXT(Table2[[#This Row],[Enrollment_date]],"Ddd")</f>
        <v>Sun</v>
      </c>
      <c r="M722" s="4" t="s">
        <v>34</v>
      </c>
      <c r="N722" t="s">
        <v>35</v>
      </c>
      <c r="O722" t="s">
        <v>38</v>
      </c>
      <c r="P722" s="8">
        <v>4</v>
      </c>
      <c r="Q722" s="6">
        <v>0.83333333333333337</v>
      </c>
      <c r="R722" s="6">
        <v>52</v>
      </c>
      <c r="S722" s="6" t="str">
        <f>IF(Table2[[#This Row],[Avg_score]]&gt;=79,"Distinction",IF(Table2[[#This Row],[Avg_score]]&gt;=60,"Pass","Fail"))</f>
        <v>Fail</v>
      </c>
      <c r="T722" t="s">
        <v>39</v>
      </c>
      <c r="U722">
        <f>IF(Table2[[#This Row],[Completed]]="Yes",1,0)</f>
        <v>1</v>
      </c>
      <c r="V722" t="s">
        <v>39</v>
      </c>
      <c r="W722" t="s">
        <v>40</v>
      </c>
      <c r="X722" s="4">
        <v>45838</v>
      </c>
    </row>
    <row r="723" spans="1:24" x14ac:dyDescent="0.3">
      <c r="A723">
        <v>722</v>
      </c>
      <c r="B723" s="8">
        <v>241</v>
      </c>
      <c r="C723">
        <v>2</v>
      </c>
      <c r="D723" t="s">
        <v>20</v>
      </c>
      <c r="E723" t="s">
        <v>23</v>
      </c>
      <c r="F723">
        <v>32</v>
      </c>
      <c r="G723" t="str">
        <f>IF(Table2[[#This Row],[Age]]&gt;=30,"Experienced",IF(Table2[[#This Row],[Age]]&gt;=25,"Mid Level", "Entry Level"))</f>
        <v>Experienced</v>
      </c>
      <c r="H723" t="s">
        <v>26</v>
      </c>
      <c r="I723" t="s">
        <v>44</v>
      </c>
      <c r="J723" s="4">
        <v>45683</v>
      </c>
      <c r="K723" s="4" t="str">
        <f>TEXT(Table2[[#This Row],[Enrollment_date]],"Mmm")</f>
        <v>Jan</v>
      </c>
      <c r="L723" s="4" t="str">
        <f>TEXT(Table2[[#This Row],[Enrollment_date]],"Ddd")</f>
        <v>Sun</v>
      </c>
      <c r="M723" s="4" t="s">
        <v>34</v>
      </c>
      <c r="N723" t="s">
        <v>36</v>
      </c>
      <c r="O723" t="s">
        <v>38</v>
      </c>
      <c r="P723" s="8">
        <v>4</v>
      </c>
      <c r="Q723" s="6">
        <v>0.875</v>
      </c>
      <c r="R723" s="6">
        <v>67.5</v>
      </c>
      <c r="S723" s="6" t="str">
        <f>IF(Table2[[#This Row],[Avg_score]]&gt;=79,"Distinction",IF(Table2[[#This Row],[Avg_score]]&gt;=60,"Pass","Fail"))</f>
        <v>Pass</v>
      </c>
      <c r="T723" t="s">
        <v>39</v>
      </c>
      <c r="U723">
        <f>IF(Table2[[#This Row],[Completed]]="Yes",1,0)</f>
        <v>1</v>
      </c>
      <c r="V723" t="s">
        <v>39</v>
      </c>
      <c r="W723" t="s">
        <v>40</v>
      </c>
      <c r="X723" s="4">
        <v>45838</v>
      </c>
    </row>
    <row r="724" spans="1:24" x14ac:dyDescent="0.3">
      <c r="A724">
        <v>723</v>
      </c>
      <c r="B724" s="8">
        <v>241</v>
      </c>
      <c r="C724">
        <v>3</v>
      </c>
      <c r="D724" t="s">
        <v>21</v>
      </c>
      <c r="E724" t="s">
        <v>23</v>
      </c>
      <c r="F724">
        <v>32</v>
      </c>
      <c r="G724" t="str">
        <f>IF(Table2[[#This Row],[Age]]&gt;=30,"Experienced",IF(Table2[[#This Row],[Age]]&gt;=25,"Mid Level", "Entry Level"))</f>
        <v>Experienced</v>
      </c>
      <c r="H724" t="s">
        <v>26</v>
      </c>
      <c r="I724" t="s">
        <v>44</v>
      </c>
      <c r="J724" s="4">
        <v>45683</v>
      </c>
      <c r="K724" s="4" t="str">
        <f>TEXT(Table2[[#This Row],[Enrollment_date]],"Mmm")</f>
        <v>Jan</v>
      </c>
      <c r="L724" s="4" t="str">
        <f>TEXT(Table2[[#This Row],[Enrollment_date]],"Ddd")</f>
        <v>Sun</v>
      </c>
      <c r="M724" s="4" t="s">
        <v>34</v>
      </c>
      <c r="N724" t="s">
        <v>37</v>
      </c>
      <c r="O724" t="s">
        <v>38</v>
      </c>
      <c r="P724" s="8">
        <v>4</v>
      </c>
      <c r="Q724" s="6">
        <v>0.875</v>
      </c>
      <c r="R724" s="6">
        <v>67</v>
      </c>
      <c r="S724" s="6" t="str">
        <f>IF(Table2[[#This Row],[Avg_score]]&gt;=79,"Distinction",IF(Table2[[#This Row],[Avg_score]]&gt;=60,"Pass","Fail"))</f>
        <v>Pass</v>
      </c>
      <c r="T724" t="s">
        <v>39</v>
      </c>
      <c r="U724">
        <f>IF(Table2[[#This Row],[Completed]]="Yes",1,0)</f>
        <v>1</v>
      </c>
      <c r="V724" t="s">
        <v>39</v>
      </c>
      <c r="W724" t="s">
        <v>40</v>
      </c>
      <c r="X724" s="4">
        <v>45838</v>
      </c>
    </row>
    <row r="725" spans="1:24" x14ac:dyDescent="0.3">
      <c r="A725">
        <v>724</v>
      </c>
      <c r="B725" s="8">
        <v>242</v>
      </c>
      <c r="C725">
        <v>1</v>
      </c>
      <c r="D725" t="s">
        <v>19</v>
      </c>
      <c r="E725" t="s">
        <v>22</v>
      </c>
      <c r="F725">
        <v>35</v>
      </c>
      <c r="G725" t="str">
        <f>IF(Table2[[#This Row],[Age]]&gt;=30,"Experienced",IF(Table2[[#This Row],[Age]]&gt;=25,"Mid Level", "Entry Level"))</f>
        <v>Experienced</v>
      </c>
      <c r="H725" t="s">
        <v>24</v>
      </c>
      <c r="I725" t="s">
        <v>32</v>
      </c>
      <c r="J725" s="4">
        <v>45768</v>
      </c>
      <c r="K725" s="4" t="str">
        <f>TEXT(Table2[[#This Row],[Enrollment_date]],"Mmm")</f>
        <v>Apr</v>
      </c>
      <c r="L725" s="4" t="str">
        <f>TEXT(Table2[[#This Row],[Enrollment_date]],"Ddd")</f>
        <v>Mon</v>
      </c>
      <c r="M725" s="4" t="s">
        <v>34</v>
      </c>
      <c r="N725" t="s">
        <v>35</v>
      </c>
      <c r="O725" t="s">
        <v>38</v>
      </c>
      <c r="P725" s="8">
        <v>4</v>
      </c>
      <c r="Q725" s="6">
        <v>0.6875</v>
      </c>
      <c r="R725" s="6">
        <v>53.5</v>
      </c>
      <c r="S725" s="6" t="str">
        <f>IF(Table2[[#This Row],[Avg_score]]&gt;=79,"Distinction",IF(Table2[[#This Row],[Avg_score]]&gt;=60,"Pass","Fail"))</f>
        <v>Fail</v>
      </c>
      <c r="T725" t="s">
        <v>39</v>
      </c>
      <c r="U725">
        <f>IF(Table2[[#This Row],[Completed]]="Yes",1,0)</f>
        <v>1</v>
      </c>
      <c r="V725" t="s">
        <v>39</v>
      </c>
      <c r="W725" t="s">
        <v>40</v>
      </c>
      <c r="X725" s="4">
        <v>45838</v>
      </c>
    </row>
    <row r="726" spans="1:24" x14ac:dyDescent="0.3">
      <c r="A726">
        <v>725</v>
      </c>
      <c r="B726" s="8">
        <v>242</v>
      </c>
      <c r="C726">
        <v>2</v>
      </c>
      <c r="D726" t="s">
        <v>21</v>
      </c>
      <c r="E726" t="s">
        <v>22</v>
      </c>
      <c r="F726">
        <v>35</v>
      </c>
      <c r="G726" t="str">
        <f>IF(Table2[[#This Row],[Age]]&gt;=30,"Experienced",IF(Table2[[#This Row],[Age]]&gt;=25,"Mid Level", "Entry Level"))</f>
        <v>Experienced</v>
      </c>
      <c r="H726" t="s">
        <v>24</v>
      </c>
      <c r="I726" t="s">
        <v>32</v>
      </c>
      <c r="J726" s="4">
        <v>45768</v>
      </c>
      <c r="K726" s="4" t="str">
        <f>TEXT(Table2[[#This Row],[Enrollment_date]],"Mmm")</f>
        <v>Apr</v>
      </c>
      <c r="L726" s="4" t="str">
        <f>TEXT(Table2[[#This Row],[Enrollment_date]],"Ddd")</f>
        <v>Mon</v>
      </c>
      <c r="M726" s="4" t="s">
        <v>34</v>
      </c>
      <c r="N726" t="s">
        <v>36</v>
      </c>
      <c r="O726" t="s">
        <v>38</v>
      </c>
      <c r="P726" s="8">
        <v>4</v>
      </c>
      <c r="Q726" s="6">
        <v>0.83333333333333337</v>
      </c>
      <c r="R726" s="6">
        <v>81.5</v>
      </c>
      <c r="S726" s="6" t="str">
        <f>IF(Table2[[#This Row],[Avg_score]]&gt;=79,"Distinction",IF(Table2[[#This Row],[Avg_score]]&gt;=60,"Pass","Fail"))</f>
        <v>Distinction</v>
      </c>
      <c r="T726" t="s">
        <v>39</v>
      </c>
      <c r="U726">
        <f>IF(Table2[[#This Row],[Completed]]="Yes",1,0)</f>
        <v>1</v>
      </c>
      <c r="V726" t="s">
        <v>39</v>
      </c>
      <c r="W726" t="s">
        <v>40</v>
      </c>
      <c r="X726" s="4">
        <v>45838</v>
      </c>
    </row>
    <row r="727" spans="1:24" x14ac:dyDescent="0.3">
      <c r="A727">
        <v>726</v>
      </c>
      <c r="B727" s="8">
        <v>242</v>
      </c>
      <c r="C727">
        <v>3</v>
      </c>
      <c r="D727" t="s">
        <v>19</v>
      </c>
      <c r="E727" t="s">
        <v>22</v>
      </c>
      <c r="F727">
        <v>35</v>
      </c>
      <c r="G727" t="str">
        <f>IF(Table2[[#This Row],[Age]]&gt;=30,"Experienced",IF(Table2[[#This Row],[Age]]&gt;=25,"Mid Level", "Entry Level"))</f>
        <v>Experienced</v>
      </c>
      <c r="H727" t="s">
        <v>24</v>
      </c>
      <c r="I727" t="s">
        <v>32</v>
      </c>
      <c r="J727" s="4">
        <v>45768</v>
      </c>
      <c r="K727" s="4" t="str">
        <f>TEXT(Table2[[#This Row],[Enrollment_date]],"Mmm")</f>
        <v>Apr</v>
      </c>
      <c r="L727" s="4" t="str">
        <f>TEXT(Table2[[#This Row],[Enrollment_date]],"Ddd")</f>
        <v>Mon</v>
      </c>
      <c r="M727" s="4" t="s">
        <v>34</v>
      </c>
      <c r="N727" t="s">
        <v>37</v>
      </c>
      <c r="O727" t="s">
        <v>38</v>
      </c>
      <c r="P727" s="8">
        <v>4</v>
      </c>
      <c r="Q727" s="6">
        <v>0.75</v>
      </c>
      <c r="R727" s="6">
        <v>59</v>
      </c>
      <c r="S727" s="6" t="str">
        <f>IF(Table2[[#This Row],[Avg_score]]&gt;=79,"Distinction",IF(Table2[[#This Row],[Avg_score]]&gt;=60,"Pass","Fail"))</f>
        <v>Fail</v>
      </c>
      <c r="T727" t="s">
        <v>39</v>
      </c>
      <c r="U727">
        <f>IF(Table2[[#This Row],[Completed]]="Yes",1,0)</f>
        <v>1</v>
      </c>
      <c r="V727" t="s">
        <v>39</v>
      </c>
      <c r="W727" t="s">
        <v>40</v>
      </c>
      <c r="X727" s="4">
        <v>45838</v>
      </c>
    </row>
    <row r="728" spans="1:24" x14ac:dyDescent="0.3">
      <c r="A728">
        <v>727</v>
      </c>
      <c r="B728" s="8">
        <v>243</v>
      </c>
      <c r="C728">
        <v>1</v>
      </c>
      <c r="D728" t="s">
        <v>21</v>
      </c>
      <c r="E728" t="s">
        <v>23</v>
      </c>
      <c r="F728">
        <v>25</v>
      </c>
      <c r="G728" t="str">
        <f>IF(Table2[[#This Row],[Age]]&gt;=30,"Experienced",IF(Table2[[#This Row],[Age]]&gt;=25,"Mid Level", "Entry Level"))</f>
        <v>Mid Level</v>
      </c>
      <c r="H728" t="s">
        <v>27</v>
      </c>
      <c r="I728" t="s">
        <v>30</v>
      </c>
      <c r="J728" s="4">
        <v>45774</v>
      </c>
      <c r="K728" s="4" t="str">
        <f>TEXT(Table2[[#This Row],[Enrollment_date]],"Mmm")</f>
        <v>Apr</v>
      </c>
      <c r="L728" s="4" t="str">
        <f>TEXT(Table2[[#This Row],[Enrollment_date]],"Ddd")</f>
        <v>Sun</v>
      </c>
      <c r="M728" s="4" t="s">
        <v>34</v>
      </c>
      <c r="N728" t="s">
        <v>35</v>
      </c>
      <c r="O728" t="s">
        <v>38</v>
      </c>
      <c r="P728" s="8">
        <v>4</v>
      </c>
      <c r="Q728" s="6">
        <v>0.875</v>
      </c>
      <c r="R728" s="6">
        <v>80</v>
      </c>
      <c r="S728" s="6" t="str">
        <f>IF(Table2[[#This Row],[Avg_score]]&gt;=79,"Distinction",IF(Table2[[#This Row],[Avg_score]]&gt;=60,"Pass","Fail"))</f>
        <v>Distinction</v>
      </c>
      <c r="T728" t="s">
        <v>39</v>
      </c>
      <c r="U728">
        <f>IF(Table2[[#This Row],[Completed]]="Yes",1,0)</f>
        <v>1</v>
      </c>
      <c r="V728" t="s">
        <v>39</v>
      </c>
      <c r="W728" t="s">
        <v>39</v>
      </c>
      <c r="X728" s="4">
        <v>45838</v>
      </c>
    </row>
    <row r="729" spans="1:24" x14ac:dyDescent="0.3">
      <c r="A729">
        <v>728</v>
      </c>
      <c r="B729" s="8">
        <v>243</v>
      </c>
      <c r="C729">
        <v>2</v>
      </c>
      <c r="D729" t="s">
        <v>21</v>
      </c>
      <c r="E729" t="s">
        <v>23</v>
      </c>
      <c r="F729">
        <v>25</v>
      </c>
      <c r="G729" t="str">
        <f>IF(Table2[[#This Row],[Age]]&gt;=30,"Experienced",IF(Table2[[#This Row],[Age]]&gt;=25,"Mid Level", "Entry Level"))</f>
        <v>Mid Level</v>
      </c>
      <c r="H729" t="s">
        <v>27</v>
      </c>
      <c r="I729" t="s">
        <v>30</v>
      </c>
      <c r="J729" s="4">
        <v>45774</v>
      </c>
      <c r="K729" s="4" t="str">
        <f>TEXT(Table2[[#This Row],[Enrollment_date]],"Mmm")</f>
        <v>Apr</v>
      </c>
      <c r="L729" s="4" t="str">
        <f>TEXT(Table2[[#This Row],[Enrollment_date]],"Ddd")</f>
        <v>Sun</v>
      </c>
      <c r="M729" s="4" t="s">
        <v>34</v>
      </c>
      <c r="N729" t="s">
        <v>36</v>
      </c>
      <c r="O729" t="s">
        <v>38</v>
      </c>
      <c r="P729" s="8">
        <v>4</v>
      </c>
      <c r="Q729" s="6">
        <v>0.8125</v>
      </c>
      <c r="R729" s="6">
        <v>74</v>
      </c>
      <c r="S729" s="6" t="str">
        <f>IF(Table2[[#This Row],[Avg_score]]&gt;=79,"Distinction",IF(Table2[[#This Row],[Avg_score]]&gt;=60,"Pass","Fail"))</f>
        <v>Pass</v>
      </c>
      <c r="T729" t="s">
        <v>39</v>
      </c>
      <c r="U729">
        <f>IF(Table2[[#This Row],[Completed]]="Yes",1,0)</f>
        <v>1</v>
      </c>
      <c r="V729" t="s">
        <v>39</v>
      </c>
      <c r="W729" t="s">
        <v>39</v>
      </c>
      <c r="X729" s="4">
        <v>45838</v>
      </c>
    </row>
    <row r="730" spans="1:24" x14ac:dyDescent="0.3">
      <c r="A730">
        <v>729</v>
      </c>
      <c r="B730" s="8">
        <v>243</v>
      </c>
      <c r="C730">
        <v>3</v>
      </c>
      <c r="D730" t="s">
        <v>21</v>
      </c>
      <c r="E730" t="s">
        <v>23</v>
      </c>
      <c r="F730">
        <v>25</v>
      </c>
      <c r="G730" t="str">
        <f>IF(Table2[[#This Row],[Age]]&gt;=30,"Experienced",IF(Table2[[#This Row],[Age]]&gt;=25,"Mid Level", "Entry Level"))</f>
        <v>Mid Level</v>
      </c>
      <c r="H730" t="s">
        <v>27</v>
      </c>
      <c r="I730" t="s">
        <v>30</v>
      </c>
      <c r="J730" s="4">
        <v>45774</v>
      </c>
      <c r="K730" s="4" t="str">
        <f>TEXT(Table2[[#This Row],[Enrollment_date]],"Mmm")</f>
        <v>Apr</v>
      </c>
      <c r="L730" s="4" t="str">
        <f>TEXT(Table2[[#This Row],[Enrollment_date]],"Ddd")</f>
        <v>Sun</v>
      </c>
      <c r="M730" s="4" t="s">
        <v>34</v>
      </c>
      <c r="N730" t="s">
        <v>37</v>
      </c>
      <c r="O730" t="s">
        <v>38</v>
      </c>
      <c r="P730" s="8">
        <v>4</v>
      </c>
      <c r="Q730" s="6">
        <v>0.85416666666666663</v>
      </c>
      <c r="R730" s="6">
        <v>68.5</v>
      </c>
      <c r="S730" s="6" t="str">
        <f>IF(Table2[[#This Row],[Avg_score]]&gt;=79,"Distinction",IF(Table2[[#This Row],[Avg_score]]&gt;=60,"Pass","Fail"))</f>
        <v>Pass</v>
      </c>
      <c r="T730" t="s">
        <v>39</v>
      </c>
      <c r="U730">
        <f>IF(Table2[[#This Row],[Completed]]="Yes",1,0)</f>
        <v>1</v>
      </c>
      <c r="V730" t="s">
        <v>39</v>
      </c>
      <c r="W730" t="s">
        <v>39</v>
      </c>
      <c r="X730" s="4">
        <v>45838</v>
      </c>
    </row>
    <row r="731" spans="1:24" x14ac:dyDescent="0.3">
      <c r="A731">
        <v>730</v>
      </c>
      <c r="B731" s="8">
        <v>244</v>
      </c>
      <c r="C731">
        <v>1</v>
      </c>
      <c r="D731" t="s">
        <v>19</v>
      </c>
      <c r="E731" t="s">
        <v>23</v>
      </c>
      <c r="F731">
        <v>31</v>
      </c>
      <c r="G731" t="str">
        <f>IF(Table2[[#This Row],[Age]]&gt;=30,"Experienced",IF(Table2[[#This Row],[Age]]&gt;=25,"Mid Level", "Entry Level"))</f>
        <v>Experienced</v>
      </c>
      <c r="H731" t="s">
        <v>24</v>
      </c>
      <c r="I731" t="s">
        <v>68</v>
      </c>
      <c r="J731" s="4">
        <v>45738</v>
      </c>
      <c r="K731" s="4" t="str">
        <f>TEXT(Table2[[#This Row],[Enrollment_date]],"Mmm")</f>
        <v>Mar</v>
      </c>
      <c r="L731" s="4" t="str">
        <f>TEXT(Table2[[#This Row],[Enrollment_date]],"Ddd")</f>
        <v>Sat</v>
      </c>
      <c r="M731" s="4" t="s">
        <v>34</v>
      </c>
      <c r="N731" t="s">
        <v>35</v>
      </c>
      <c r="O731" t="s">
        <v>38</v>
      </c>
      <c r="P731" s="8">
        <v>4</v>
      </c>
      <c r="Q731" s="6">
        <v>0.77083333333333337</v>
      </c>
      <c r="R731" s="6">
        <v>66.5</v>
      </c>
      <c r="S731" s="6" t="str">
        <f>IF(Table2[[#This Row],[Avg_score]]&gt;=79,"Distinction",IF(Table2[[#This Row],[Avg_score]]&gt;=60,"Pass","Fail"))</f>
        <v>Pass</v>
      </c>
      <c r="T731" t="s">
        <v>40</v>
      </c>
      <c r="U731">
        <f>IF(Table2[[#This Row],[Completed]]="Yes",1,0)</f>
        <v>0</v>
      </c>
      <c r="V731" t="s">
        <v>40</v>
      </c>
      <c r="W731" t="s">
        <v>40</v>
      </c>
      <c r="X731" s="4">
        <v>45838</v>
      </c>
    </row>
    <row r="732" spans="1:24" x14ac:dyDescent="0.3">
      <c r="A732">
        <v>731</v>
      </c>
      <c r="B732" s="8">
        <v>244</v>
      </c>
      <c r="C732">
        <v>2</v>
      </c>
      <c r="D732" t="s">
        <v>19</v>
      </c>
      <c r="E732" t="s">
        <v>23</v>
      </c>
      <c r="F732">
        <v>31</v>
      </c>
      <c r="G732" t="str">
        <f>IF(Table2[[#This Row],[Age]]&gt;=30,"Experienced",IF(Table2[[#This Row],[Age]]&gt;=25,"Mid Level", "Entry Level"))</f>
        <v>Experienced</v>
      </c>
      <c r="H732" t="s">
        <v>24</v>
      </c>
      <c r="I732" t="s">
        <v>68</v>
      </c>
      <c r="J732" s="4">
        <v>45738</v>
      </c>
      <c r="K732" s="4" t="str">
        <f>TEXT(Table2[[#This Row],[Enrollment_date]],"Mmm")</f>
        <v>Mar</v>
      </c>
      <c r="L732" s="4" t="str">
        <f>TEXT(Table2[[#This Row],[Enrollment_date]],"Ddd")</f>
        <v>Sat</v>
      </c>
      <c r="M732" s="4" t="s">
        <v>34</v>
      </c>
      <c r="N732" t="s">
        <v>36</v>
      </c>
      <c r="O732" t="s">
        <v>38</v>
      </c>
      <c r="P732" s="8">
        <v>4</v>
      </c>
      <c r="Q732" s="6">
        <v>0.8125</v>
      </c>
      <c r="R732" s="6">
        <v>73.5</v>
      </c>
      <c r="S732" s="6" t="str">
        <f>IF(Table2[[#This Row],[Avg_score]]&gt;=79,"Distinction",IF(Table2[[#This Row],[Avg_score]]&gt;=60,"Pass","Fail"))</f>
        <v>Pass</v>
      </c>
      <c r="T732" t="s">
        <v>40</v>
      </c>
      <c r="U732">
        <f>IF(Table2[[#This Row],[Completed]]="Yes",1,0)</f>
        <v>0</v>
      </c>
      <c r="V732" t="s">
        <v>40</v>
      </c>
      <c r="W732" t="s">
        <v>40</v>
      </c>
      <c r="X732" s="4">
        <v>45838</v>
      </c>
    </row>
    <row r="733" spans="1:24" x14ac:dyDescent="0.3">
      <c r="A733">
        <v>732</v>
      </c>
      <c r="B733" s="8">
        <v>244</v>
      </c>
      <c r="C733">
        <v>3</v>
      </c>
      <c r="D733" t="s">
        <v>19</v>
      </c>
      <c r="E733" t="s">
        <v>23</v>
      </c>
      <c r="F733">
        <v>31</v>
      </c>
      <c r="G733" t="str">
        <f>IF(Table2[[#This Row],[Age]]&gt;=30,"Experienced",IF(Table2[[#This Row],[Age]]&gt;=25,"Mid Level", "Entry Level"))</f>
        <v>Experienced</v>
      </c>
      <c r="H733" t="s">
        <v>24</v>
      </c>
      <c r="I733" t="s">
        <v>68</v>
      </c>
      <c r="J733" s="4">
        <v>45738</v>
      </c>
      <c r="K733" s="4" t="str">
        <f>TEXT(Table2[[#This Row],[Enrollment_date]],"Mmm")</f>
        <v>Mar</v>
      </c>
      <c r="L733" s="4" t="str">
        <f>TEXT(Table2[[#This Row],[Enrollment_date]],"Ddd")</f>
        <v>Sat</v>
      </c>
      <c r="M733" s="4" t="s">
        <v>34</v>
      </c>
      <c r="N733" t="s">
        <v>37</v>
      </c>
      <c r="O733" t="s">
        <v>38</v>
      </c>
      <c r="P733" s="8">
        <v>4</v>
      </c>
      <c r="Q733" s="6">
        <v>0.79166666666666663</v>
      </c>
      <c r="R733" s="6">
        <v>80</v>
      </c>
      <c r="S733" s="6" t="str">
        <f>IF(Table2[[#This Row],[Avg_score]]&gt;=79,"Distinction",IF(Table2[[#This Row],[Avg_score]]&gt;=60,"Pass","Fail"))</f>
        <v>Distinction</v>
      </c>
      <c r="T733" t="s">
        <v>40</v>
      </c>
      <c r="U733">
        <f>IF(Table2[[#This Row],[Completed]]="Yes",1,0)</f>
        <v>0</v>
      </c>
      <c r="V733" t="s">
        <v>40</v>
      </c>
      <c r="W733" t="s">
        <v>40</v>
      </c>
      <c r="X733" s="4">
        <v>45838</v>
      </c>
    </row>
    <row r="734" spans="1:24" x14ac:dyDescent="0.3">
      <c r="A734">
        <v>733</v>
      </c>
      <c r="B734" s="8">
        <v>245</v>
      </c>
      <c r="C734">
        <v>1</v>
      </c>
      <c r="D734" t="s">
        <v>19</v>
      </c>
      <c r="E734" t="s">
        <v>23</v>
      </c>
      <c r="F734">
        <v>28</v>
      </c>
      <c r="G734" t="str">
        <f>IF(Table2[[#This Row],[Age]]&gt;=30,"Experienced",IF(Table2[[#This Row],[Age]]&gt;=25,"Mid Level", "Entry Level"))</f>
        <v>Mid Level</v>
      </c>
      <c r="H734" t="s">
        <v>24</v>
      </c>
      <c r="I734" t="s">
        <v>30</v>
      </c>
      <c r="J734" s="4">
        <v>45753</v>
      </c>
      <c r="K734" s="4" t="str">
        <f>TEXT(Table2[[#This Row],[Enrollment_date]],"Mmm")</f>
        <v>Apr</v>
      </c>
      <c r="L734" s="4" t="str">
        <f>TEXT(Table2[[#This Row],[Enrollment_date]],"Ddd")</f>
        <v>Sun</v>
      </c>
      <c r="M734" s="4" t="s">
        <v>34</v>
      </c>
      <c r="N734" t="s">
        <v>35</v>
      </c>
      <c r="O734" t="s">
        <v>38</v>
      </c>
      <c r="P734" s="8">
        <v>4</v>
      </c>
      <c r="Q734" s="6">
        <v>0.83333333333333337</v>
      </c>
      <c r="R734" s="6">
        <v>72</v>
      </c>
      <c r="S734" s="6" t="str">
        <f>IF(Table2[[#This Row],[Avg_score]]&gt;=79,"Distinction",IF(Table2[[#This Row],[Avg_score]]&gt;=60,"Pass","Fail"))</f>
        <v>Pass</v>
      </c>
      <c r="T734" t="s">
        <v>40</v>
      </c>
      <c r="U734">
        <f>IF(Table2[[#This Row],[Completed]]="Yes",1,0)</f>
        <v>0</v>
      </c>
      <c r="V734" t="s">
        <v>40</v>
      </c>
      <c r="W734" t="s">
        <v>40</v>
      </c>
      <c r="X734" s="4">
        <v>45838</v>
      </c>
    </row>
    <row r="735" spans="1:24" x14ac:dyDescent="0.3">
      <c r="A735">
        <v>734</v>
      </c>
      <c r="B735" s="8">
        <v>245</v>
      </c>
      <c r="C735">
        <v>2</v>
      </c>
      <c r="D735" t="s">
        <v>19</v>
      </c>
      <c r="E735" t="s">
        <v>23</v>
      </c>
      <c r="F735">
        <v>28</v>
      </c>
      <c r="G735" t="str">
        <f>IF(Table2[[#This Row],[Age]]&gt;=30,"Experienced",IF(Table2[[#This Row],[Age]]&gt;=25,"Mid Level", "Entry Level"))</f>
        <v>Mid Level</v>
      </c>
      <c r="H735" t="s">
        <v>24</v>
      </c>
      <c r="I735" t="s">
        <v>30</v>
      </c>
      <c r="J735" s="4">
        <v>45753</v>
      </c>
      <c r="K735" s="4" t="str">
        <f>TEXT(Table2[[#This Row],[Enrollment_date]],"Mmm")</f>
        <v>Apr</v>
      </c>
      <c r="L735" s="4" t="str">
        <f>TEXT(Table2[[#This Row],[Enrollment_date]],"Ddd")</f>
        <v>Sun</v>
      </c>
      <c r="M735" s="4" t="s">
        <v>34</v>
      </c>
      <c r="N735" t="s">
        <v>36</v>
      </c>
      <c r="O735" t="s">
        <v>38</v>
      </c>
      <c r="P735" s="8">
        <v>4</v>
      </c>
      <c r="Q735" s="6">
        <v>0.72916666666666663</v>
      </c>
      <c r="R735" s="6">
        <v>66</v>
      </c>
      <c r="S735" s="6" t="str">
        <f>IF(Table2[[#This Row],[Avg_score]]&gt;=79,"Distinction",IF(Table2[[#This Row],[Avg_score]]&gt;=60,"Pass","Fail"))</f>
        <v>Pass</v>
      </c>
      <c r="T735" t="s">
        <v>40</v>
      </c>
      <c r="U735">
        <f>IF(Table2[[#This Row],[Completed]]="Yes",1,0)</f>
        <v>0</v>
      </c>
      <c r="V735" t="s">
        <v>40</v>
      </c>
      <c r="W735" t="s">
        <v>40</v>
      </c>
      <c r="X735" s="4">
        <v>45838</v>
      </c>
    </row>
    <row r="736" spans="1:24" x14ac:dyDescent="0.3">
      <c r="A736">
        <v>735</v>
      </c>
      <c r="B736" s="8">
        <v>245</v>
      </c>
      <c r="C736">
        <v>3</v>
      </c>
      <c r="D736" t="s">
        <v>19</v>
      </c>
      <c r="E736" t="s">
        <v>23</v>
      </c>
      <c r="F736">
        <v>28</v>
      </c>
      <c r="G736" t="str">
        <f>IF(Table2[[#This Row],[Age]]&gt;=30,"Experienced",IF(Table2[[#This Row],[Age]]&gt;=25,"Mid Level", "Entry Level"))</f>
        <v>Mid Level</v>
      </c>
      <c r="H736" t="s">
        <v>24</v>
      </c>
      <c r="I736" t="s">
        <v>30</v>
      </c>
      <c r="J736" s="4">
        <v>45753</v>
      </c>
      <c r="K736" s="4" t="str">
        <f>TEXT(Table2[[#This Row],[Enrollment_date]],"Mmm")</f>
        <v>Apr</v>
      </c>
      <c r="L736" s="4" t="str">
        <f>TEXT(Table2[[#This Row],[Enrollment_date]],"Ddd")</f>
        <v>Sun</v>
      </c>
      <c r="M736" s="4" t="s">
        <v>34</v>
      </c>
      <c r="N736" t="s">
        <v>37</v>
      </c>
      <c r="O736" t="s">
        <v>38</v>
      </c>
      <c r="P736" s="8">
        <v>4</v>
      </c>
      <c r="Q736" s="6">
        <v>0.70833333333333337</v>
      </c>
      <c r="R736" s="6">
        <v>83</v>
      </c>
      <c r="S736" s="6" t="str">
        <f>IF(Table2[[#This Row],[Avg_score]]&gt;=79,"Distinction",IF(Table2[[#This Row],[Avg_score]]&gt;=60,"Pass","Fail"))</f>
        <v>Distinction</v>
      </c>
      <c r="T736" t="s">
        <v>40</v>
      </c>
      <c r="U736">
        <f>IF(Table2[[#This Row],[Completed]]="Yes",1,0)</f>
        <v>0</v>
      </c>
      <c r="V736" t="s">
        <v>40</v>
      </c>
      <c r="W736" t="s">
        <v>40</v>
      </c>
      <c r="X736" s="4">
        <v>45838</v>
      </c>
    </row>
    <row r="737" spans="1:24" x14ac:dyDescent="0.3">
      <c r="A737">
        <v>736</v>
      </c>
      <c r="B737" s="8">
        <v>246</v>
      </c>
      <c r="C737">
        <v>1</v>
      </c>
      <c r="D737" t="s">
        <v>19</v>
      </c>
      <c r="E737" t="s">
        <v>22</v>
      </c>
      <c r="F737">
        <v>33</v>
      </c>
      <c r="G737" t="str">
        <f>IF(Table2[[#This Row],[Age]]&gt;=30,"Experienced",IF(Table2[[#This Row],[Age]]&gt;=25,"Mid Level", "Entry Level"))</f>
        <v>Experienced</v>
      </c>
      <c r="H737" t="s">
        <v>25</v>
      </c>
      <c r="I737" t="s">
        <v>68</v>
      </c>
      <c r="J737" s="4">
        <v>45679</v>
      </c>
      <c r="K737" s="4" t="str">
        <f>TEXT(Table2[[#This Row],[Enrollment_date]],"Mmm")</f>
        <v>Jan</v>
      </c>
      <c r="L737" s="4" t="str">
        <f>TEXT(Table2[[#This Row],[Enrollment_date]],"Ddd")</f>
        <v>Wed</v>
      </c>
      <c r="M737" s="4" t="s">
        <v>34</v>
      </c>
      <c r="N737" t="s">
        <v>35</v>
      </c>
      <c r="O737" t="s">
        <v>38</v>
      </c>
      <c r="P737" s="8">
        <v>4</v>
      </c>
      <c r="Q737" s="6">
        <v>0.83333333333333337</v>
      </c>
      <c r="R737" s="6">
        <v>51</v>
      </c>
      <c r="S737" s="6" t="str">
        <f>IF(Table2[[#This Row],[Avg_score]]&gt;=79,"Distinction",IF(Table2[[#This Row],[Avg_score]]&gt;=60,"Pass","Fail"))</f>
        <v>Fail</v>
      </c>
      <c r="T737" t="s">
        <v>39</v>
      </c>
      <c r="U737">
        <f>IF(Table2[[#This Row],[Completed]]="Yes",1,0)</f>
        <v>1</v>
      </c>
      <c r="V737" t="s">
        <v>39</v>
      </c>
      <c r="W737" t="s">
        <v>39</v>
      </c>
      <c r="X737" s="4">
        <v>45838</v>
      </c>
    </row>
    <row r="738" spans="1:24" x14ac:dyDescent="0.3">
      <c r="A738">
        <v>737</v>
      </c>
      <c r="B738" s="8">
        <v>246</v>
      </c>
      <c r="C738">
        <v>2</v>
      </c>
      <c r="D738" t="s">
        <v>20</v>
      </c>
      <c r="E738" t="s">
        <v>22</v>
      </c>
      <c r="F738">
        <v>33</v>
      </c>
      <c r="G738" t="str">
        <f>IF(Table2[[#This Row],[Age]]&gt;=30,"Experienced",IF(Table2[[#This Row],[Age]]&gt;=25,"Mid Level", "Entry Level"))</f>
        <v>Experienced</v>
      </c>
      <c r="H738" t="s">
        <v>25</v>
      </c>
      <c r="I738" t="s">
        <v>68</v>
      </c>
      <c r="J738" s="4">
        <v>45679</v>
      </c>
      <c r="K738" s="4" t="str">
        <f>TEXT(Table2[[#This Row],[Enrollment_date]],"Mmm")</f>
        <v>Jan</v>
      </c>
      <c r="L738" s="4" t="str">
        <f>TEXT(Table2[[#This Row],[Enrollment_date]],"Ddd")</f>
        <v>Wed</v>
      </c>
      <c r="M738" s="4" t="s">
        <v>34</v>
      </c>
      <c r="N738" t="s">
        <v>36</v>
      </c>
      <c r="O738" t="s">
        <v>38</v>
      </c>
      <c r="P738" s="8">
        <v>4</v>
      </c>
      <c r="Q738" s="6">
        <v>0.83333333333333337</v>
      </c>
      <c r="R738" s="6">
        <v>62</v>
      </c>
      <c r="S738" s="6" t="str">
        <f>IF(Table2[[#This Row],[Avg_score]]&gt;=79,"Distinction",IF(Table2[[#This Row],[Avg_score]]&gt;=60,"Pass","Fail"))</f>
        <v>Pass</v>
      </c>
      <c r="T738" t="s">
        <v>39</v>
      </c>
      <c r="U738">
        <f>IF(Table2[[#This Row],[Completed]]="Yes",1,0)</f>
        <v>1</v>
      </c>
      <c r="V738" t="s">
        <v>39</v>
      </c>
      <c r="W738" t="s">
        <v>39</v>
      </c>
      <c r="X738" s="4">
        <v>45838</v>
      </c>
    </row>
    <row r="739" spans="1:24" x14ac:dyDescent="0.3">
      <c r="A739">
        <v>738</v>
      </c>
      <c r="B739" s="8">
        <v>246</v>
      </c>
      <c r="C739">
        <v>3</v>
      </c>
      <c r="D739" t="s">
        <v>19</v>
      </c>
      <c r="E739" t="s">
        <v>22</v>
      </c>
      <c r="F739">
        <v>33</v>
      </c>
      <c r="G739" t="str">
        <f>IF(Table2[[#This Row],[Age]]&gt;=30,"Experienced",IF(Table2[[#This Row],[Age]]&gt;=25,"Mid Level", "Entry Level"))</f>
        <v>Experienced</v>
      </c>
      <c r="H739" t="s">
        <v>25</v>
      </c>
      <c r="I739" t="s">
        <v>68</v>
      </c>
      <c r="J739" s="4">
        <v>45679</v>
      </c>
      <c r="K739" s="4" t="str">
        <f>TEXT(Table2[[#This Row],[Enrollment_date]],"Mmm")</f>
        <v>Jan</v>
      </c>
      <c r="L739" s="4" t="str">
        <f>TEXT(Table2[[#This Row],[Enrollment_date]],"Ddd")</f>
        <v>Wed</v>
      </c>
      <c r="M739" s="4" t="s">
        <v>34</v>
      </c>
      <c r="N739" t="s">
        <v>37</v>
      </c>
      <c r="O739" t="s">
        <v>38</v>
      </c>
      <c r="P739" s="8">
        <v>4</v>
      </c>
      <c r="Q739" s="6">
        <v>0.83333333333333337</v>
      </c>
      <c r="R739" s="6">
        <v>85.5</v>
      </c>
      <c r="S739" s="6" t="str">
        <f>IF(Table2[[#This Row],[Avg_score]]&gt;=79,"Distinction",IF(Table2[[#This Row],[Avg_score]]&gt;=60,"Pass","Fail"))</f>
        <v>Distinction</v>
      </c>
      <c r="T739" t="s">
        <v>39</v>
      </c>
      <c r="U739">
        <f>IF(Table2[[#This Row],[Completed]]="Yes",1,0)</f>
        <v>1</v>
      </c>
      <c r="V739" t="s">
        <v>39</v>
      </c>
      <c r="W739" t="s">
        <v>39</v>
      </c>
      <c r="X739" s="4">
        <v>45838</v>
      </c>
    </row>
    <row r="740" spans="1:24" x14ac:dyDescent="0.3">
      <c r="A740">
        <v>739</v>
      </c>
      <c r="B740" s="8">
        <v>247</v>
      </c>
      <c r="C740">
        <v>1</v>
      </c>
      <c r="D740" t="s">
        <v>19</v>
      </c>
      <c r="E740" t="s">
        <v>22</v>
      </c>
      <c r="F740">
        <v>31</v>
      </c>
      <c r="G740" t="str">
        <f>IF(Table2[[#This Row],[Age]]&gt;=30,"Experienced",IF(Table2[[#This Row],[Age]]&gt;=25,"Mid Level", "Entry Level"))</f>
        <v>Experienced</v>
      </c>
      <c r="H740" t="s">
        <v>25</v>
      </c>
      <c r="I740" t="s">
        <v>30</v>
      </c>
      <c r="J740" s="4">
        <v>45691</v>
      </c>
      <c r="K740" s="4" t="str">
        <f>TEXT(Table2[[#This Row],[Enrollment_date]],"Mmm")</f>
        <v>Feb</v>
      </c>
      <c r="L740" s="4" t="str">
        <f>TEXT(Table2[[#This Row],[Enrollment_date]],"Ddd")</f>
        <v>Mon</v>
      </c>
      <c r="M740" s="4" t="s">
        <v>34</v>
      </c>
      <c r="N740" t="s">
        <v>35</v>
      </c>
      <c r="O740" t="s">
        <v>38</v>
      </c>
      <c r="P740" s="8">
        <v>4</v>
      </c>
      <c r="Q740" s="6">
        <v>0.875</v>
      </c>
      <c r="R740" s="6">
        <v>57</v>
      </c>
      <c r="S740" s="6" t="str">
        <f>IF(Table2[[#This Row],[Avg_score]]&gt;=79,"Distinction",IF(Table2[[#This Row],[Avg_score]]&gt;=60,"Pass","Fail"))</f>
        <v>Fail</v>
      </c>
      <c r="T740" t="s">
        <v>39</v>
      </c>
      <c r="U740">
        <f>IF(Table2[[#This Row],[Completed]]="Yes",1,0)</f>
        <v>1</v>
      </c>
      <c r="V740" t="s">
        <v>39</v>
      </c>
      <c r="W740" t="s">
        <v>40</v>
      </c>
      <c r="X740" s="4">
        <v>45838</v>
      </c>
    </row>
    <row r="741" spans="1:24" x14ac:dyDescent="0.3">
      <c r="A741">
        <v>740</v>
      </c>
      <c r="B741" s="8">
        <v>247</v>
      </c>
      <c r="C741">
        <v>2</v>
      </c>
      <c r="D741" t="s">
        <v>19</v>
      </c>
      <c r="E741" t="s">
        <v>22</v>
      </c>
      <c r="F741">
        <v>31</v>
      </c>
      <c r="G741" t="str">
        <f>IF(Table2[[#This Row],[Age]]&gt;=30,"Experienced",IF(Table2[[#This Row],[Age]]&gt;=25,"Mid Level", "Entry Level"))</f>
        <v>Experienced</v>
      </c>
      <c r="H741" t="s">
        <v>25</v>
      </c>
      <c r="I741" t="s">
        <v>30</v>
      </c>
      <c r="J741" s="4">
        <v>45691</v>
      </c>
      <c r="K741" s="4" t="str">
        <f>TEXT(Table2[[#This Row],[Enrollment_date]],"Mmm")</f>
        <v>Feb</v>
      </c>
      <c r="L741" s="4" t="str">
        <f>TEXT(Table2[[#This Row],[Enrollment_date]],"Ddd")</f>
        <v>Mon</v>
      </c>
      <c r="M741" s="4" t="s">
        <v>34</v>
      </c>
      <c r="N741" t="s">
        <v>36</v>
      </c>
      <c r="O741" t="s">
        <v>38</v>
      </c>
      <c r="P741" s="8">
        <v>4</v>
      </c>
      <c r="Q741" s="6">
        <v>0.72916666666666663</v>
      </c>
      <c r="R741" s="6">
        <v>46.5</v>
      </c>
      <c r="S741" s="6" t="str">
        <f>IF(Table2[[#This Row],[Avg_score]]&gt;=79,"Distinction",IF(Table2[[#This Row],[Avg_score]]&gt;=60,"Pass","Fail"))</f>
        <v>Fail</v>
      </c>
      <c r="T741" t="s">
        <v>39</v>
      </c>
      <c r="U741">
        <f>IF(Table2[[#This Row],[Completed]]="Yes",1,0)</f>
        <v>1</v>
      </c>
      <c r="V741" t="s">
        <v>39</v>
      </c>
      <c r="W741" t="s">
        <v>40</v>
      </c>
      <c r="X741" s="4">
        <v>45838</v>
      </c>
    </row>
    <row r="742" spans="1:24" x14ac:dyDescent="0.3">
      <c r="A742">
        <v>741</v>
      </c>
      <c r="B742" s="8">
        <v>247</v>
      </c>
      <c r="C742">
        <v>3</v>
      </c>
      <c r="D742" t="s">
        <v>20</v>
      </c>
      <c r="E742" t="s">
        <v>22</v>
      </c>
      <c r="F742">
        <v>31</v>
      </c>
      <c r="G742" t="str">
        <f>IF(Table2[[#This Row],[Age]]&gt;=30,"Experienced",IF(Table2[[#This Row],[Age]]&gt;=25,"Mid Level", "Entry Level"))</f>
        <v>Experienced</v>
      </c>
      <c r="H742" t="s">
        <v>25</v>
      </c>
      <c r="I742" t="s">
        <v>30</v>
      </c>
      <c r="J742" s="4">
        <v>45691</v>
      </c>
      <c r="K742" s="4" t="str">
        <f>TEXT(Table2[[#This Row],[Enrollment_date]],"Mmm")</f>
        <v>Feb</v>
      </c>
      <c r="L742" s="4" t="str">
        <f>TEXT(Table2[[#This Row],[Enrollment_date]],"Ddd")</f>
        <v>Mon</v>
      </c>
      <c r="M742" s="4" t="s">
        <v>34</v>
      </c>
      <c r="N742" t="s">
        <v>37</v>
      </c>
      <c r="O742" t="s">
        <v>38</v>
      </c>
      <c r="P742" s="8">
        <v>4</v>
      </c>
      <c r="Q742" s="6">
        <v>0.6875</v>
      </c>
      <c r="R742" s="6">
        <v>63.5</v>
      </c>
      <c r="S742" s="6" t="str">
        <f>IF(Table2[[#This Row],[Avg_score]]&gt;=79,"Distinction",IF(Table2[[#This Row],[Avg_score]]&gt;=60,"Pass","Fail"))</f>
        <v>Pass</v>
      </c>
      <c r="T742" t="s">
        <v>39</v>
      </c>
      <c r="U742">
        <f>IF(Table2[[#This Row],[Completed]]="Yes",1,0)</f>
        <v>1</v>
      </c>
      <c r="V742" t="s">
        <v>39</v>
      </c>
      <c r="W742" t="s">
        <v>40</v>
      </c>
      <c r="X742" s="4">
        <v>45838</v>
      </c>
    </row>
    <row r="743" spans="1:24" x14ac:dyDescent="0.3">
      <c r="A743">
        <v>742</v>
      </c>
      <c r="B743" s="8">
        <v>248</v>
      </c>
      <c r="C743">
        <v>1</v>
      </c>
      <c r="D743" t="s">
        <v>19</v>
      </c>
      <c r="E743" t="s">
        <v>22</v>
      </c>
      <c r="F743">
        <v>35</v>
      </c>
      <c r="G743" t="str">
        <f>IF(Table2[[#This Row],[Age]]&gt;=30,"Experienced",IF(Table2[[#This Row],[Age]]&gt;=25,"Mid Level", "Entry Level"))</f>
        <v>Experienced</v>
      </c>
      <c r="H743" t="s">
        <v>26</v>
      </c>
      <c r="I743" t="s">
        <v>30</v>
      </c>
      <c r="J743" s="4">
        <v>45689</v>
      </c>
      <c r="K743" s="4" t="str">
        <f>TEXT(Table2[[#This Row],[Enrollment_date]],"Mmm")</f>
        <v>Feb</v>
      </c>
      <c r="L743" s="4" t="str">
        <f>TEXT(Table2[[#This Row],[Enrollment_date]],"Ddd")</f>
        <v>Sat</v>
      </c>
      <c r="M743" s="4" t="s">
        <v>34</v>
      </c>
      <c r="N743" t="s">
        <v>35</v>
      </c>
      <c r="O743" t="s">
        <v>38</v>
      </c>
      <c r="P743" s="8">
        <v>4</v>
      </c>
      <c r="Q743" s="6">
        <v>0.85416666666666663</v>
      </c>
      <c r="R743" s="6">
        <v>71</v>
      </c>
      <c r="S743" s="6" t="str">
        <f>IF(Table2[[#This Row],[Avg_score]]&gt;=79,"Distinction",IF(Table2[[#This Row],[Avg_score]]&gt;=60,"Pass","Fail"))</f>
        <v>Pass</v>
      </c>
      <c r="T743" t="s">
        <v>39</v>
      </c>
      <c r="U743">
        <f>IF(Table2[[#This Row],[Completed]]="Yes",1,0)</f>
        <v>1</v>
      </c>
      <c r="V743" t="s">
        <v>40</v>
      </c>
      <c r="W743" t="s">
        <v>40</v>
      </c>
      <c r="X743" s="4">
        <v>45838</v>
      </c>
    </row>
    <row r="744" spans="1:24" x14ac:dyDescent="0.3">
      <c r="A744">
        <v>743</v>
      </c>
      <c r="B744" s="8">
        <v>248</v>
      </c>
      <c r="C744">
        <v>2</v>
      </c>
      <c r="D744" t="s">
        <v>20</v>
      </c>
      <c r="E744" t="s">
        <v>22</v>
      </c>
      <c r="F744">
        <v>35</v>
      </c>
      <c r="G744" t="str">
        <f>IF(Table2[[#This Row],[Age]]&gt;=30,"Experienced",IF(Table2[[#This Row],[Age]]&gt;=25,"Mid Level", "Entry Level"))</f>
        <v>Experienced</v>
      </c>
      <c r="H744" t="s">
        <v>26</v>
      </c>
      <c r="I744" t="s">
        <v>30</v>
      </c>
      <c r="J744" s="4">
        <v>45689</v>
      </c>
      <c r="K744" s="4" t="str">
        <f>TEXT(Table2[[#This Row],[Enrollment_date]],"Mmm")</f>
        <v>Feb</v>
      </c>
      <c r="L744" s="4" t="str">
        <f>TEXT(Table2[[#This Row],[Enrollment_date]],"Ddd")</f>
        <v>Sat</v>
      </c>
      <c r="M744" s="4" t="s">
        <v>34</v>
      </c>
      <c r="N744" t="s">
        <v>36</v>
      </c>
      <c r="O744" t="s">
        <v>38</v>
      </c>
      <c r="P744" s="8">
        <v>4</v>
      </c>
      <c r="Q744" s="6">
        <v>0.85416666666666663</v>
      </c>
      <c r="R744" s="6">
        <v>95</v>
      </c>
      <c r="S744" s="6" t="str">
        <f>IF(Table2[[#This Row],[Avg_score]]&gt;=79,"Distinction",IF(Table2[[#This Row],[Avg_score]]&gt;=60,"Pass","Fail"))</f>
        <v>Distinction</v>
      </c>
      <c r="T744" t="s">
        <v>39</v>
      </c>
      <c r="U744">
        <f>IF(Table2[[#This Row],[Completed]]="Yes",1,0)</f>
        <v>1</v>
      </c>
      <c r="V744" t="s">
        <v>40</v>
      </c>
      <c r="W744" t="s">
        <v>40</v>
      </c>
      <c r="X744" s="4">
        <v>45838</v>
      </c>
    </row>
    <row r="745" spans="1:24" x14ac:dyDescent="0.3">
      <c r="A745">
        <v>744</v>
      </c>
      <c r="B745" s="8">
        <v>248</v>
      </c>
      <c r="C745">
        <v>3</v>
      </c>
      <c r="D745" t="s">
        <v>19</v>
      </c>
      <c r="E745" t="s">
        <v>22</v>
      </c>
      <c r="F745">
        <v>35</v>
      </c>
      <c r="G745" t="str">
        <f>IF(Table2[[#This Row],[Age]]&gt;=30,"Experienced",IF(Table2[[#This Row],[Age]]&gt;=25,"Mid Level", "Entry Level"))</f>
        <v>Experienced</v>
      </c>
      <c r="H745" t="s">
        <v>26</v>
      </c>
      <c r="I745" t="s">
        <v>30</v>
      </c>
      <c r="J745" s="4">
        <v>45689</v>
      </c>
      <c r="K745" s="4" t="str">
        <f>TEXT(Table2[[#This Row],[Enrollment_date]],"Mmm")</f>
        <v>Feb</v>
      </c>
      <c r="L745" s="4" t="str">
        <f>TEXT(Table2[[#This Row],[Enrollment_date]],"Ddd")</f>
        <v>Sat</v>
      </c>
      <c r="M745" s="4" t="s">
        <v>34</v>
      </c>
      <c r="N745" t="s">
        <v>37</v>
      </c>
      <c r="O745" t="s">
        <v>38</v>
      </c>
      <c r="P745" s="8">
        <v>4</v>
      </c>
      <c r="Q745" s="6">
        <v>0.79166666666666663</v>
      </c>
      <c r="R745" s="6">
        <v>50</v>
      </c>
      <c r="S745" s="6" t="str">
        <f>IF(Table2[[#This Row],[Avg_score]]&gt;=79,"Distinction",IF(Table2[[#This Row],[Avg_score]]&gt;=60,"Pass","Fail"))</f>
        <v>Fail</v>
      </c>
      <c r="T745" t="s">
        <v>39</v>
      </c>
      <c r="U745">
        <f>IF(Table2[[#This Row],[Completed]]="Yes",1,0)</f>
        <v>1</v>
      </c>
      <c r="V745" t="s">
        <v>40</v>
      </c>
      <c r="W745" t="s">
        <v>40</v>
      </c>
      <c r="X745" s="4">
        <v>45838</v>
      </c>
    </row>
    <row r="746" spans="1:24" x14ac:dyDescent="0.3">
      <c r="A746">
        <v>745</v>
      </c>
      <c r="B746" s="8">
        <v>249</v>
      </c>
      <c r="C746">
        <v>1</v>
      </c>
      <c r="D746" t="s">
        <v>19</v>
      </c>
      <c r="E746" t="s">
        <v>23</v>
      </c>
      <c r="F746">
        <v>29</v>
      </c>
      <c r="G746" t="str">
        <f>IF(Table2[[#This Row],[Age]]&gt;=30,"Experienced",IF(Table2[[#This Row],[Age]]&gt;=25,"Mid Level", "Entry Level"))</f>
        <v>Mid Level</v>
      </c>
      <c r="H746" t="s">
        <v>24</v>
      </c>
      <c r="I746" t="s">
        <v>44</v>
      </c>
      <c r="J746" s="4">
        <v>45671</v>
      </c>
      <c r="K746" s="4" t="str">
        <f>TEXT(Table2[[#This Row],[Enrollment_date]],"Mmm")</f>
        <v>Jan</v>
      </c>
      <c r="L746" s="4" t="str">
        <f>TEXT(Table2[[#This Row],[Enrollment_date]],"Ddd")</f>
        <v>Tue</v>
      </c>
      <c r="M746" s="4" t="s">
        <v>34</v>
      </c>
      <c r="N746" t="s">
        <v>35</v>
      </c>
      <c r="O746" t="s">
        <v>38</v>
      </c>
      <c r="P746" s="8">
        <v>4</v>
      </c>
      <c r="Q746" s="6">
        <v>0.8125</v>
      </c>
      <c r="R746" s="6">
        <v>51</v>
      </c>
      <c r="S746" s="6" t="str">
        <f>IF(Table2[[#This Row],[Avg_score]]&gt;=79,"Distinction",IF(Table2[[#This Row],[Avg_score]]&gt;=60,"Pass","Fail"))</f>
        <v>Fail</v>
      </c>
      <c r="T746" t="s">
        <v>39</v>
      </c>
      <c r="U746">
        <f>IF(Table2[[#This Row],[Completed]]="Yes",1,0)</f>
        <v>1</v>
      </c>
      <c r="V746" t="s">
        <v>39</v>
      </c>
      <c r="W746" t="s">
        <v>39</v>
      </c>
      <c r="X746" s="4">
        <v>45838</v>
      </c>
    </row>
    <row r="747" spans="1:24" x14ac:dyDescent="0.3">
      <c r="A747">
        <v>746</v>
      </c>
      <c r="B747" s="8">
        <v>249</v>
      </c>
      <c r="C747">
        <v>2</v>
      </c>
      <c r="D747" t="s">
        <v>21</v>
      </c>
      <c r="E747" t="s">
        <v>23</v>
      </c>
      <c r="F747">
        <v>29</v>
      </c>
      <c r="G747" t="str">
        <f>IF(Table2[[#This Row],[Age]]&gt;=30,"Experienced",IF(Table2[[#This Row],[Age]]&gt;=25,"Mid Level", "Entry Level"))</f>
        <v>Mid Level</v>
      </c>
      <c r="H747" t="s">
        <v>24</v>
      </c>
      <c r="I747" t="s">
        <v>44</v>
      </c>
      <c r="J747" s="4">
        <v>45671</v>
      </c>
      <c r="K747" s="4" t="str">
        <f>TEXT(Table2[[#This Row],[Enrollment_date]],"Mmm")</f>
        <v>Jan</v>
      </c>
      <c r="L747" s="4" t="str">
        <f>TEXT(Table2[[#This Row],[Enrollment_date]],"Ddd")</f>
        <v>Tue</v>
      </c>
      <c r="M747" s="4" t="s">
        <v>34</v>
      </c>
      <c r="N747" t="s">
        <v>36</v>
      </c>
      <c r="O747" t="s">
        <v>38</v>
      </c>
      <c r="P747" s="8">
        <v>4</v>
      </c>
      <c r="Q747" s="6">
        <v>0.79166666666666663</v>
      </c>
      <c r="R747" s="6">
        <v>86.5</v>
      </c>
      <c r="S747" s="6" t="str">
        <f>IF(Table2[[#This Row],[Avg_score]]&gt;=79,"Distinction",IF(Table2[[#This Row],[Avg_score]]&gt;=60,"Pass","Fail"))</f>
        <v>Distinction</v>
      </c>
      <c r="T747" t="s">
        <v>39</v>
      </c>
      <c r="U747">
        <f>IF(Table2[[#This Row],[Completed]]="Yes",1,0)</f>
        <v>1</v>
      </c>
      <c r="V747" t="s">
        <v>39</v>
      </c>
      <c r="W747" t="s">
        <v>39</v>
      </c>
      <c r="X747" s="4">
        <v>45838</v>
      </c>
    </row>
    <row r="748" spans="1:24" x14ac:dyDescent="0.3">
      <c r="A748">
        <v>747</v>
      </c>
      <c r="B748" s="8">
        <v>249</v>
      </c>
      <c r="C748">
        <v>3</v>
      </c>
      <c r="D748" t="s">
        <v>21</v>
      </c>
      <c r="E748" t="s">
        <v>23</v>
      </c>
      <c r="F748">
        <v>29</v>
      </c>
      <c r="G748" t="str">
        <f>IF(Table2[[#This Row],[Age]]&gt;=30,"Experienced",IF(Table2[[#This Row],[Age]]&gt;=25,"Mid Level", "Entry Level"))</f>
        <v>Mid Level</v>
      </c>
      <c r="H748" t="s">
        <v>24</v>
      </c>
      <c r="I748" t="s">
        <v>44</v>
      </c>
      <c r="J748" s="4">
        <v>45671</v>
      </c>
      <c r="K748" s="4" t="str">
        <f>TEXT(Table2[[#This Row],[Enrollment_date]],"Mmm")</f>
        <v>Jan</v>
      </c>
      <c r="L748" s="4" t="str">
        <f>TEXT(Table2[[#This Row],[Enrollment_date]],"Ddd")</f>
        <v>Tue</v>
      </c>
      <c r="M748" s="4" t="s">
        <v>34</v>
      </c>
      <c r="N748" t="s">
        <v>37</v>
      </c>
      <c r="O748" t="s">
        <v>38</v>
      </c>
      <c r="P748" s="8">
        <v>4</v>
      </c>
      <c r="Q748" s="6">
        <v>0.72916666666666663</v>
      </c>
      <c r="R748" s="6">
        <v>64.5</v>
      </c>
      <c r="S748" s="6" t="str">
        <f>IF(Table2[[#This Row],[Avg_score]]&gt;=79,"Distinction",IF(Table2[[#This Row],[Avg_score]]&gt;=60,"Pass","Fail"))</f>
        <v>Pass</v>
      </c>
      <c r="T748" t="s">
        <v>39</v>
      </c>
      <c r="U748">
        <f>IF(Table2[[#This Row],[Completed]]="Yes",1,0)</f>
        <v>1</v>
      </c>
      <c r="V748" t="s">
        <v>39</v>
      </c>
      <c r="W748" t="s">
        <v>39</v>
      </c>
      <c r="X748" s="4">
        <v>45838</v>
      </c>
    </row>
    <row r="749" spans="1:24" x14ac:dyDescent="0.3">
      <c r="A749">
        <v>748</v>
      </c>
      <c r="B749" s="8">
        <v>250</v>
      </c>
      <c r="C749">
        <v>1</v>
      </c>
      <c r="D749" t="s">
        <v>21</v>
      </c>
      <c r="E749" t="s">
        <v>23</v>
      </c>
      <c r="F749">
        <v>27</v>
      </c>
      <c r="G749" t="str">
        <f>IF(Table2[[#This Row],[Age]]&gt;=30,"Experienced",IF(Table2[[#This Row],[Age]]&gt;=25,"Mid Level", "Entry Level"))</f>
        <v>Mid Level</v>
      </c>
      <c r="H749" t="s">
        <v>29</v>
      </c>
      <c r="I749" t="s">
        <v>68</v>
      </c>
      <c r="J749" s="4">
        <v>45805</v>
      </c>
      <c r="K749" s="4" t="str">
        <f>TEXT(Table2[[#This Row],[Enrollment_date]],"Mmm")</f>
        <v>May</v>
      </c>
      <c r="L749" s="4" t="str">
        <f>TEXT(Table2[[#This Row],[Enrollment_date]],"Ddd")</f>
        <v>Wed</v>
      </c>
      <c r="M749" s="4" t="s">
        <v>34</v>
      </c>
      <c r="N749" t="s">
        <v>35</v>
      </c>
      <c r="O749" t="s">
        <v>38</v>
      </c>
      <c r="P749" s="8">
        <v>4</v>
      </c>
      <c r="Q749" s="6">
        <v>0.72916666666666663</v>
      </c>
      <c r="R749" s="6">
        <v>59.5</v>
      </c>
      <c r="S749" s="6" t="str">
        <f>IF(Table2[[#This Row],[Avg_score]]&gt;=79,"Distinction",IF(Table2[[#This Row],[Avg_score]]&gt;=60,"Pass","Fail"))</f>
        <v>Fail</v>
      </c>
      <c r="T749" t="s">
        <v>39</v>
      </c>
      <c r="U749">
        <f>IF(Table2[[#This Row],[Completed]]="Yes",1,0)</f>
        <v>1</v>
      </c>
      <c r="V749" t="s">
        <v>39</v>
      </c>
      <c r="W749" t="s">
        <v>39</v>
      </c>
      <c r="X749" s="4">
        <v>45838</v>
      </c>
    </row>
    <row r="750" spans="1:24" x14ac:dyDescent="0.3">
      <c r="A750">
        <v>749</v>
      </c>
      <c r="B750" s="8">
        <v>250</v>
      </c>
      <c r="C750">
        <v>2</v>
      </c>
      <c r="D750" t="s">
        <v>19</v>
      </c>
      <c r="E750" t="s">
        <v>23</v>
      </c>
      <c r="F750">
        <v>27</v>
      </c>
      <c r="G750" t="str">
        <f>IF(Table2[[#This Row],[Age]]&gt;=30,"Experienced",IF(Table2[[#This Row],[Age]]&gt;=25,"Mid Level", "Entry Level"))</f>
        <v>Mid Level</v>
      </c>
      <c r="H750" t="s">
        <v>29</v>
      </c>
      <c r="I750" t="s">
        <v>68</v>
      </c>
      <c r="J750" s="4">
        <v>45805</v>
      </c>
      <c r="K750" s="4" t="str">
        <f>TEXT(Table2[[#This Row],[Enrollment_date]],"Mmm")</f>
        <v>May</v>
      </c>
      <c r="L750" s="4" t="str">
        <f>TEXT(Table2[[#This Row],[Enrollment_date]],"Ddd")</f>
        <v>Wed</v>
      </c>
      <c r="M750" s="4" t="s">
        <v>34</v>
      </c>
      <c r="N750" t="s">
        <v>36</v>
      </c>
      <c r="O750" t="s">
        <v>38</v>
      </c>
      <c r="P750" s="8">
        <v>4</v>
      </c>
      <c r="Q750" s="6">
        <v>0.79166666666666663</v>
      </c>
      <c r="R750" s="6">
        <v>64</v>
      </c>
      <c r="S750" s="6" t="str">
        <f>IF(Table2[[#This Row],[Avg_score]]&gt;=79,"Distinction",IF(Table2[[#This Row],[Avg_score]]&gt;=60,"Pass","Fail"))</f>
        <v>Pass</v>
      </c>
      <c r="T750" t="s">
        <v>39</v>
      </c>
      <c r="U750">
        <f>IF(Table2[[#This Row],[Completed]]="Yes",1,0)</f>
        <v>1</v>
      </c>
      <c r="V750" t="s">
        <v>39</v>
      </c>
      <c r="W750" t="s">
        <v>39</v>
      </c>
      <c r="X750" s="4">
        <v>45838</v>
      </c>
    </row>
    <row r="751" spans="1:24" x14ac:dyDescent="0.3">
      <c r="A751">
        <v>750</v>
      </c>
      <c r="B751" s="8">
        <v>250</v>
      </c>
      <c r="C751">
        <v>3</v>
      </c>
      <c r="D751" t="s">
        <v>19</v>
      </c>
      <c r="E751" t="s">
        <v>23</v>
      </c>
      <c r="F751">
        <v>27</v>
      </c>
      <c r="G751" t="str">
        <f>IF(Table2[[#This Row],[Age]]&gt;=30,"Experienced",IF(Table2[[#This Row],[Age]]&gt;=25,"Mid Level", "Entry Level"))</f>
        <v>Mid Level</v>
      </c>
      <c r="H751" t="s">
        <v>29</v>
      </c>
      <c r="I751" t="s">
        <v>68</v>
      </c>
      <c r="J751" s="4">
        <v>45805</v>
      </c>
      <c r="K751" s="4" t="str">
        <f>TEXT(Table2[[#This Row],[Enrollment_date]],"Mmm")</f>
        <v>May</v>
      </c>
      <c r="L751" s="4" t="str">
        <f>TEXT(Table2[[#This Row],[Enrollment_date]],"Ddd")</f>
        <v>Wed</v>
      </c>
      <c r="M751" s="4" t="s">
        <v>34</v>
      </c>
      <c r="N751" t="s">
        <v>37</v>
      </c>
      <c r="O751" t="s">
        <v>38</v>
      </c>
      <c r="P751" s="8">
        <v>4</v>
      </c>
      <c r="Q751" s="6">
        <v>0.875</v>
      </c>
      <c r="R751" s="6">
        <v>74.5</v>
      </c>
      <c r="S751" s="6" t="str">
        <f>IF(Table2[[#This Row],[Avg_score]]&gt;=79,"Distinction",IF(Table2[[#This Row],[Avg_score]]&gt;=60,"Pass","Fail"))</f>
        <v>Pass</v>
      </c>
      <c r="T751" t="s">
        <v>39</v>
      </c>
      <c r="U751">
        <f>IF(Table2[[#This Row],[Completed]]="Yes",1,0)</f>
        <v>1</v>
      </c>
      <c r="V751" t="s">
        <v>39</v>
      </c>
      <c r="W751" t="s">
        <v>39</v>
      </c>
      <c r="X751" s="4">
        <v>45838</v>
      </c>
    </row>
    <row r="752" spans="1:24" x14ac:dyDescent="0.3">
      <c r="A752">
        <v>751</v>
      </c>
      <c r="B752" s="8">
        <v>251</v>
      </c>
      <c r="C752">
        <v>1</v>
      </c>
      <c r="D752" t="s">
        <v>19</v>
      </c>
      <c r="E752" t="s">
        <v>22</v>
      </c>
      <c r="F752">
        <v>22</v>
      </c>
      <c r="G752" t="str">
        <f>IF(Table2[[#This Row],[Age]]&gt;=30,"Experienced",IF(Table2[[#This Row],[Age]]&gt;=25,"Mid Level", "Entry Level"))</f>
        <v>Entry Level</v>
      </c>
      <c r="H752" t="s">
        <v>24</v>
      </c>
      <c r="I752" t="s">
        <v>44</v>
      </c>
      <c r="J752" s="4">
        <v>45715</v>
      </c>
      <c r="K752" s="4" t="str">
        <f>TEXT(Table2[[#This Row],[Enrollment_date]],"Mmm")</f>
        <v>Feb</v>
      </c>
      <c r="L752" s="4" t="str">
        <f>TEXT(Table2[[#This Row],[Enrollment_date]],"Ddd")</f>
        <v>Thu</v>
      </c>
      <c r="M752" s="4" t="s">
        <v>34</v>
      </c>
      <c r="N752" t="s">
        <v>35</v>
      </c>
      <c r="O752" t="s">
        <v>38</v>
      </c>
      <c r="P752" s="8">
        <v>4</v>
      </c>
      <c r="Q752" s="6">
        <v>0.89583333333333337</v>
      </c>
      <c r="R752" s="6">
        <v>77</v>
      </c>
      <c r="S752" s="6" t="str">
        <f>IF(Table2[[#This Row],[Avg_score]]&gt;=79,"Distinction",IF(Table2[[#This Row],[Avg_score]]&gt;=60,"Pass","Fail"))</f>
        <v>Pass</v>
      </c>
      <c r="T752" t="s">
        <v>39</v>
      </c>
      <c r="U752">
        <f>IF(Table2[[#This Row],[Completed]]="Yes",1,0)</f>
        <v>1</v>
      </c>
      <c r="V752" t="s">
        <v>39</v>
      </c>
      <c r="W752" t="s">
        <v>39</v>
      </c>
      <c r="X752" s="4">
        <v>45838</v>
      </c>
    </row>
    <row r="753" spans="1:24" x14ac:dyDescent="0.3">
      <c r="A753">
        <v>752</v>
      </c>
      <c r="B753" s="8">
        <v>251</v>
      </c>
      <c r="C753">
        <v>2</v>
      </c>
      <c r="D753" t="s">
        <v>19</v>
      </c>
      <c r="E753" t="s">
        <v>22</v>
      </c>
      <c r="F753">
        <v>22</v>
      </c>
      <c r="G753" t="str">
        <f>IF(Table2[[#This Row],[Age]]&gt;=30,"Experienced",IF(Table2[[#This Row],[Age]]&gt;=25,"Mid Level", "Entry Level"))</f>
        <v>Entry Level</v>
      </c>
      <c r="H753" t="s">
        <v>24</v>
      </c>
      <c r="I753" t="s">
        <v>44</v>
      </c>
      <c r="J753" s="4">
        <v>45715</v>
      </c>
      <c r="K753" s="4" t="str">
        <f>TEXT(Table2[[#This Row],[Enrollment_date]],"Mmm")</f>
        <v>Feb</v>
      </c>
      <c r="L753" s="4" t="str">
        <f>TEXT(Table2[[#This Row],[Enrollment_date]],"Ddd")</f>
        <v>Thu</v>
      </c>
      <c r="M753" s="4" t="s">
        <v>34</v>
      </c>
      <c r="N753" t="s">
        <v>36</v>
      </c>
      <c r="O753" t="s">
        <v>38</v>
      </c>
      <c r="P753" s="8">
        <v>4</v>
      </c>
      <c r="Q753" s="6">
        <v>0.72916666666666663</v>
      </c>
      <c r="R753" s="6">
        <v>70</v>
      </c>
      <c r="S753" s="6" t="str">
        <f>IF(Table2[[#This Row],[Avg_score]]&gt;=79,"Distinction",IF(Table2[[#This Row],[Avg_score]]&gt;=60,"Pass","Fail"))</f>
        <v>Pass</v>
      </c>
      <c r="T753" t="s">
        <v>39</v>
      </c>
      <c r="U753">
        <f>IF(Table2[[#This Row],[Completed]]="Yes",1,0)</f>
        <v>1</v>
      </c>
      <c r="V753" t="s">
        <v>39</v>
      </c>
      <c r="W753" t="s">
        <v>39</v>
      </c>
      <c r="X753" s="4">
        <v>45838</v>
      </c>
    </row>
    <row r="754" spans="1:24" x14ac:dyDescent="0.3">
      <c r="A754">
        <v>753</v>
      </c>
      <c r="B754" s="8">
        <v>251</v>
      </c>
      <c r="C754">
        <v>3</v>
      </c>
      <c r="D754" t="s">
        <v>19</v>
      </c>
      <c r="E754" t="s">
        <v>22</v>
      </c>
      <c r="F754">
        <v>22</v>
      </c>
      <c r="G754" t="str">
        <f>IF(Table2[[#This Row],[Age]]&gt;=30,"Experienced",IF(Table2[[#This Row],[Age]]&gt;=25,"Mid Level", "Entry Level"))</f>
        <v>Entry Level</v>
      </c>
      <c r="H754" t="s">
        <v>24</v>
      </c>
      <c r="I754" t="s">
        <v>44</v>
      </c>
      <c r="J754" s="4">
        <v>45715</v>
      </c>
      <c r="K754" s="4" t="str">
        <f>TEXT(Table2[[#This Row],[Enrollment_date]],"Mmm")</f>
        <v>Feb</v>
      </c>
      <c r="L754" s="4" t="str">
        <f>TEXT(Table2[[#This Row],[Enrollment_date]],"Ddd")</f>
        <v>Thu</v>
      </c>
      <c r="M754" s="4" t="s">
        <v>34</v>
      </c>
      <c r="N754" t="s">
        <v>37</v>
      </c>
      <c r="O754" t="s">
        <v>38</v>
      </c>
      <c r="P754" s="8">
        <v>4</v>
      </c>
      <c r="Q754" s="6">
        <v>0.77083333333333337</v>
      </c>
      <c r="R754" s="6">
        <v>55</v>
      </c>
      <c r="S754" s="6" t="str">
        <f>IF(Table2[[#This Row],[Avg_score]]&gt;=79,"Distinction",IF(Table2[[#This Row],[Avg_score]]&gt;=60,"Pass","Fail"))</f>
        <v>Fail</v>
      </c>
      <c r="T754" t="s">
        <v>39</v>
      </c>
      <c r="U754">
        <f>IF(Table2[[#This Row],[Completed]]="Yes",1,0)</f>
        <v>1</v>
      </c>
      <c r="V754" t="s">
        <v>39</v>
      </c>
      <c r="W754" t="s">
        <v>39</v>
      </c>
      <c r="X754" s="4">
        <v>45838</v>
      </c>
    </row>
    <row r="755" spans="1:24" x14ac:dyDescent="0.3">
      <c r="A755">
        <v>754</v>
      </c>
      <c r="B755" s="8">
        <v>252</v>
      </c>
      <c r="C755">
        <v>1</v>
      </c>
      <c r="D755" t="s">
        <v>19</v>
      </c>
      <c r="E755" t="s">
        <v>22</v>
      </c>
      <c r="F755">
        <v>29</v>
      </c>
      <c r="G755" t="str">
        <f>IF(Table2[[#This Row],[Age]]&gt;=30,"Experienced",IF(Table2[[#This Row],[Age]]&gt;=25,"Mid Level", "Entry Level"))</f>
        <v>Mid Level</v>
      </c>
      <c r="H755" t="s">
        <v>26</v>
      </c>
      <c r="I755" t="s">
        <v>30</v>
      </c>
      <c r="J755" s="4">
        <v>45687</v>
      </c>
      <c r="K755" s="4" t="str">
        <f>TEXT(Table2[[#This Row],[Enrollment_date]],"Mmm")</f>
        <v>Jan</v>
      </c>
      <c r="L755" s="4" t="str">
        <f>TEXT(Table2[[#This Row],[Enrollment_date]],"Ddd")</f>
        <v>Thu</v>
      </c>
      <c r="M755" s="4" t="s">
        <v>34</v>
      </c>
      <c r="N755" t="s">
        <v>35</v>
      </c>
      <c r="O755" t="s">
        <v>38</v>
      </c>
      <c r="P755" s="8">
        <v>4</v>
      </c>
      <c r="Q755" s="6">
        <v>0.83333333333333337</v>
      </c>
      <c r="R755" s="6">
        <v>61</v>
      </c>
      <c r="S755" s="6" t="str">
        <f>IF(Table2[[#This Row],[Avg_score]]&gt;=79,"Distinction",IF(Table2[[#This Row],[Avg_score]]&gt;=60,"Pass","Fail"))</f>
        <v>Pass</v>
      </c>
      <c r="T755" t="s">
        <v>39</v>
      </c>
      <c r="U755">
        <f>IF(Table2[[#This Row],[Completed]]="Yes",1,0)</f>
        <v>1</v>
      </c>
      <c r="V755" t="s">
        <v>40</v>
      </c>
      <c r="W755" t="s">
        <v>40</v>
      </c>
      <c r="X755" s="4">
        <v>45838</v>
      </c>
    </row>
    <row r="756" spans="1:24" x14ac:dyDescent="0.3">
      <c r="A756">
        <v>755</v>
      </c>
      <c r="B756" s="8">
        <v>252</v>
      </c>
      <c r="C756">
        <v>2</v>
      </c>
      <c r="D756" t="s">
        <v>19</v>
      </c>
      <c r="E756" t="s">
        <v>22</v>
      </c>
      <c r="F756">
        <v>29</v>
      </c>
      <c r="G756" t="str">
        <f>IF(Table2[[#This Row],[Age]]&gt;=30,"Experienced",IF(Table2[[#This Row],[Age]]&gt;=25,"Mid Level", "Entry Level"))</f>
        <v>Mid Level</v>
      </c>
      <c r="H756" t="s">
        <v>26</v>
      </c>
      <c r="I756" t="s">
        <v>30</v>
      </c>
      <c r="J756" s="4">
        <v>45687</v>
      </c>
      <c r="K756" s="4" t="str">
        <f>TEXT(Table2[[#This Row],[Enrollment_date]],"Mmm")</f>
        <v>Jan</v>
      </c>
      <c r="L756" s="4" t="str">
        <f>TEXT(Table2[[#This Row],[Enrollment_date]],"Ddd")</f>
        <v>Thu</v>
      </c>
      <c r="M756" s="4" t="s">
        <v>34</v>
      </c>
      <c r="N756" t="s">
        <v>36</v>
      </c>
      <c r="O756" t="s">
        <v>38</v>
      </c>
      <c r="P756" s="8">
        <v>4</v>
      </c>
      <c r="Q756" s="6">
        <v>0.83333333333333337</v>
      </c>
      <c r="R756" s="6">
        <v>51</v>
      </c>
      <c r="S756" s="6" t="str">
        <f>IF(Table2[[#This Row],[Avg_score]]&gt;=79,"Distinction",IF(Table2[[#This Row],[Avg_score]]&gt;=60,"Pass","Fail"))</f>
        <v>Fail</v>
      </c>
      <c r="T756" t="s">
        <v>39</v>
      </c>
      <c r="U756">
        <f>IF(Table2[[#This Row],[Completed]]="Yes",1,0)</f>
        <v>1</v>
      </c>
      <c r="V756" t="s">
        <v>40</v>
      </c>
      <c r="W756" t="s">
        <v>40</v>
      </c>
      <c r="X756" s="4">
        <v>45838</v>
      </c>
    </row>
    <row r="757" spans="1:24" x14ac:dyDescent="0.3">
      <c r="A757">
        <v>756</v>
      </c>
      <c r="B757" s="8">
        <v>252</v>
      </c>
      <c r="C757">
        <v>3</v>
      </c>
      <c r="D757" t="s">
        <v>19</v>
      </c>
      <c r="E757" t="s">
        <v>22</v>
      </c>
      <c r="F757">
        <v>29</v>
      </c>
      <c r="G757" t="str">
        <f>IF(Table2[[#This Row],[Age]]&gt;=30,"Experienced",IF(Table2[[#This Row],[Age]]&gt;=25,"Mid Level", "Entry Level"))</f>
        <v>Mid Level</v>
      </c>
      <c r="H757" t="s">
        <v>26</v>
      </c>
      <c r="I757" t="s">
        <v>30</v>
      </c>
      <c r="J757" s="4">
        <v>45687</v>
      </c>
      <c r="K757" s="4" t="str">
        <f>TEXT(Table2[[#This Row],[Enrollment_date]],"Mmm")</f>
        <v>Jan</v>
      </c>
      <c r="L757" s="4" t="str">
        <f>TEXT(Table2[[#This Row],[Enrollment_date]],"Ddd")</f>
        <v>Thu</v>
      </c>
      <c r="M757" s="4" t="s">
        <v>34</v>
      </c>
      <c r="N757" t="s">
        <v>37</v>
      </c>
      <c r="O757" t="s">
        <v>38</v>
      </c>
      <c r="P757" s="8">
        <v>4</v>
      </c>
      <c r="Q757" s="6">
        <v>0.875</v>
      </c>
      <c r="R757" s="6">
        <v>66</v>
      </c>
      <c r="S757" s="6" t="str">
        <f>IF(Table2[[#This Row],[Avg_score]]&gt;=79,"Distinction",IF(Table2[[#This Row],[Avg_score]]&gt;=60,"Pass","Fail"))</f>
        <v>Pass</v>
      </c>
      <c r="T757" t="s">
        <v>39</v>
      </c>
      <c r="U757">
        <f>IF(Table2[[#This Row],[Completed]]="Yes",1,0)</f>
        <v>1</v>
      </c>
      <c r="V757" t="s">
        <v>40</v>
      </c>
      <c r="W757" t="s">
        <v>40</v>
      </c>
      <c r="X757" s="4">
        <v>45838</v>
      </c>
    </row>
    <row r="758" spans="1:24" x14ac:dyDescent="0.3">
      <c r="A758">
        <v>757</v>
      </c>
      <c r="B758" s="8">
        <v>253</v>
      </c>
      <c r="C758">
        <v>1</v>
      </c>
      <c r="D758" t="s">
        <v>19</v>
      </c>
      <c r="E758" t="s">
        <v>23</v>
      </c>
      <c r="F758">
        <v>25</v>
      </c>
      <c r="G758" t="str">
        <f>IF(Table2[[#This Row],[Age]]&gt;=30,"Experienced",IF(Table2[[#This Row],[Age]]&gt;=25,"Mid Level", "Entry Level"))</f>
        <v>Mid Level</v>
      </c>
      <c r="H758" t="s">
        <v>27</v>
      </c>
      <c r="I758" t="s">
        <v>68</v>
      </c>
      <c r="J758" s="4">
        <v>45726</v>
      </c>
      <c r="K758" s="4" t="str">
        <f>TEXT(Table2[[#This Row],[Enrollment_date]],"Mmm")</f>
        <v>Mar</v>
      </c>
      <c r="L758" s="4" t="str">
        <f>TEXT(Table2[[#This Row],[Enrollment_date]],"Ddd")</f>
        <v>Mon</v>
      </c>
      <c r="M758" s="4" t="s">
        <v>34</v>
      </c>
      <c r="N758" t="s">
        <v>35</v>
      </c>
      <c r="O758" t="s">
        <v>38</v>
      </c>
      <c r="P758" s="8">
        <v>4</v>
      </c>
      <c r="Q758" s="6">
        <v>0.83333333333333337</v>
      </c>
      <c r="R758" s="6">
        <v>74.5</v>
      </c>
      <c r="S758" s="6" t="str">
        <f>IF(Table2[[#This Row],[Avg_score]]&gt;=79,"Distinction",IF(Table2[[#This Row],[Avg_score]]&gt;=60,"Pass","Fail"))</f>
        <v>Pass</v>
      </c>
      <c r="T758" t="s">
        <v>39</v>
      </c>
      <c r="U758">
        <f>IF(Table2[[#This Row],[Completed]]="Yes",1,0)</f>
        <v>1</v>
      </c>
      <c r="V758" t="s">
        <v>40</v>
      </c>
      <c r="W758" t="s">
        <v>40</v>
      </c>
      <c r="X758" s="4">
        <v>45838</v>
      </c>
    </row>
    <row r="759" spans="1:24" x14ac:dyDescent="0.3">
      <c r="A759">
        <v>758</v>
      </c>
      <c r="B759" s="8">
        <v>253</v>
      </c>
      <c r="C759">
        <v>2</v>
      </c>
      <c r="D759" t="s">
        <v>21</v>
      </c>
      <c r="E759" t="s">
        <v>23</v>
      </c>
      <c r="F759">
        <v>25</v>
      </c>
      <c r="G759" t="str">
        <f>IF(Table2[[#This Row],[Age]]&gt;=30,"Experienced",IF(Table2[[#This Row],[Age]]&gt;=25,"Mid Level", "Entry Level"))</f>
        <v>Mid Level</v>
      </c>
      <c r="H759" t="s">
        <v>27</v>
      </c>
      <c r="I759" t="s">
        <v>68</v>
      </c>
      <c r="J759" s="4">
        <v>45726</v>
      </c>
      <c r="K759" s="4" t="str">
        <f>TEXT(Table2[[#This Row],[Enrollment_date]],"Mmm")</f>
        <v>Mar</v>
      </c>
      <c r="L759" s="4" t="str">
        <f>TEXT(Table2[[#This Row],[Enrollment_date]],"Ddd")</f>
        <v>Mon</v>
      </c>
      <c r="M759" s="4" t="s">
        <v>34</v>
      </c>
      <c r="N759" t="s">
        <v>36</v>
      </c>
      <c r="O759" t="s">
        <v>38</v>
      </c>
      <c r="P759" s="8">
        <v>4</v>
      </c>
      <c r="Q759" s="6">
        <v>0.77083333333333337</v>
      </c>
      <c r="R759" s="6">
        <v>70</v>
      </c>
      <c r="S759" s="6" t="str">
        <f>IF(Table2[[#This Row],[Avg_score]]&gt;=79,"Distinction",IF(Table2[[#This Row],[Avg_score]]&gt;=60,"Pass","Fail"))</f>
        <v>Pass</v>
      </c>
      <c r="T759" t="s">
        <v>39</v>
      </c>
      <c r="U759">
        <f>IF(Table2[[#This Row],[Completed]]="Yes",1,0)</f>
        <v>1</v>
      </c>
      <c r="V759" t="s">
        <v>40</v>
      </c>
      <c r="W759" t="s">
        <v>40</v>
      </c>
      <c r="X759" s="4">
        <v>45838</v>
      </c>
    </row>
    <row r="760" spans="1:24" x14ac:dyDescent="0.3">
      <c r="A760">
        <v>759</v>
      </c>
      <c r="B760" s="8">
        <v>253</v>
      </c>
      <c r="C760">
        <v>3</v>
      </c>
      <c r="D760" t="s">
        <v>19</v>
      </c>
      <c r="E760" t="s">
        <v>23</v>
      </c>
      <c r="F760">
        <v>25</v>
      </c>
      <c r="G760" t="str">
        <f>IF(Table2[[#This Row],[Age]]&gt;=30,"Experienced",IF(Table2[[#This Row],[Age]]&gt;=25,"Mid Level", "Entry Level"))</f>
        <v>Mid Level</v>
      </c>
      <c r="H760" t="s">
        <v>27</v>
      </c>
      <c r="I760" t="s">
        <v>68</v>
      </c>
      <c r="J760" s="4">
        <v>45726</v>
      </c>
      <c r="K760" s="4" t="str">
        <f>TEXT(Table2[[#This Row],[Enrollment_date]],"Mmm")</f>
        <v>Mar</v>
      </c>
      <c r="L760" s="4" t="str">
        <f>TEXT(Table2[[#This Row],[Enrollment_date]],"Ddd")</f>
        <v>Mon</v>
      </c>
      <c r="M760" s="4" t="s">
        <v>34</v>
      </c>
      <c r="N760" t="s">
        <v>37</v>
      </c>
      <c r="O760" t="s">
        <v>38</v>
      </c>
      <c r="P760" s="8">
        <v>4</v>
      </c>
      <c r="Q760" s="6">
        <v>0.79166666666666663</v>
      </c>
      <c r="R760" s="6">
        <v>80.5</v>
      </c>
      <c r="S760" s="6" t="str">
        <f>IF(Table2[[#This Row],[Avg_score]]&gt;=79,"Distinction",IF(Table2[[#This Row],[Avg_score]]&gt;=60,"Pass","Fail"))</f>
        <v>Distinction</v>
      </c>
      <c r="T760" t="s">
        <v>39</v>
      </c>
      <c r="U760">
        <f>IF(Table2[[#This Row],[Completed]]="Yes",1,0)</f>
        <v>1</v>
      </c>
      <c r="V760" t="s">
        <v>40</v>
      </c>
      <c r="W760" t="s">
        <v>40</v>
      </c>
      <c r="X760" s="4">
        <v>45838</v>
      </c>
    </row>
    <row r="761" spans="1:24" x14ac:dyDescent="0.3">
      <c r="A761">
        <v>760</v>
      </c>
      <c r="B761" s="8">
        <v>254</v>
      </c>
      <c r="C761">
        <v>1</v>
      </c>
      <c r="D761" t="s">
        <v>19</v>
      </c>
      <c r="E761" t="s">
        <v>22</v>
      </c>
      <c r="F761">
        <v>23</v>
      </c>
      <c r="G761" t="str">
        <f>IF(Table2[[#This Row],[Age]]&gt;=30,"Experienced",IF(Table2[[#This Row],[Age]]&gt;=25,"Mid Level", "Entry Level"))</f>
        <v>Entry Level</v>
      </c>
      <c r="H761" t="s">
        <v>29</v>
      </c>
      <c r="I761" t="s">
        <v>30</v>
      </c>
      <c r="J761" s="4">
        <v>45744</v>
      </c>
      <c r="K761" s="4" t="str">
        <f>TEXT(Table2[[#This Row],[Enrollment_date]],"Mmm")</f>
        <v>Mar</v>
      </c>
      <c r="L761" s="4" t="str">
        <f>TEXT(Table2[[#This Row],[Enrollment_date]],"Ddd")</f>
        <v>Fri</v>
      </c>
      <c r="M761" s="4" t="s">
        <v>34</v>
      </c>
      <c r="N761" t="s">
        <v>35</v>
      </c>
      <c r="O761" t="s">
        <v>38</v>
      </c>
      <c r="P761" s="8">
        <v>4</v>
      </c>
      <c r="Q761" s="6">
        <v>0.75</v>
      </c>
      <c r="R761" s="6">
        <v>73</v>
      </c>
      <c r="S761" s="6" t="str">
        <f>IF(Table2[[#This Row],[Avg_score]]&gt;=79,"Distinction",IF(Table2[[#This Row],[Avg_score]]&gt;=60,"Pass","Fail"))</f>
        <v>Pass</v>
      </c>
      <c r="T761" t="s">
        <v>39</v>
      </c>
      <c r="U761">
        <f>IF(Table2[[#This Row],[Completed]]="Yes",1,0)</f>
        <v>1</v>
      </c>
      <c r="V761" t="s">
        <v>40</v>
      </c>
      <c r="W761" t="s">
        <v>39</v>
      </c>
      <c r="X761" s="4">
        <v>45838</v>
      </c>
    </row>
    <row r="762" spans="1:24" x14ac:dyDescent="0.3">
      <c r="A762">
        <v>761</v>
      </c>
      <c r="B762" s="8">
        <v>254</v>
      </c>
      <c r="C762">
        <v>2</v>
      </c>
      <c r="D762" t="s">
        <v>19</v>
      </c>
      <c r="E762" t="s">
        <v>22</v>
      </c>
      <c r="F762">
        <v>23</v>
      </c>
      <c r="G762" t="str">
        <f>IF(Table2[[#This Row],[Age]]&gt;=30,"Experienced",IF(Table2[[#This Row],[Age]]&gt;=25,"Mid Level", "Entry Level"))</f>
        <v>Entry Level</v>
      </c>
      <c r="H762" t="s">
        <v>29</v>
      </c>
      <c r="I762" t="s">
        <v>30</v>
      </c>
      <c r="J762" s="4">
        <v>45744</v>
      </c>
      <c r="K762" s="4" t="str">
        <f>TEXT(Table2[[#This Row],[Enrollment_date]],"Mmm")</f>
        <v>Mar</v>
      </c>
      <c r="L762" s="4" t="str">
        <f>TEXT(Table2[[#This Row],[Enrollment_date]],"Ddd")</f>
        <v>Fri</v>
      </c>
      <c r="M762" s="4" t="s">
        <v>34</v>
      </c>
      <c r="N762" t="s">
        <v>36</v>
      </c>
      <c r="O762" t="s">
        <v>38</v>
      </c>
      <c r="P762" s="8">
        <v>4</v>
      </c>
      <c r="Q762" s="6">
        <v>0.89583333333333337</v>
      </c>
      <c r="R762" s="6">
        <v>81.5</v>
      </c>
      <c r="S762" s="6" t="str">
        <f>IF(Table2[[#This Row],[Avg_score]]&gt;=79,"Distinction",IF(Table2[[#This Row],[Avg_score]]&gt;=60,"Pass","Fail"))</f>
        <v>Distinction</v>
      </c>
      <c r="T762" t="s">
        <v>39</v>
      </c>
      <c r="U762">
        <f>IF(Table2[[#This Row],[Completed]]="Yes",1,0)</f>
        <v>1</v>
      </c>
      <c r="V762" t="s">
        <v>40</v>
      </c>
      <c r="W762" t="s">
        <v>39</v>
      </c>
      <c r="X762" s="4">
        <v>45838</v>
      </c>
    </row>
    <row r="763" spans="1:24" x14ac:dyDescent="0.3">
      <c r="A763">
        <v>762</v>
      </c>
      <c r="B763" s="8">
        <v>254</v>
      </c>
      <c r="C763">
        <v>3</v>
      </c>
      <c r="D763" t="s">
        <v>19</v>
      </c>
      <c r="E763" t="s">
        <v>22</v>
      </c>
      <c r="F763">
        <v>23</v>
      </c>
      <c r="G763" t="str">
        <f>IF(Table2[[#This Row],[Age]]&gt;=30,"Experienced",IF(Table2[[#This Row],[Age]]&gt;=25,"Mid Level", "Entry Level"))</f>
        <v>Entry Level</v>
      </c>
      <c r="H763" t="s">
        <v>29</v>
      </c>
      <c r="I763" t="s">
        <v>30</v>
      </c>
      <c r="J763" s="4">
        <v>45744</v>
      </c>
      <c r="K763" s="4" t="str">
        <f>TEXT(Table2[[#This Row],[Enrollment_date]],"Mmm")</f>
        <v>Mar</v>
      </c>
      <c r="L763" s="4" t="str">
        <f>TEXT(Table2[[#This Row],[Enrollment_date]],"Ddd")</f>
        <v>Fri</v>
      </c>
      <c r="M763" s="4" t="s">
        <v>34</v>
      </c>
      <c r="N763" t="s">
        <v>37</v>
      </c>
      <c r="O763" t="s">
        <v>38</v>
      </c>
      <c r="P763" s="8">
        <v>4</v>
      </c>
      <c r="Q763" s="6">
        <v>0.875</v>
      </c>
      <c r="R763" s="6">
        <v>81</v>
      </c>
      <c r="S763" s="6" t="str">
        <f>IF(Table2[[#This Row],[Avg_score]]&gt;=79,"Distinction",IF(Table2[[#This Row],[Avg_score]]&gt;=60,"Pass","Fail"))</f>
        <v>Distinction</v>
      </c>
      <c r="T763" t="s">
        <v>39</v>
      </c>
      <c r="U763">
        <f>IF(Table2[[#This Row],[Completed]]="Yes",1,0)</f>
        <v>1</v>
      </c>
      <c r="V763" t="s">
        <v>40</v>
      </c>
      <c r="W763" t="s">
        <v>39</v>
      </c>
      <c r="X763" s="4">
        <v>45838</v>
      </c>
    </row>
    <row r="764" spans="1:24" x14ac:dyDescent="0.3">
      <c r="A764">
        <v>763</v>
      </c>
      <c r="B764" s="8">
        <v>255</v>
      </c>
      <c r="C764">
        <v>1</v>
      </c>
      <c r="D764" t="s">
        <v>19</v>
      </c>
      <c r="E764" t="s">
        <v>23</v>
      </c>
      <c r="F764">
        <v>18</v>
      </c>
      <c r="G764" t="str">
        <f>IF(Table2[[#This Row],[Age]]&gt;=30,"Experienced",IF(Table2[[#This Row],[Age]]&gt;=25,"Mid Level", "Entry Level"))</f>
        <v>Entry Level</v>
      </c>
      <c r="H764" t="s">
        <v>28</v>
      </c>
      <c r="I764" t="s">
        <v>32</v>
      </c>
      <c r="J764" s="4">
        <v>45802</v>
      </c>
      <c r="K764" s="4" t="str">
        <f>TEXT(Table2[[#This Row],[Enrollment_date]],"Mmm")</f>
        <v>May</v>
      </c>
      <c r="L764" s="4" t="str">
        <f>TEXT(Table2[[#This Row],[Enrollment_date]],"Ddd")</f>
        <v>Sun</v>
      </c>
      <c r="M764" s="4" t="s">
        <v>34</v>
      </c>
      <c r="N764" t="s">
        <v>35</v>
      </c>
      <c r="O764" t="s">
        <v>38</v>
      </c>
      <c r="P764" s="8">
        <v>4</v>
      </c>
      <c r="Q764" s="6">
        <v>0.77083333333333337</v>
      </c>
      <c r="R764" s="6">
        <v>55.5</v>
      </c>
      <c r="S764" s="6" t="str">
        <f>IF(Table2[[#This Row],[Avg_score]]&gt;=79,"Distinction",IF(Table2[[#This Row],[Avg_score]]&gt;=60,"Pass","Fail"))</f>
        <v>Fail</v>
      </c>
      <c r="T764" t="s">
        <v>39</v>
      </c>
      <c r="U764">
        <f>IF(Table2[[#This Row],[Completed]]="Yes",1,0)</f>
        <v>1</v>
      </c>
      <c r="V764" t="s">
        <v>39</v>
      </c>
      <c r="W764" t="s">
        <v>40</v>
      </c>
      <c r="X764" s="4">
        <v>45838</v>
      </c>
    </row>
    <row r="765" spans="1:24" x14ac:dyDescent="0.3">
      <c r="A765">
        <v>764</v>
      </c>
      <c r="B765" s="8">
        <v>255</v>
      </c>
      <c r="C765">
        <v>2</v>
      </c>
      <c r="D765" t="s">
        <v>21</v>
      </c>
      <c r="E765" t="s">
        <v>23</v>
      </c>
      <c r="F765">
        <v>18</v>
      </c>
      <c r="G765" t="str">
        <f>IF(Table2[[#This Row],[Age]]&gt;=30,"Experienced",IF(Table2[[#This Row],[Age]]&gt;=25,"Mid Level", "Entry Level"))</f>
        <v>Entry Level</v>
      </c>
      <c r="H765" t="s">
        <v>28</v>
      </c>
      <c r="I765" t="s">
        <v>32</v>
      </c>
      <c r="J765" s="4">
        <v>45802</v>
      </c>
      <c r="K765" s="4" t="str">
        <f>TEXT(Table2[[#This Row],[Enrollment_date]],"Mmm")</f>
        <v>May</v>
      </c>
      <c r="L765" s="4" t="str">
        <f>TEXT(Table2[[#This Row],[Enrollment_date]],"Ddd")</f>
        <v>Sun</v>
      </c>
      <c r="M765" s="4" t="s">
        <v>34</v>
      </c>
      <c r="N765" t="s">
        <v>36</v>
      </c>
      <c r="O765" t="s">
        <v>38</v>
      </c>
      <c r="P765" s="8">
        <v>4</v>
      </c>
      <c r="Q765" s="6">
        <v>0.6875</v>
      </c>
      <c r="R765" s="6">
        <v>69</v>
      </c>
      <c r="S765" s="6" t="str">
        <f>IF(Table2[[#This Row],[Avg_score]]&gt;=79,"Distinction",IF(Table2[[#This Row],[Avg_score]]&gt;=60,"Pass","Fail"))</f>
        <v>Pass</v>
      </c>
      <c r="T765" t="s">
        <v>39</v>
      </c>
      <c r="U765">
        <f>IF(Table2[[#This Row],[Completed]]="Yes",1,0)</f>
        <v>1</v>
      </c>
      <c r="V765" t="s">
        <v>39</v>
      </c>
      <c r="W765" t="s">
        <v>40</v>
      </c>
      <c r="X765" s="4">
        <v>45838</v>
      </c>
    </row>
    <row r="766" spans="1:24" x14ac:dyDescent="0.3">
      <c r="A766">
        <v>765</v>
      </c>
      <c r="B766" s="8">
        <v>255</v>
      </c>
      <c r="C766">
        <v>3</v>
      </c>
      <c r="D766" t="s">
        <v>19</v>
      </c>
      <c r="E766" t="s">
        <v>23</v>
      </c>
      <c r="F766">
        <v>18</v>
      </c>
      <c r="G766" t="str">
        <f>IF(Table2[[#This Row],[Age]]&gt;=30,"Experienced",IF(Table2[[#This Row],[Age]]&gt;=25,"Mid Level", "Entry Level"))</f>
        <v>Entry Level</v>
      </c>
      <c r="H766" t="s">
        <v>28</v>
      </c>
      <c r="I766" t="s">
        <v>32</v>
      </c>
      <c r="J766" s="4">
        <v>45802</v>
      </c>
      <c r="K766" s="4" t="str">
        <f>TEXT(Table2[[#This Row],[Enrollment_date]],"Mmm")</f>
        <v>May</v>
      </c>
      <c r="L766" s="4" t="str">
        <f>TEXT(Table2[[#This Row],[Enrollment_date]],"Ddd")</f>
        <v>Sun</v>
      </c>
      <c r="M766" s="4" t="s">
        <v>34</v>
      </c>
      <c r="N766" t="s">
        <v>37</v>
      </c>
      <c r="O766" t="s">
        <v>38</v>
      </c>
      <c r="P766" s="8">
        <v>4</v>
      </c>
      <c r="Q766" s="6">
        <v>0.83333333333333337</v>
      </c>
      <c r="R766" s="6">
        <v>70.5</v>
      </c>
      <c r="S766" s="6" t="str">
        <f>IF(Table2[[#This Row],[Avg_score]]&gt;=79,"Distinction",IF(Table2[[#This Row],[Avg_score]]&gt;=60,"Pass","Fail"))</f>
        <v>Pass</v>
      </c>
      <c r="T766" t="s">
        <v>39</v>
      </c>
      <c r="U766">
        <f>IF(Table2[[#This Row],[Completed]]="Yes",1,0)</f>
        <v>1</v>
      </c>
      <c r="V766" t="s">
        <v>39</v>
      </c>
      <c r="W766" t="s">
        <v>40</v>
      </c>
      <c r="X766" s="4">
        <v>45838</v>
      </c>
    </row>
    <row r="767" spans="1:24" x14ac:dyDescent="0.3">
      <c r="A767">
        <v>766</v>
      </c>
      <c r="B767" s="8">
        <v>256</v>
      </c>
      <c r="C767">
        <v>1</v>
      </c>
      <c r="D767" t="s">
        <v>19</v>
      </c>
      <c r="E767" t="s">
        <v>23</v>
      </c>
      <c r="F767">
        <v>20</v>
      </c>
      <c r="G767" t="str">
        <f>IF(Table2[[#This Row],[Age]]&gt;=30,"Experienced",IF(Table2[[#This Row],[Age]]&gt;=25,"Mid Level", "Entry Level"))</f>
        <v>Entry Level</v>
      </c>
      <c r="H767" t="s">
        <v>28</v>
      </c>
      <c r="I767" t="s">
        <v>68</v>
      </c>
      <c r="J767" s="4">
        <v>45681</v>
      </c>
      <c r="K767" s="4" t="str">
        <f>TEXT(Table2[[#This Row],[Enrollment_date]],"Mmm")</f>
        <v>Jan</v>
      </c>
      <c r="L767" s="4" t="str">
        <f>TEXT(Table2[[#This Row],[Enrollment_date]],"Ddd")</f>
        <v>Fri</v>
      </c>
      <c r="M767" s="4" t="s">
        <v>34</v>
      </c>
      <c r="N767" t="s">
        <v>35</v>
      </c>
      <c r="O767" t="s">
        <v>38</v>
      </c>
      <c r="P767" s="8">
        <v>4</v>
      </c>
      <c r="Q767" s="6">
        <v>0.83333333333333337</v>
      </c>
      <c r="R767" s="6">
        <v>82.5</v>
      </c>
      <c r="S767" s="6" t="str">
        <f>IF(Table2[[#This Row],[Avg_score]]&gt;=79,"Distinction",IF(Table2[[#This Row],[Avg_score]]&gt;=60,"Pass","Fail"))</f>
        <v>Distinction</v>
      </c>
      <c r="T767" t="s">
        <v>40</v>
      </c>
      <c r="U767">
        <f>IF(Table2[[#This Row],[Completed]]="Yes",1,0)</f>
        <v>0</v>
      </c>
      <c r="V767" t="s">
        <v>40</v>
      </c>
      <c r="W767" t="s">
        <v>40</v>
      </c>
      <c r="X767" s="4">
        <v>45838</v>
      </c>
    </row>
    <row r="768" spans="1:24" x14ac:dyDescent="0.3">
      <c r="A768">
        <v>767</v>
      </c>
      <c r="B768" s="8">
        <v>256</v>
      </c>
      <c r="C768">
        <v>2</v>
      </c>
      <c r="D768" t="s">
        <v>21</v>
      </c>
      <c r="E768" t="s">
        <v>23</v>
      </c>
      <c r="F768">
        <v>20</v>
      </c>
      <c r="G768" t="str">
        <f>IF(Table2[[#This Row],[Age]]&gt;=30,"Experienced",IF(Table2[[#This Row],[Age]]&gt;=25,"Mid Level", "Entry Level"))</f>
        <v>Entry Level</v>
      </c>
      <c r="H768" t="s">
        <v>28</v>
      </c>
      <c r="I768" t="s">
        <v>68</v>
      </c>
      <c r="J768" s="4">
        <v>45681</v>
      </c>
      <c r="K768" s="4" t="str">
        <f>TEXT(Table2[[#This Row],[Enrollment_date]],"Mmm")</f>
        <v>Jan</v>
      </c>
      <c r="L768" s="4" t="str">
        <f>TEXT(Table2[[#This Row],[Enrollment_date]],"Ddd")</f>
        <v>Fri</v>
      </c>
      <c r="M768" s="4" t="s">
        <v>34</v>
      </c>
      <c r="N768" t="s">
        <v>36</v>
      </c>
      <c r="O768" t="s">
        <v>38</v>
      </c>
      <c r="P768" s="8">
        <v>4</v>
      </c>
      <c r="Q768" s="6">
        <v>0.875</v>
      </c>
      <c r="R768" s="6">
        <v>60</v>
      </c>
      <c r="S768" s="6" t="str">
        <f>IF(Table2[[#This Row],[Avg_score]]&gt;=79,"Distinction",IF(Table2[[#This Row],[Avg_score]]&gt;=60,"Pass","Fail"))</f>
        <v>Pass</v>
      </c>
      <c r="T768" t="s">
        <v>40</v>
      </c>
      <c r="U768">
        <f>IF(Table2[[#This Row],[Completed]]="Yes",1,0)</f>
        <v>0</v>
      </c>
      <c r="V768" t="s">
        <v>40</v>
      </c>
      <c r="W768" t="s">
        <v>40</v>
      </c>
      <c r="X768" s="4">
        <v>45838</v>
      </c>
    </row>
    <row r="769" spans="1:24" x14ac:dyDescent="0.3">
      <c r="A769">
        <v>768</v>
      </c>
      <c r="B769" s="8">
        <v>256</v>
      </c>
      <c r="C769">
        <v>3</v>
      </c>
      <c r="D769" t="s">
        <v>19</v>
      </c>
      <c r="E769" t="s">
        <v>23</v>
      </c>
      <c r="F769">
        <v>20</v>
      </c>
      <c r="G769" t="str">
        <f>IF(Table2[[#This Row],[Age]]&gt;=30,"Experienced",IF(Table2[[#This Row],[Age]]&gt;=25,"Mid Level", "Entry Level"))</f>
        <v>Entry Level</v>
      </c>
      <c r="H769" t="s">
        <v>28</v>
      </c>
      <c r="I769" t="s">
        <v>68</v>
      </c>
      <c r="J769" s="4">
        <v>45681</v>
      </c>
      <c r="K769" s="4" t="str">
        <f>TEXT(Table2[[#This Row],[Enrollment_date]],"Mmm")</f>
        <v>Jan</v>
      </c>
      <c r="L769" s="4" t="str">
        <f>TEXT(Table2[[#This Row],[Enrollment_date]],"Ddd")</f>
        <v>Fri</v>
      </c>
      <c r="M769" s="4" t="s">
        <v>34</v>
      </c>
      <c r="N769" t="s">
        <v>37</v>
      </c>
      <c r="O769" t="s">
        <v>38</v>
      </c>
      <c r="P769" s="8">
        <v>4</v>
      </c>
      <c r="Q769" s="6">
        <v>0.83333333333333337</v>
      </c>
      <c r="R769" s="6">
        <v>48.5</v>
      </c>
      <c r="S769" s="6" t="str">
        <f>IF(Table2[[#This Row],[Avg_score]]&gt;=79,"Distinction",IF(Table2[[#This Row],[Avg_score]]&gt;=60,"Pass","Fail"))</f>
        <v>Fail</v>
      </c>
      <c r="T769" t="s">
        <v>40</v>
      </c>
      <c r="U769">
        <f>IF(Table2[[#This Row],[Completed]]="Yes",1,0)</f>
        <v>0</v>
      </c>
      <c r="V769" t="s">
        <v>40</v>
      </c>
      <c r="W769" t="s">
        <v>40</v>
      </c>
      <c r="X769" s="4">
        <v>45838</v>
      </c>
    </row>
    <row r="770" spans="1:24" x14ac:dyDescent="0.3">
      <c r="A770">
        <v>769</v>
      </c>
      <c r="B770" s="8">
        <v>257</v>
      </c>
      <c r="C770">
        <v>1</v>
      </c>
      <c r="D770" t="s">
        <v>19</v>
      </c>
      <c r="E770" t="s">
        <v>22</v>
      </c>
      <c r="F770">
        <v>30</v>
      </c>
      <c r="G770" t="str">
        <f>IF(Table2[[#This Row],[Age]]&gt;=30,"Experienced",IF(Table2[[#This Row],[Age]]&gt;=25,"Mid Level", "Entry Level"))</f>
        <v>Experienced</v>
      </c>
      <c r="H770" t="s">
        <v>27</v>
      </c>
      <c r="I770" t="s">
        <v>44</v>
      </c>
      <c r="J770" s="4">
        <v>45745</v>
      </c>
      <c r="K770" s="4" t="str">
        <f>TEXT(Table2[[#This Row],[Enrollment_date]],"Mmm")</f>
        <v>Mar</v>
      </c>
      <c r="L770" s="4" t="str">
        <f>TEXT(Table2[[#This Row],[Enrollment_date]],"Ddd")</f>
        <v>Sat</v>
      </c>
      <c r="M770" s="4" t="s">
        <v>34</v>
      </c>
      <c r="N770" t="s">
        <v>35</v>
      </c>
      <c r="O770" t="s">
        <v>38</v>
      </c>
      <c r="P770" s="8">
        <v>4</v>
      </c>
      <c r="Q770" s="6">
        <v>0.8125</v>
      </c>
      <c r="R770" s="6">
        <v>73.5</v>
      </c>
      <c r="S770" s="6" t="str">
        <f>IF(Table2[[#This Row],[Avg_score]]&gt;=79,"Distinction",IF(Table2[[#This Row],[Avg_score]]&gt;=60,"Pass","Fail"))</f>
        <v>Pass</v>
      </c>
      <c r="T770" t="s">
        <v>39</v>
      </c>
      <c r="U770">
        <f>IF(Table2[[#This Row],[Completed]]="Yes",1,0)</f>
        <v>1</v>
      </c>
      <c r="V770" t="s">
        <v>40</v>
      </c>
      <c r="W770" t="s">
        <v>40</v>
      </c>
      <c r="X770" s="4">
        <v>45838</v>
      </c>
    </row>
    <row r="771" spans="1:24" x14ac:dyDescent="0.3">
      <c r="A771">
        <v>770</v>
      </c>
      <c r="B771" s="8">
        <v>257</v>
      </c>
      <c r="C771">
        <v>2</v>
      </c>
      <c r="D771" t="s">
        <v>21</v>
      </c>
      <c r="E771" t="s">
        <v>22</v>
      </c>
      <c r="F771">
        <v>30</v>
      </c>
      <c r="G771" t="str">
        <f>IF(Table2[[#This Row],[Age]]&gt;=30,"Experienced",IF(Table2[[#This Row],[Age]]&gt;=25,"Mid Level", "Entry Level"))</f>
        <v>Experienced</v>
      </c>
      <c r="H771" t="s">
        <v>27</v>
      </c>
      <c r="I771" t="s">
        <v>44</v>
      </c>
      <c r="J771" s="4">
        <v>45745</v>
      </c>
      <c r="K771" s="4" t="str">
        <f>TEXT(Table2[[#This Row],[Enrollment_date]],"Mmm")</f>
        <v>Mar</v>
      </c>
      <c r="L771" s="4" t="str">
        <f>TEXT(Table2[[#This Row],[Enrollment_date]],"Ddd")</f>
        <v>Sat</v>
      </c>
      <c r="M771" s="4" t="s">
        <v>34</v>
      </c>
      <c r="N771" t="s">
        <v>36</v>
      </c>
      <c r="O771" t="s">
        <v>38</v>
      </c>
      <c r="P771" s="8">
        <v>4</v>
      </c>
      <c r="Q771" s="6">
        <v>0.79166666666666663</v>
      </c>
      <c r="R771" s="6">
        <v>69.5</v>
      </c>
      <c r="S771" s="6" t="str">
        <f>IF(Table2[[#This Row],[Avg_score]]&gt;=79,"Distinction",IF(Table2[[#This Row],[Avg_score]]&gt;=60,"Pass","Fail"))</f>
        <v>Pass</v>
      </c>
      <c r="T771" t="s">
        <v>39</v>
      </c>
      <c r="U771">
        <f>IF(Table2[[#This Row],[Completed]]="Yes",1,0)</f>
        <v>1</v>
      </c>
      <c r="V771" t="s">
        <v>40</v>
      </c>
      <c r="W771" t="s">
        <v>40</v>
      </c>
      <c r="X771" s="4">
        <v>45838</v>
      </c>
    </row>
    <row r="772" spans="1:24" x14ac:dyDescent="0.3">
      <c r="A772">
        <v>771</v>
      </c>
      <c r="B772" s="8">
        <v>257</v>
      </c>
      <c r="C772">
        <v>3</v>
      </c>
      <c r="D772" t="s">
        <v>19</v>
      </c>
      <c r="E772" t="s">
        <v>22</v>
      </c>
      <c r="F772">
        <v>30</v>
      </c>
      <c r="G772" t="str">
        <f>IF(Table2[[#This Row],[Age]]&gt;=30,"Experienced",IF(Table2[[#This Row],[Age]]&gt;=25,"Mid Level", "Entry Level"))</f>
        <v>Experienced</v>
      </c>
      <c r="H772" t="s">
        <v>27</v>
      </c>
      <c r="I772" t="s">
        <v>44</v>
      </c>
      <c r="J772" s="4">
        <v>45745</v>
      </c>
      <c r="K772" s="4" t="str">
        <f>TEXT(Table2[[#This Row],[Enrollment_date]],"Mmm")</f>
        <v>Mar</v>
      </c>
      <c r="L772" s="4" t="str">
        <f>TEXT(Table2[[#This Row],[Enrollment_date]],"Ddd")</f>
        <v>Sat</v>
      </c>
      <c r="M772" s="4" t="s">
        <v>34</v>
      </c>
      <c r="N772" t="s">
        <v>37</v>
      </c>
      <c r="O772" t="s">
        <v>38</v>
      </c>
      <c r="P772" s="8">
        <v>4</v>
      </c>
      <c r="Q772" s="6">
        <v>0.79166666666666663</v>
      </c>
      <c r="R772" s="6">
        <v>68.5</v>
      </c>
      <c r="S772" s="6" t="str">
        <f>IF(Table2[[#This Row],[Avg_score]]&gt;=79,"Distinction",IF(Table2[[#This Row],[Avg_score]]&gt;=60,"Pass","Fail"))</f>
        <v>Pass</v>
      </c>
      <c r="T772" t="s">
        <v>39</v>
      </c>
      <c r="U772">
        <f>IF(Table2[[#This Row],[Completed]]="Yes",1,0)</f>
        <v>1</v>
      </c>
      <c r="V772" t="s">
        <v>40</v>
      </c>
      <c r="W772" t="s">
        <v>40</v>
      </c>
      <c r="X772" s="4">
        <v>45838</v>
      </c>
    </row>
    <row r="773" spans="1:24" x14ac:dyDescent="0.3">
      <c r="A773">
        <v>772</v>
      </c>
      <c r="B773" s="8">
        <v>258</v>
      </c>
      <c r="C773">
        <v>1</v>
      </c>
      <c r="D773" t="s">
        <v>19</v>
      </c>
      <c r="E773" t="s">
        <v>22</v>
      </c>
      <c r="F773">
        <v>29</v>
      </c>
      <c r="G773" t="str">
        <f>IF(Table2[[#This Row],[Age]]&gt;=30,"Experienced",IF(Table2[[#This Row],[Age]]&gt;=25,"Mid Level", "Entry Level"))</f>
        <v>Mid Level</v>
      </c>
      <c r="H773" t="s">
        <v>29</v>
      </c>
      <c r="I773" t="s">
        <v>30</v>
      </c>
      <c r="J773" s="4">
        <v>45803</v>
      </c>
      <c r="K773" s="4" t="str">
        <f>TEXT(Table2[[#This Row],[Enrollment_date]],"Mmm")</f>
        <v>May</v>
      </c>
      <c r="L773" s="4" t="str">
        <f>TEXT(Table2[[#This Row],[Enrollment_date]],"Ddd")</f>
        <v>Mon</v>
      </c>
      <c r="M773" s="4" t="s">
        <v>34</v>
      </c>
      <c r="N773" t="s">
        <v>35</v>
      </c>
      <c r="O773" t="s">
        <v>38</v>
      </c>
      <c r="P773" s="8">
        <v>4</v>
      </c>
      <c r="Q773" s="6">
        <v>0.79166666666666663</v>
      </c>
      <c r="R773" s="6">
        <v>59</v>
      </c>
      <c r="S773" s="6" t="str">
        <f>IF(Table2[[#This Row],[Avg_score]]&gt;=79,"Distinction",IF(Table2[[#This Row],[Avg_score]]&gt;=60,"Pass","Fail"))</f>
        <v>Fail</v>
      </c>
      <c r="T773" t="s">
        <v>40</v>
      </c>
      <c r="U773">
        <f>IF(Table2[[#This Row],[Completed]]="Yes",1,0)</f>
        <v>0</v>
      </c>
      <c r="V773" t="s">
        <v>40</v>
      </c>
      <c r="W773" t="s">
        <v>40</v>
      </c>
      <c r="X773" s="4">
        <v>45838</v>
      </c>
    </row>
    <row r="774" spans="1:24" x14ac:dyDescent="0.3">
      <c r="A774">
        <v>773</v>
      </c>
      <c r="B774" s="8">
        <v>258</v>
      </c>
      <c r="C774">
        <v>2</v>
      </c>
      <c r="D774" t="s">
        <v>20</v>
      </c>
      <c r="E774" t="s">
        <v>22</v>
      </c>
      <c r="F774">
        <v>29</v>
      </c>
      <c r="G774" t="str">
        <f>IF(Table2[[#This Row],[Age]]&gt;=30,"Experienced",IF(Table2[[#This Row],[Age]]&gt;=25,"Mid Level", "Entry Level"))</f>
        <v>Mid Level</v>
      </c>
      <c r="H774" t="s">
        <v>29</v>
      </c>
      <c r="I774" t="s">
        <v>30</v>
      </c>
      <c r="J774" s="4">
        <v>45803</v>
      </c>
      <c r="K774" s="4" t="str">
        <f>TEXT(Table2[[#This Row],[Enrollment_date]],"Mmm")</f>
        <v>May</v>
      </c>
      <c r="L774" s="4" t="str">
        <f>TEXT(Table2[[#This Row],[Enrollment_date]],"Ddd")</f>
        <v>Mon</v>
      </c>
      <c r="M774" s="4" t="s">
        <v>34</v>
      </c>
      <c r="N774" t="s">
        <v>36</v>
      </c>
      <c r="O774" t="s">
        <v>38</v>
      </c>
      <c r="P774" s="8">
        <v>4</v>
      </c>
      <c r="Q774" s="6">
        <v>0.79166666666666663</v>
      </c>
      <c r="R774" s="6">
        <v>56</v>
      </c>
      <c r="S774" s="6" t="str">
        <f>IF(Table2[[#This Row],[Avg_score]]&gt;=79,"Distinction",IF(Table2[[#This Row],[Avg_score]]&gt;=60,"Pass","Fail"))</f>
        <v>Fail</v>
      </c>
      <c r="T774" t="s">
        <v>40</v>
      </c>
      <c r="U774">
        <f>IF(Table2[[#This Row],[Completed]]="Yes",1,0)</f>
        <v>0</v>
      </c>
      <c r="V774" t="s">
        <v>40</v>
      </c>
      <c r="W774" t="s">
        <v>40</v>
      </c>
      <c r="X774" s="4">
        <v>45838</v>
      </c>
    </row>
    <row r="775" spans="1:24" x14ac:dyDescent="0.3">
      <c r="A775">
        <v>774</v>
      </c>
      <c r="B775" s="8">
        <v>258</v>
      </c>
      <c r="C775">
        <v>3</v>
      </c>
      <c r="D775" t="s">
        <v>19</v>
      </c>
      <c r="E775" t="s">
        <v>22</v>
      </c>
      <c r="F775">
        <v>29</v>
      </c>
      <c r="G775" t="str">
        <f>IF(Table2[[#This Row],[Age]]&gt;=30,"Experienced",IF(Table2[[#This Row],[Age]]&gt;=25,"Mid Level", "Entry Level"))</f>
        <v>Mid Level</v>
      </c>
      <c r="H775" t="s">
        <v>29</v>
      </c>
      <c r="I775" t="s">
        <v>30</v>
      </c>
      <c r="J775" s="4">
        <v>45803</v>
      </c>
      <c r="K775" s="4" t="str">
        <f>TEXT(Table2[[#This Row],[Enrollment_date]],"Mmm")</f>
        <v>May</v>
      </c>
      <c r="L775" s="4" t="str">
        <f>TEXT(Table2[[#This Row],[Enrollment_date]],"Ddd")</f>
        <v>Mon</v>
      </c>
      <c r="M775" s="4" t="s">
        <v>34</v>
      </c>
      <c r="N775" t="s">
        <v>37</v>
      </c>
      <c r="O775" t="s">
        <v>38</v>
      </c>
      <c r="P775" s="8">
        <v>4</v>
      </c>
      <c r="Q775" s="6">
        <v>0.8125</v>
      </c>
      <c r="R775" s="6">
        <v>64</v>
      </c>
      <c r="S775" s="6" t="str">
        <f>IF(Table2[[#This Row],[Avg_score]]&gt;=79,"Distinction",IF(Table2[[#This Row],[Avg_score]]&gt;=60,"Pass","Fail"))</f>
        <v>Pass</v>
      </c>
      <c r="T775" t="s">
        <v>40</v>
      </c>
      <c r="U775">
        <f>IF(Table2[[#This Row],[Completed]]="Yes",1,0)</f>
        <v>0</v>
      </c>
      <c r="V775" t="s">
        <v>40</v>
      </c>
      <c r="W775" t="s">
        <v>40</v>
      </c>
      <c r="X775" s="4">
        <v>45838</v>
      </c>
    </row>
    <row r="776" spans="1:24" x14ac:dyDescent="0.3">
      <c r="A776">
        <v>775</v>
      </c>
      <c r="B776" s="8">
        <v>259</v>
      </c>
      <c r="C776">
        <v>1</v>
      </c>
      <c r="D776" t="s">
        <v>21</v>
      </c>
      <c r="E776" t="s">
        <v>22</v>
      </c>
      <c r="F776">
        <v>19</v>
      </c>
      <c r="G776" t="str">
        <f>IF(Table2[[#This Row],[Age]]&gt;=30,"Experienced",IF(Table2[[#This Row],[Age]]&gt;=25,"Mid Level", "Entry Level"))</f>
        <v>Entry Level</v>
      </c>
      <c r="H776" t="s">
        <v>28</v>
      </c>
      <c r="I776" t="s">
        <v>32</v>
      </c>
      <c r="J776" s="4">
        <v>45670</v>
      </c>
      <c r="K776" s="4" t="str">
        <f>TEXT(Table2[[#This Row],[Enrollment_date]],"Mmm")</f>
        <v>Jan</v>
      </c>
      <c r="L776" s="4" t="str">
        <f>TEXT(Table2[[#This Row],[Enrollment_date]],"Ddd")</f>
        <v>Mon</v>
      </c>
      <c r="M776" s="4" t="s">
        <v>34</v>
      </c>
      <c r="N776" t="s">
        <v>35</v>
      </c>
      <c r="O776" t="s">
        <v>38</v>
      </c>
      <c r="P776" s="8">
        <v>4</v>
      </c>
      <c r="Q776" s="6">
        <v>0.89583333333333337</v>
      </c>
      <c r="R776" s="6">
        <v>72.5</v>
      </c>
      <c r="S776" s="6" t="str">
        <f>IF(Table2[[#This Row],[Avg_score]]&gt;=79,"Distinction",IF(Table2[[#This Row],[Avg_score]]&gt;=60,"Pass","Fail"))</f>
        <v>Pass</v>
      </c>
      <c r="T776" t="s">
        <v>40</v>
      </c>
      <c r="U776">
        <f>IF(Table2[[#This Row],[Completed]]="Yes",1,0)</f>
        <v>0</v>
      </c>
      <c r="V776" t="s">
        <v>40</v>
      </c>
      <c r="W776" t="s">
        <v>40</v>
      </c>
      <c r="X776" s="4">
        <v>45838</v>
      </c>
    </row>
    <row r="777" spans="1:24" x14ac:dyDescent="0.3">
      <c r="A777">
        <v>776</v>
      </c>
      <c r="B777" s="8">
        <v>259</v>
      </c>
      <c r="C777">
        <v>2</v>
      </c>
      <c r="D777" t="s">
        <v>19</v>
      </c>
      <c r="E777" t="s">
        <v>22</v>
      </c>
      <c r="F777">
        <v>19</v>
      </c>
      <c r="G777" t="str">
        <f>IF(Table2[[#This Row],[Age]]&gt;=30,"Experienced",IF(Table2[[#This Row],[Age]]&gt;=25,"Mid Level", "Entry Level"))</f>
        <v>Entry Level</v>
      </c>
      <c r="H777" t="s">
        <v>28</v>
      </c>
      <c r="I777" t="s">
        <v>32</v>
      </c>
      <c r="J777" s="4">
        <v>45670</v>
      </c>
      <c r="K777" s="4" t="str">
        <f>TEXT(Table2[[#This Row],[Enrollment_date]],"Mmm")</f>
        <v>Jan</v>
      </c>
      <c r="L777" s="4" t="str">
        <f>TEXT(Table2[[#This Row],[Enrollment_date]],"Ddd")</f>
        <v>Mon</v>
      </c>
      <c r="M777" s="4" t="s">
        <v>34</v>
      </c>
      <c r="N777" t="s">
        <v>36</v>
      </c>
      <c r="O777" t="s">
        <v>38</v>
      </c>
      <c r="P777" s="8">
        <v>4</v>
      </c>
      <c r="Q777" s="6">
        <v>0.8125</v>
      </c>
      <c r="R777" s="6">
        <v>78.5</v>
      </c>
      <c r="S777" s="6" t="str">
        <f>IF(Table2[[#This Row],[Avg_score]]&gt;=79,"Distinction",IF(Table2[[#This Row],[Avg_score]]&gt;=60,"Pass","Fail"))</f>
        <v>Pass</v>
      </c>
      <c r="T777" t="s">
        <v>40</v>
      </c>
      <c r="U777">
        <f>IF(Table2[[#This Row],[Completed]]="Yes",1,0)</f>
        <v>0</v>
      </c>
      <c r="V777" t="s">
        <v>40</v>
      </c>
      <c r="W777" t="s">
        <v>40</v>
      </c>
      <c r="X777" s="4">
        <v>45838</v>
      </c>
    </row>
    <row r="778" spans="1:24" x14ac:dyDescent="0.3">
      <c r="A778">
        <v>777</v>
      </c>
      <c r="B778" s="8">
        <v>259</v>
      </c>
      <c r="C778">
        <v>3</v>
      </c>
      <c r="D778" t="s">
        <v>19</v>
      </c>
      <c r="E778" t="s">
        <v>22</v>
      </c>
      <c r="F778">
        <v>19</v>
      </c>
      <c r="G778" t="str">
        <f>IF(Table2[[#This Row],[Age]]&gt;=30,"Experienced",IF(Table2[[#This Row],[Age]]&gt;=25,"Mid Level", "Entry Level"))</f>
        <v>Entry Level</v>
      </c>
      <c r="H778" t="s">
        <v>28</v>
      </c>
      <c r="I778" t="s">
        <v>32</v>
      </c>
      <c r="J778" s="4">
        <v>45670</v>
      </c>
      <c r="K778" s="4" t="str">
        <f>TEXT(Table2[[#This Row],[Enrollment_date]],"Mmm")</f>
        <v>Jan</v>
      </c>
      <c r="L778" s="4" t="str">
        <f>TEXT(Table2[[#This Row],[Enrollment_date]],"Ddd")</f>
        <v>Mon</v>
      </c>
      <c r="M778" s="4" t="s">
        <v>34</v>
      </c>
      <c r="N778" t="s">
        <v>37</v>
      </c>
      <c r="O778" t="s">
        <v>38</v>
      </c>
      <c r="P778" s="8">
        <v>4</v>
      </c>
      <c r="Q778" s="6">
        <v>0.85416666666666663</v>
      </c>
      <c r="R778" s="6">
        <v>70</v>
      </c>
      <c r="S778" s="6" t="str">
        <f>IF(Table2[[#This Row],[Avg_score]]&gt;=79,"Distinction",IF(Table2[[#This Row],[Avg_score]]&gt;=60,"Pass","Fail"))</f>
        <v>Pass</v>
      </c>
      <c r="T778" t="s">
        <v>40</v>
      </c>
      <c r="U778">
        <f>IF(Table2[[#This Row],[Completed]]="Yes",1,0)</f>
        <v>0</v>
      </c>
      <c r="V778" t="s">
        <v>40</v>
      </c>
      <c r="W778" t="s">
        <v>40</v>
      </c>
      <c r="X778" s="4">
        <v>45838</v>
      </c>
    </row>
    <row r="779" spans="1:24" x14ac:dyDescent="0.3">
      <c r="A779">
        <v>778</v>
      </c>
      <c r="B779" s="8">
        <v>260</v>
      </c>
      <c r="C779">
        <v>1</v>
      </c>
      <c r="D779" t="s">
        <v>19</v>
      </c>
      <c r="E779" t="s">
        <v>22</v>
      </c>
      <c r="F779">
        <v>26</v>
      </c>
      <c r="G779" t="str">
        <f>IF(Table2[[#This Row],[Age]]&gt;=30,"Experienced",IF(Table2[[#This Row],[Age]]&gt;=25,"Mid Level", "Entry Level"))</f>
        <v>Mid Level</v>
      </c>
      <c r="H779" t="s">
        <v>27</v>
      </c>
      <c r="I779" t="s">
        <v>44</v>
      </c>
      <c r="J779" s="4">
        <v>45782</v>
      </c>
      <c r="K779" s="4" t="str">
        <f>TEXT(Table2[[#This Row],[Enrollment_date]],"Mmm")</f>
        <v>May</v>
      </c>
      <c r="L779" s="4" t="str">
        <f>TEXT(Table2[[#This Row],[Enrollment_date]],"Ddd")</f>
        <v>Mon</v>
      </c>
      <c r="M779" s="4" t="s">
        <v>34</v>
      </c>
      <c r="N779" t="s">
        <v>35</v>
      </c>
      <c r="O779" t="s">
        <v>38</v>
      </c>
      <c r="P779" s="8">
        <v>4</v>
      </c>
      <c r="Q779" s="6">
        <v>0.85416666666666663</v>
      </c>
      <c r="R779" s="6">
        <v>76.5</v>
      </c>
      <c r="S779" s="6" t="str">
        <f>IF(Table2[[#This Row],[Avg_score]]&gt;=79,"Distinction",IF(Table2[[#This Row],[Avg_score]]&gt;=60,"Pass","Fail"))</f>
        <v>Pass</v>
      </c>
      <c r="T779" t="s">
        <v>40</v>
      </c>
      <c r="U779">
        <f>IF(Table2[[#This Row],[Completed]]="Yes",1,0)</f>
        <v>0</v>
      </c>
      <c r="V779" t="s">
        <v>40</v>
      </c>
      <c r="W779" t="s">
        <v>40</v>
      </c>
      <c r="X779" s="4">
        <v>45838</v>
      </c>
    </row>
    <row r="780" spans="1:24" x14ac:dyDescent="0.3">
      <c r="A780">
        <v>779</v>
      </c>
      <c r="B780" s="8">
        <v>260</v>
      </c>
      <c r="C780">
        <v>2</v>
      </c>
      <c r="D780" t="s">
        <v>20</v>
      </c>
      <c r="E780" t="s">
        <v>22</v>
      </c>
      <c r="F780">
        <v>26</v>
      </c>
      <c r="G780" t="str">
        <f>IF(Table2[[#This Row],[Age]]&gt;=30,"Experienced",IF(Table2[[#This Row],[Age]]&gt;=25,"Mid Level", "Entry Level"))</f>
        <v>Mid Level</v>
      </c>
      <c r="H780" t="s">
        <v>27</v>
      </c>
      <c r="I780" t="s">
        <v>44</v>
      </c>
      <c r="J780" s="4">
        <v>45782</v>
      </c>
      <c r="K780" s="4" t="str">
        <f>TEXT(Table2[[#This Row],[Enrollment_date]],"Mmm")</f>
        <v>May</v>
      </c>
      <c r="L780" s="4" t="str">
        <f>TEXT(Table2[[#This Row],[Enrollment_date]],"Ddd")</f>
        <v>Mon</v>
      </c>
      <c r="M780" s="4" t="s">
        <v>34</v>
      </c>
      <c r="N780" t="s">
        <v>36</v>
      </c>
      <c r="O780" t="s">
        <v>38</v>
      </c>
      <c r="P780" s="8">
        <v>4</v>
      </c>
      <c r="Q780" s="6">
        <v>0.8125</v>
      </c>
      <c r="R780" s="6">
        <v>68.5</v>
      </c>
      <c r="S780" s="6" t="str">
        <f>IF(Table2[[#This Row],[Avg_score]]&gt;=79,"Distinction",IF(Table2[[#This Row],[Avg_score]]&gt;=60,"Pass","Fail"))</f>
        <v>Pass</v>
      </c>
      <c r="T780" t="s">
        <v>40</v>
      </c>
      <c r="U780">
        <f>IF(Table2[[#This Row],[Completed]]="Yes",1,0)</f>
        <v>0</v>
      </c>
      <c r="V780" t="s">
        <v>40</v>
      </c>
      <c r="W780" t="s">
        <v>40</v>
      </c>
      <c r="X780" s="4">
        <v>45838</v>
      </c>
    </row>
    <row r="781" spans="1:24" x14ac:dyDescent="0.3">
      <c r="A781">
        <v>780</v>
      </c>
      <c r="B781" s="8">
        <v>260</v>
      </c>
      <c r="C781">
        <v>3</v>
      </c>
      <c r="D781" t="s">
        <v>19</v>
      </c>
      <c r="E781" t="s">
        <v>22</v>
      </c>
      <c r="F781">
        <v>26</v>
      </c>
      <c r="G781" t="str">
        <f>IF(Table2[[#This Row],[Age]]&gt;=30,"Experienced",IF(Table2[[#This Row],[Age]]&gt;=25,"Mid Level", "Entry Level"))</f>
        <v>Mid Level</v>
      </c>
      <c r="H781" t="s">
        <v>27</v>
      </c>
      <c r="I781" t="s">
        <v>44</v>
      </c>
      <c r="J781" s="4">
        <v>45782</v>
      </c>
      <c r="K781" s="4" t="str">
        <f>TEXT(Table2[[#This Row],[Enrollment_date]],"Mmm")</f>
        <v>May</v>
      </c>
      <c r="L781" s="4" t="str">
        <f>TEXT(Table2[[#This Row],[Enrollment_date]],"Ddd")</f>
        <v>Mon</v>
      </c>
      <c r="M781" s="4" t="s">
        <v>34</v>
      </c>
      <c r="N781" t="s">
        <v>37</v>
      </c>
      <c r="O781" t="s">
        <v>38</v>
      </c>
      <c r="P781" s="8">
        <v>4</v>
      </c>
      <c r="Q781" s="6">
        <v>0.91666666666666663</v>
      </c>
      <c r="R781" s="6">
        <v>73</v>
      </c>
      <c r="S781" s="6" t="str">
        <f>IF(Table2[[#This Row],[Avg_score]]&gt;=79,"Distinction",IF(Table2[[#This Row],[Avg_score]]&gt;=60,"Pass","Fail"))</f>
        <v>Pass</v>
      </c>
      <c r="T781" t="s">
        <v>40</v>
      </c>
      <c r="U781">
        <f>IF(Table2[[#This Row],[Completed]]="Yes",1,0)</f>
        <v>0</v>
      </c>
      <c r="V781" t="s">
        <v>40</v>
      </c>
      <c r="W781" t="s">
        <v>40</v>
      </c>
      <c r="X781" s="4">
        <v>45838</v>
      </c>
    </row>
    <row r="782" spans="1:24" x14ac:dyDescent="0.3">
      <c r="A782">
        <v>781</v>
      </c>
      <c r="B782" s="8">
        <v>261</v>
      </c>
      <c r="C782">
        <v>1</v>
      </c>
      <c r="D782" t="s">
        <v>19</v>
      </c>
      <c r="E782" t="s">
        <v>23</v>
      </c>
      <c r="F782">
        <v>31</v>
      </c>
      <c r="G782" t="str">
        <f>IF(Table2[[#This Row],[Age]]&gt;=30,"Experienced",IF(Table2[[#This Row],[Age]]&gt;=25,"Mid Level", "Entry Level"))</f>
        <v>Experienced</v>
      </c>
      <c r="H782" t="s">
        <v>29</v>
      </c>
      <c r="I782" t="s">
        <v>32</v>
      </c>
      <c r="J782" s="4">
        <v>45789</v>
      </c>
      <c r="K782" s="4" t="str">
        <f>TEXT(Table2[[#This Row],[Enrollment_date]],"Mmm")</f>
        <v>May</v>
      </c>
      <c r="L782" s="4" t="str">
        <f>TEXT(Table2[[#This Row],[Enrollment_date]],"Ddd")</f>
        <v>Mon</v>
      </c>
      <c r="M782" s="4" t="s">
        <v>34</v>
      </c>
      <c r="N782" t="s">
        <v>35</v>
      </c>
      <c r="O782" t="s">
        <v>38</v>
      </c>
      <c r="P782" s="8">
        <v>4</v>
      </c>
      <c r="Q782" s="6">
        <v>0.85416666666666663</v>
      </c>
      <c r="R782" s="6">
        <v>69</v>
      </c>
      <c r="S782" s="6" t="str">
        <f>IF(Table2[[#This Row],[Avg_score]]&gt;=79,"Distinction",IF(Table2[[#This Row],[Avg_score]]&gt;=60,"Pass","Fail"))</f>
        <v>Pass</v>
      </c>
      <c r="T782" t="s">
        <v>40</v>
      </c>
      <c r="U782">
        <f>IF(Table2[[#This Row],[Completed]]="Yes",1,0)</f>
        <v>0</v>
      </c>
      <c r="V782" t="s">
        <v>40</v>
      </c>
      <c r="W782" t="s">
        <v>40</v>
      </c>
      <c r="X782" s="4">
        <v>45838</v>
      </c>
    </row>
    <row r="783" spans="1:24" x14ac:dyDescent="0.3">
      <c r="A783">
        <v>782</v>
      </c>
      <c r="B783" s="8">
        <v>261</v>
      </c>
      <c r="C783">
        <v>2</v>
      </c>
      <c r="D783" t="s">
        <v>19</v>
      </c>
      <c r="E783" t="s">
        <v>23</v>
      </c>
      <c r="F783">
        <v>31</v>
      </c>
      <c r="G783" t="str">
        <f>IF(Table2[[#This Row],[Age]]&gt;=30,"Experienced",IF(Table2[[#This Row],[Age]]&gt;=25,"Mid Level", "Entry Level"))</f>
        <v>Experienced</v>
      </c>
      <c r="H783" t="s">
        <v>29</v>
      </c>
      <c r="I783" t="s">
        <v>32</v>
      </c>
      <c r="J783" s="4">
        <v>45789</v>
      </c>
      <c r="K783" s="4" t="str">
        <f>TEXT(Table2[[#This Row],[Enrollment_date]],"Mmm")</f>
        <v>May</v>
      </c>
      <c r="L783" s="4" t="str">
        <f>TEXT(Table2[[#This Row],[Enrollment_date]],"Ddd")</f>
        <v>Mon</v>
      </c>
      <c r="M783" s="4" t="s">
        <v>34</v>
      </c>
      <c r="N783" t="s">
        <v>36</v>
      </c>
      <c r="O783" t="s">
        <v>38</v>
      </c>
      <c r="P783" s="8">
        <v>4</v>
      </c>
      <c r="Q783" s="6">
        <v>0.83333333333333337</v>
      </c>
      <c r="R783" s="6">
        <v>51</v>
      </c>
      <c r="S783" s="6" t="str">
        <f>IF(Table2[[#This Row],[Avg_score]]&gt;=79,"Distinction",IF(Table2[[#This Row],[Avg_score]]&gt;=60,"Pass","Fail"))</f>
        <v>Fail</v>
      </c>
      <c r="T783" t="s">
        <v>40</v>
      </c>
      <c r="U783">
        <f>IF(Table2[[#This Row],[Completed]]="Yes",1,0)</f>
        <v>0</v>
      </c>
      <c r="V783" t="s">
        <v>40</v>
      </c>
      <c r="W783" t="s">
        <v>40</v>
      </c>
      <c r="X783" s="4">
        <v>45838</v>
      </c>
    </row>
    <row r="784" spans="1:24" x14ac:dyDescent="0.3">
      <c r="A784">
        <v>783</v>
      </c>
      <c r="B784" s="8">
        <v>261</v>
      </c>
      <c r="C784">
        <v>3</v>
      </c>
      <c r="D784" t="s">
        <v>19</v>
      </c>
      <c r="E784" t="s">
        <v>23</v>
      </c>
      <c r="F784">
        <v>31</v>
      </c>
      <c r="G784" t="str">
        <f>IF(Table2[[#This Row],[Age]]&gt;=30,"Experienced",IF(Table2[[#This Row],[Age]]&gt;=25,"Mid Level", "Entry Level"))</f>
        <v>Experienced</v>
      </c>
      <c r="H784" t="s">
        <v>29</v>
      </c>
      <c r="I784" t="s">
        <v>32</v>
      </c>
      <c r="J784" s="4">
        <v>45789</v>
      </c>
      <c r="K784" s="4" t="str">
        <f>TEXT(Table2[[#This Row],[Enrollment_date]],"Mmm")</f>
        <v>May</v>
      </c>
      <c r="L784" s="4" t="str">
        <f>TEXT(Table2[[#This Row],[Enrollment_date]],"Ddd")</f>
        <v>Mon</v>
      </c>
      <c r="M784" s="4" t="s">
        <v>34</v>
      </c>
      <c r="N784" t="s">
        <v>37</v>
      </c>
      <c r="O784" t="s">
        <v>38</v>
      </c>
      <c r="P784" s="8">
        <v>4</v>
      </c>
      <c r="Q784" s="6">
        <v>0.85416666666666663</v>
      </c>
      <c r="R784" s="6">
        <v>67</v>
      </c>
      <c r="S784" s="6" t="str">
        <f>IF(Table2[[#This Row],[Avg_score]]&gt;=79,"Distinction",IF(Table2[[#This Row],[Avg_score]]&gt;=60,"Pass","Fail"))</f>
        <v>Pass</v>
      </c>
      <c r="T784" t="s">
        <v>40</v>
      </c>
      <c r="U784">
        <f>IF(Table2[[#This Row],[Completed]]="Yes",1,0)</f>
        <v>0</v>
      </c>
      <c r="V784" t="s">
        <v>40</v>
      </c>
      <c r="W784" t="s">
        <v>40</v>
      </c>
      <c r="X784" s="4">
        <v>45838</v>
      </c>
    </row>
    <row r="785" spans="1:24" x14ac:dyDescent="0.3">
      <c r="A785">
        <v>784</v>
      </c>
      <c r="B785" s="8">
        <v>262</v>
      </c>
      <c r="C785">
        <v>1</v>
      </c>
      <c r="D785" t="s">
        <v>20</v>
      </c>
      <c r="E785" t="s">
        <v>22</v>
      </c>
      <c r="F785">
        <v>29</v>
      </c>
      <c r="G785" t="str">
        <f>IF(Table2[[#This Row],[Age]]&gt;=30,"Experienced",IF(Table2[[#This Row],[Age]]&gt;=25,"Mid Level", "Entry Level"))</f>
        <v>Mid Level</v>
      </c>
      <c r="H785" t="s">
        <v>27</v>
      </c>
      <c r="I785" t="s">
        <v>68</v>
      </c>
      <c r="J785" s="4">
        <v>45730</v>
      </c>
      <c r="K785" s="4" t="str">
        <f>TEXT(Table2[[#This Row],[Enrollment_date]],"Mmm")</f>
        <v>Mar</v>
      </c>
      <c r="L785" s="4" t="str">
        <f>TEXT(Table2[[#This Row],[Enrollment_date]],"Ddd")</f>
        <v>Fri</v>
      </c>
      <c r="M785" s="4" t="s">
        <v>34</v>
      </c>
      <c r="N785" t="s">
        <v>35</v>
      </c>
      <c r="O785" t="s">
        <v>38</v>
      </c>
      <c r="P785" s="8">
        <v>4</v>
      </c>
      <c r="Q785" s="6">
        <v>0.8125</v>
      </c>
      <c r="R785" s="6">
        <v>69.5</v>
      </c>
      <c r="S785" s="6" t="str">
        <f>IF(Table2[[#This Row],[Avg_score]]&gt;=79,"Distinction",IF(Table2[[#This Row],[Avg_score]]&gt;=60,"Pass","Fail"))</f>
        <v>Pass</v>
      </c>
      <c r="T785" t="s">
        <v>39</v>
      </c>
      <c r="U785">
        <f>IF(Table2[[#This Row],[Completed]]="Yes",1,0)</f>
        <v>1</v>
      </c>
      <c r="V785" t="s">
        <v>39</v>
      </c>
      <c r="W785" t="s">
        <v>40</v>
      </c>
      <c r="X785" s="4">
        <v>45838</v>
      </c>
    </row>
    <row r="786" spans="1:24" x14ac:dyDescent="0.3">
      <c r="A786">
        <v>785</v>
      </c>
      <c r="B786" s="8">
        <v>262</v>
      </c>
      <c r="C786">
        <v>2</v>
      </c>
      <c r="D786" t="s">
        <v>19</v>
      </c>
      <c r="E786" t="s">
        <v>22</v>
      </c>
      <c r="F786">
        <v>29</v>
      </c>
      <c r="G786" t="str">
        <f>IF(Table2[[#This Row],[Age]]&gt;=30,"Experienced",IF(Table2[[#This Row],[Age]]&gt;=25,"Mid Level", "Entry Level"))</f>
        <v>Mid Level</v>
      </c>
      <c r="H786" t="s">
        <v>27</v>
      </c>
      <c r="I786" t="s">
        <v>68</v>
      </c>
      <c r="J786" s="4">
        <v>45730</v>
      </c>
      <c r="K786" s="4" t="str">
        <f>TEXT(Table2[[#This Row],[Enrollment_date]],"Mmm")</f>
        <v>Mar</v>
      </c>
      <c r="L786" s="4" t="str">
        <f>TEXT(Table2[[#This Row],[Enrollment_date]],"Ddd")</f>
        <v>Fri</v>
      </c>
      <c r="M786" s="4" t="s">
        <v>34</v>
      </c>
      <c r="N786" t="s">
        <v>36</v>
      </c>
      <c r="O786" t="s">
        <v>38</v>
      </c>
      <c r="P786" s="8">
        <v>4</v>
      </c>
      <c r="Q786" s="6">
        <v>0.77083333333333337</v>
      </c>
      <c r="R786" s="6">
        <v>54</v>
      </c>
      <c r="S786" s="6" t="str">
        <f>IF(Table2[[#This Row],[Avg_score]]&gt;=79,"Distinction",IF(Table2[[#This Row],[Avg_score]]&gt;=60,"Pass","Fail"))</f>
        <v>Fail</v>
      </c>
      <c r="T786" t="s">
        <v>39</v>
      </c>
      <c r="U786">
        <f>IF(Table2[[#This Row],[Completed]]="Yes",1,0)</f>
        <v>1</v>
      </c>
      <c r="V786" t="s">
        <v>39</v>
      </c>
      <c r="W786" t="s">
        <v>40</v>
      </c>
      <c r="X786" s="4">
        <v>45838</v>
      </c>
    </row>
    <row r="787" spans="1:24" x14ac:dyDescent="0.3">
      <c r="A787">
        <v>786</v>
      </c>
      <c r="B787" s="8">
        <v>262</v>
      </c>
      <c r="C787">
        <v>3</v>
      </c>
      <c r="D787" t="s">
        <v>19</v>
      </c>
      <c r="E787" t="s">
        <v>22</v>
      </c>
      <c r="F787">
        <v>29</v>
      </c>
      <c r="G787" t="str">
        <f>IF(Table2[[#This Row],[Age]]&gt;=30,"Experienced",IF(Table2[[#This Row],[Age]]&gt;=25,"Mid Level", "Entry Level"))</f>
        <v>Mid Level</v>
      </c>
      <c r="H787" t="s">
        <v>27</v>
      </c>
      <c r="I787" t="s">
        <v>68</v>
      </c>
      <c r="J787" s="4">
        <v>45730</v>
      </c>
      <c r="K787" s="4" t="str">
        <f>TEXT(Table2[[#This Row],[Enrollment_date]],"Mmm")</f>
        <v>Mar</v>
      </c>
      <c r="L787" s="4" t="str">
        <f>TEXT(Table2[[#This Row],[Enrollment_date]],"Ddd")</f>
        <v>Fri</v>
      </c>
      <c r="M787" s="4" t="s">
        <v>34</v>
      </c>
      <c r="N787" t="s">
        <v>37</v>
      </c>
      <c r="O787" t="s">
        <v>38</v>
      </c>
      <c r="P787" s="8">
        <v>4</v>
      </c>
      <c r="Q787" s="6">
        <v>0.85416666666666663</v>
      </c>
      <c r="R787" s="6">
        <v>76</v>
      </c>
      <c r="S787" s="6" t="str">
        <f>IF(Table2[[#This Row],[Avg_score]]&gt;=79,"Distinction",IF(Table2[[#This Row],[Avg_score]]&gt;=60,"Pass","Fail"))</f>
        <v>Pass</v>
      </c>
      <c r="T787" t="s">
        <v>39</v>
      </c>
      <c r="U787">
        <f>IF(Table2[[#This Row],[Completed]]="Yes",1,0)</f>
        <v>1</v>
      </c>
      <c r="V787" t="s">
        <v>39</v>
      </c>
      <c r="W787" t="s">
        <v>40</v>
      </c>
      <c r="X787" s="4">
        <v>45838</v>
      </c>
    </row>
    <row r="788" spans="1:24" x14ac:dyDescent="0.3">
      <c r="A788">
        <v>787</v>
      </c>
      <c r="B788" s="8">
        <v>263</v>
      </c>
      <c r="C788">
        <v>1</v>
      </c>
      <c r="D788" t="s">
        <v>19</v>
      </c>
      <c r="E788" t="s">
        <v>23</v>
      </c>
      <c r="F788">
        <v>34</v>
      </c>
      <c r="G788" t="str">
        <f>IF(Table2[[#This Row],[Age]]&gt;=30,"Experienced",IF(Table2[[#This Row],[Age]]&gt;=25,"Mid Level", "Entry Level"))</f>
        <v>Experienced</v>
      </c>
      <c r="H788" t="s">
        <v>24</v>
      </c>
      <c r="I788" t="s">
        <v>30</v>
      </c>
      <c r="J788" s="4">
        <v>45669</v>
      </c>
      <c r="K788" s="4" t="str">
        <f>TEXT(Table2[[#This Row],[Enrollment_date]],"Mmm")</f>
        <v>Jan</v>
      </c>
      <c r="L788" s="4" t="str">
        <f>TEXT(Table2[[#This Row],[Enrollment_date]],"Ddd")</f>
        <v>Sun</v>
      </c>
      <c r="M788" s="4" t="s">
        <v>34</v>
      </c>
      <c r="N788" t="s">
        <v>35</v>
      </c>
      <c r="O788" t="s">
        <v>38</v>
      </c>
      <c r="P788" s="8">
        <v>4</v>
      </c>
      <c r="Q788" s="6">
        <v>0.8125</v>
      </c>
      <c r="R788" s="6">
        <v>74</v>
      </c>
      <c r="S788" s="6" t="str">
        <f>IF(Table2[[#This Row],[Avg_score]]&gt;=79,"Distinction",IF(Table2[[#This Row],[Avg_score]]&gt;=60,"Pass","Fail"))</f>
        <v>Pass</v>
      </c>
      <c r="T788" t="s">
        <v>39</v>
      </c>
      <c r="U788">
        <f>IF(Table2[[#This Row],[Completed]]="Yes",1,0)</f>
        <v>1</v>
      </c>
      <c r="V788" t="s">
        <v>40</v>
      </c>
      <c r="W788" t="s">
        <v>39</v>
      </c>
      <c r="X788" s="4">
        <v>45838</v>
      </c>
    </row>
    <row r="789" spans="1:24" x14ac:dyDescent="0.3">
      <c r="A789">
        <v>788</v>
      </c>
      <c r="B789" s="8">
        <v>263</v>
      </c>
      <c r="C789">
        <v>2</v>
      </c>
      <c r="D789" t="s">
        <v>21</v>
      </c>
      <c r="E789" t="s">
        <v>23</v>
      </c>
      <c r="F789">
        <v>34</v>
      </c>
      <c r="G789" t="str">
        <f>IF(Table2[[#This Row],[Age]]&gt;=30,"Experienced",IF(Table2[[#This Row],[Age]]&gt;=25,"Mid Level", "Entry Level"))</f>
        <v>Experienced</v>
      </c>
      <c r="H789" t="s">
        <v>24</v>
      </c>
      <c r="I789" t="s">
        <v>30</v>
      </c>
      <c r="J789" s="4">
        <v>45669</v>
      </c>
      <c r="K789" s="4" t="str">
        <f>TEXT(Table2[[#This Row],[Enrollment_date]],"Mmm")</f>
        <v>Jan</v>
      </c>
      <c r="L789" s="4" t="str">
        <f>TEXT(Table2[[#This Row],[Enrollment_date]],"Ddd")</f>
        <v>Sun</v>
      </c>
      <c r="M789" s="4" t="s">
        <v>34</v>
      </c>
      <c r="N789" t="s">
        <v>36</v>
      </c>
      <c r="O789" t="s">
        <v>38</v>
      </c>
      <c r="P789" s="8">
        <v>4</v>
      </c>
      <c r="Q789" s="6">
        <v>0.77083333333333337</v>
      </c>
      <c r="R789" s="6">
        <v>71.5</v>
      </c>
      <c r="S789" s="6" t="str">
        <f>IF(Table2[[#This Row],[Avg_score]]&gt;=79,"Distinction",IF(Table2[[#This Row],[Avg_score]]&gt;=60,"Pass","Fail"))</f>
        <v>Pass</v>
      </c>
      <c r="T789" t="s">
        <v>39</v>
      </c>
      <c r="U789">
        <f>IF(Table2[[#This Row],[Completed]]="Yes",1,0)</f>
        <v>1</v>
      </c>
      <c r="V789" t="s">
        <v>40</v>
      </c>
      <c r="W789" t="s">
        <v>39</v>
      </c>
      <c r="X789" s="4">
        <v>45838</v>
      </c>
    </row>
    <row r="790" spans="1:24" x14ac:dyDescent="0.3">
      <c r="A790">
        <v>789</v>
      </c>
      <c r="B790" s="8">
        <v>263</v>
      </c>
      <c r="C790">
        <v>3</v>
      </c>
      <c r="D790" t="s">
        <v>19</v>
      </c>
      <c r="E790" t="s">
        <v>23</v>
      </c>
      <c r="F790">
        <v>34</v>
      </c>
      <c r="G790" t="str">
        <f>IF(Table2[[#This Row],[Age]]&gt;=30,"Experienced",IF(Table2[[#This Row],[Age]]&gt;=25,"Mid Level", "Entry Level"))</f>
        <v>Experienced</v>
      </c>
      <c r="H790" t="s">
        <v>24</v>
      </c>
      <c r="I790" t="s">
        <v>30</v>
      </c>
      <c r="J790" s="4">
        <v>45669</v>
      </c>
      <c r="K790" s="4" t="str">
        <f>TEXT(Table2[[#This Row],[Enrollment_date]],"Mmm")</f>
        <v>Jan</v>
      </c>
      <c r="L790" s="4" t="str">
        <f>TEXT(Table2[[#This Row],[Enrollment_date]],"Ddd")</f>
        <v>Sun</v>
      </c>
      <c r="M790" s="4" t="s">
        <v>34</v>
      </c>
      <c r="N790" t="s">
        <v>37</v>
      </c>
      <c r="O790" t="s">
        <v>38</v>
      </c>
      <c r="P790" s="8">
        <v>4</v>
      </c>
      <c r="Q790" s="6">
        <v>0.83333333333333337</v>
      </c>
      <c r="R790" s="6">
        <v>94</v>
      </c>
      <c r="S790" s="6" t="str">
        <f>IF(Table2[[#This Row],[Avg_score]]&gt;=79,"Distinction",IF(Table2[[#This Row],[Avg_score]]&gt;=60,"Pass","Fail"))</f>
        <v>Distinction</v>
      </c>
      <c r="T790" t="s">
        <v>39</v>
      </c>
      <c r="U790">
        <f>IF(Table2[[#This Row],[Completed]]="Yes",1,0)</f>
        <v>1</v>
      </c>
      <c r="V790" t="s">
        <v>40</v>
      </c>
      <c r="W790" t="s">
        <v>39</v>
      </c>
      <c r="X790" s="4">
        <v>45838</v>
      </c>
    </row>
    <row r="791" spans="1:24" x14ac:dyDescent="0.3">
      <c r="A791">
        <v>790</v>
      </c>
      <c r="B791" s="8">
        <v>264</v>
      </c>
      <c r="C791">
        <v>1</v>
      </c>
      <c r="D791" t="s">
        <v>19</v>
      </c>
      <c r="E791" t="s">
        <v>22</v>
      </c>
      <c r="F791">
        <v>30</v>
      </c>
      <c r="G791" t="str">
        <f>IF(Table2[[#This Row],[Age]]&gt;=30,"Experienced",IF(Table2[[#This Row],[Age]]&gt;=25,"Mid Level", "Entry Level"))</f>
        <v>Experienced</v>
      </c>
      <c r="H791" t="s">
        <v>26</v>
      </c>
      <c r="I791" t="s">
        <v>68</v>
      </c>
      <c r="J791" s="4">
        <v>45659</v>
      </c>
      <c r="K791" s="4" t="str">
        <f>TEXT(Table2[[#This Row],[Enrollment_date]],"Mmm")</f>
        <v>Jan</v>
      </c>
      <c r="L791" s="4" t="str">
        <f>TEXT(Table2[[#This Row],[Enrollment_date]],"Ddd")</f>
        <v>Thu</v>
      </c>
      <c r="M791" s="4" t="s">
        <v>34</v>
      </c>
      <c r="N791" t="s">
        <v>35</v>
      </c>
      <c r="O791" t="s">
        <v>38</v>
      </c>
      <c r="P791" s="8">
        <v>4</v>
      </c>
      <c r="Q791" s="6">
        <v>0.70833333333333337</v>
      </c>
      <c r="R791" s="6">
        <v>80</v>
      </c>
      <c r="S791" s="6" t="str">
        <f>IF(Table2[[#This Row],[Avg_score]]&gt;=79,"Distinction",IF(Table2[[#This Row],[Avg_score]]&gt;=60,"Pass","Fail"))</f>
        <v>Distinction</v>
      </c>
      <c r="T791" t="s">
        <v>39</v>
      </c>
      <c r="U791">
        <f>IF(Table2[[#This Row],[Completed]]="Yes",1,0)</f>
        <v>1</v>
      </c>
      <c r="V791" t="s">
        <v>39</v>
      </c>
      <c r="W791" t="s">
        <v>40</v>
      </c>
      <c r="X791" s="4">
        <v>45838</v>
      </c>
    </row>
    <row r="792" spans="1:24" x14ac:dyDescent="0.3">
      <c r="A792">
        <v>791</v>
      </c>
      <c r="B792" s="8">
        <v>264</v>
      </c>
      <c r="C792">
        <v>2</v>
      </c>
      <c r="D792" t="s">
        <v>21</v>
      </c>
      <c r="E792" t="s">
        <v>22</v>
      </c>
      <c r="F792">
        <v>30</v>
      </c>
      <c r="G792" t="str">
        <f>IF(Table2[[#This Row],[Age]]&gt;=30,"Experienced",IF(Table2[[#This Row],[Age]]&gt;=25,"Mid Level", "Entry Level"))</f>
        <v>Experienced</v>
      </c>
      <c r="H792" t="s">
        <v>26</v>
      </c>
      <c r="I792" t="s">
        <v>68</v>
      </c>
      <c r="J792" s="4">
        <v>45659</v>
      </c>
      <c r="K792" s="4" t="str">
        <f>TEXT(Table2[[#This Row],[Enrollment_date]],"Mmm")</f>
        <v>Jan</v>
      </c>
      <c r="L792" s="4" t="str">
        <f>TEXT(Table2[[#This Row],[Enrollment_date]],"Ddd")</f>
        <v>Thu</v>
      </c>
      <c r="M792" s="4" t="s">
        <v>34</v>
      </c>
      <c r="N792" t="s">
        <v>36</v>
      </c>
      <c r="O792" t="s">
        <v>38</v>
      </c>
      <c r="P792" s="8">
        <v>4</v>
      </c>
      <c r="Q792" s="6">
        <v>0.79166666666666663</v>
      </c>
      <c r="R792" s="6">
        <v>71</v>
      </c>
      <c r="S792" s="6" t="str">
        <f>IF(Table2[[#This Row],[Avg_score]]&gt;=79,"Distinction",IF(Table2[[#This Row],[Avg_score]]&gt;=60,"Pass","Fail"))</f>
        <v>Pass</v>
      </c>
      <c r="T792" t="s">
        <v>39</v>
      </c>
      <c r="U792">
        <f>IF(Table2[[#This Row],[Completed]]="Yes",1,0)</f>
        <v>1</v>
      </c>
      <c r="V792" t="s">
        <v>39</v>
      </c>
      <c r="W792" t="s">
        <v>40</v>
      </c>
      <c r="X792" s="4">
        <v>45838</v>
      </c>
    </row>
    <row r="793" spans="1:24" x14ac:dyDescent="0.3">
      <c r="A793">
        <v>792</v>
      </c>
      <c r="B793" s="8">
        <v>264</v>
      </c>
      <c r="C793">
        <v>3</v>
      </c>
      <c r="D793" t="s">
        <v>19</v>
      </c>
      <c r="E793" t="s">
        <v>22</v>
      </c>
      <c r="F793">
        <v>30</v>
      </c>
      <c r="G793" t="str">
        <f>IF(Table2[[#This Row],[Age]]&gt;=30,"Experienced",IF(Table2[[#This Row],[Age]]&gt;=25,"Mid Level", "Entry Level"))</f>
        <v>Experienced</v>
      </c>
      <c r="H793" t="s">
        <v>26</v>
      </c>
      <c r="I793" t="s">
        <v>68</v>
      </c>
      <c r="J793" s="4">
        <v>45659</v>
      </c>
      <c r="K793" s="4" t="str">
        <f>TEXT(Table2[[#This Row],[Enrollment_date]],"Mmm")</f>
        <v>Jan</v>
      </c>
      <c r="L793" s="4" t="str">
        <f>TEXT(Table2[[#This Row],[Enrollment_date]],"Ddd")</f>
        <v>Thu</v>
      </c>
      <c r="M793" s="4" t="s">
        <v>34</v>
      </c>
      <c r="N793" t="s">
        <v>37</v>
      </c>
      <c r="O793" t="s">
        <v>38</v>
      </c>
      <c r="P793" s="8">
        <v>4</v>
      </c>
      <c r="Q793" s="6">
        <v>0.89583333333333337</v>
      </c>
      <c r="R793" s="6">
        <v>76</v>
      </c>
      <c r="S793" s="6" t="str">
        <f>IF(Table2[[#This Row],[Avg_score]]&gt;=79,"Distinction",IF(Table2[[#This Row],[Avg_score]]&gt;=60,"Pass","Fail"))</f>
        <v>Pass</v>
      </c>
      <c r="T793" t="s">
        <v>39</v>
      </c>
      <c r="U793">
        <f>IF(Table2[[#This Row],[Completed]]="Yes",1,0)</f>
        <v>1</v>
      </c>
      <c r="V793" t="s">
        <v>39</v>
      </c>
      <c r="W793" t="s">
        <v>40</v>
      </c>
      <c r="X793" s="4">
        <v>45838</v>
      </c>
    </row>
    <row r="794" spans="1:24" x14ac:dyDescent="0.3">
      <c r="A794">
        <v>793</v>
      </c>
      <c r="B794" s="8">
        <v>265</v>
      </c>
      <c r="C794">
        <v>1</v>
      </c>
      <c r="D794" t="s">
        <v>19</v>
      </c>
      <c r="E794" t="s">
        <v>22</v>
      </c>
      <c r="F794">
        <v>27</v>
      </c>
      <c r="G794" t="str">
        <f>IF(Table2[[#This Row],[Age]]&gt;=30,"Experienced",IF(Table2[[#This Row],[Age]]&gt;=25,"Mid Level", "Entry Level"))</f>
        <v>Mid Level</v>
      </c>
      <c r="H794" t="s">
        <v>28</v>
      </c>
      <c r="I794" t="s">
        <v>32</v>
      </c>
      <c r="J794" s="4">
        <v>45723</v>
      </c>
      <c r="K794" s="4" t="str">
        <f>TEXT(Table2[[#This Row],[Enrollment_date]],"Mmm")</f>
        <v>Mar</v>
      </c>
      <c r="L794" s="4" t="str">
        <f>TEXT(Table2[[#This Row],[Enrollment_date]],"Ddd")</f>
        <v>Fri</v>
      </c>
      <c r="M794" s="4" t="s">
        <v>34</v>
      </c>
      <c r="N794" t="s">
        <v>35</v>
      </c>
      <c r="O794" t="s">
        <v>38</v>
      </c>
      <c r="P794" s="8">
        <v>4</v>
      </c>
      <c r="Q794" s="6">
        <v>0.83333333333333337</v>
      </c>
      <c r="R794" s="6">
        <v>82.5</v>
      </c>
      <c r="S794" s="6" t="str">
        <f>IF(Table2[[#This Row],[Avg_score]]&gt;=79,"Distinction",IF(Table2[[#This Row],[Avg_score]]&gt;=60,"Pass","Fail"))</f>
        <v>Distinction</v>
      </c>
      <c r="T794" t="s">
        <v>39</v>
      </c>
      <c r="U794">
        <f>IF(Table2[[#This Row],[Completed]]="Yes",1,0)</f>
        <v>1</v>
      </c>
      <c r="V794" t="s">
        <v>40</v>
      </c>
      <c r="W794" t="s">
        <v>39</v>
      </c>
      <c r="X794" s="4">
        <v>45838</v>
      </c>
    </row>
    <row r="795" spans="1:24" x14ac:dyDescent="0.3">
      <c r="A795">
        <v>794</v>
      </c>
      <c r="B795" s="8">
        <v>265</v>
      </c>
      <c r="C795">
        <v>2</v>
      </c>
      <c r="D795" t="s">
        <v>19</v>
      </c>
      <c r="E795" t="s">
        <v>22</v>
      </c>
      <c r="F795">
        <v>27</v>
      </c>
      <c r="G795" t="str">
        <f>IF(Table2[[#This Row],[Age]]&gt;=30,"Experienced",IF(Table2[[#This Row],[Age]]&gt;=25,"Mid Level", "Entry Level"))</f>
        <v>Mid Level</v>
      </c>
      <c r="H795" t="s">
        <v>28</v>
      </c>
      <c r="I795" t="s">
        <v>32</v>
      </c>
      <c r="J795" s="4">
        <v>45723</v>
      </c>
      <c r="K795" s="4" t="str">
        <f>TEXT(Table2[[#This Row],[Enrollment_date]],"Mmm")</f>
        <v>Mar</v>
      </c>
      <c r="L795" s="4" t="str">
        <f>TEXT(Table2[[#This Row],[Enrollment_date]],"Ddd")</f>
        <v>Fri</v>
      </c>
      <c r="M795" s="4" t="s">
        <v>34</v>
      </c>
      <c r="N795" t="s">
        <v>36</v>
      </c>
      <c r="O795" t="s">
        <v>38</v>
      </c>
      <c r="P795" s="8">
        <v>4</v>
      </c>
      <c r="Q795" s="6">
        <v>0.8125</v>
      </c>
      <c r="R795" s="6">
        <v>81.5</v>
      </c>
      <c r="S795" s="6" t="str">
        <f>IF(Table2[[#This Row],[Avg_score]]&gt;=79,"Distinction",IF(Table2[[#This Row],[Avg_score]]&gt;=60,"Pass","Fail"))</f>
        <v>Distinction</v>
      </c>
      <c r="T795" t="s">
        <v>39</v>
      </c>
      <c r="U795">
        <f>IF(Table2[[#This Row],[Completed]]="Yes",1,0)</f>
        <v>1</v>
      </c>
      <c r="V795" t="s">
        <v>40</v>
      </c>
      <c r="W795" t="s">
        <v>39</v>
      </c>
      <c r="X795" s="4">
        <v>45838</v>
      </c>
    </row>
    <row r="796" spans="1:24" x14ac:dyDescent="0.3">
      <c r="A796">
        <v>795</v>
      </c>
      <c r="B796" s="8">
        <v>265</v>
      </c>
      <c r="C796">
        <v>3</v>
      </c>
      <c r="D796" t="s">
        <v>19</v>
      </c>
      <c r="E796" t="s">
        <v>22</v>
      </c>
      <c r="F796">
        <v>27</v>
      </c>
      <c r="G796" t="str">
        <f>IF(Table2[[#This Row],[Age]]&gt;=30,"Experienced",IF(Table2[[#This Row],[Age]]&gt;=25,"Mid Level", "Entry Level"))</f>
        <v>Mid Level</v>
      </c>
      <c r="H796" t="s">
        <v>28</v>
      </c>
      <c r="I796" t="s">
        <v>32</v>
      </c>
      <c r="J796" s="4">
        <v>45723</v>
      </c>
      <c r="K796" s="4" t="str">
        <f>TEXT(Table2[[#This Row],[Enrollment_date]],"Mmm")</f>
        <v>Mar</v>
      </c>
      <c r="L796" s="4" t="str">
        <f>TEXT(Table2[[#This Row],[Enrollment_date]],"Ddd")</f>
        <v>Fri</v>
      </c>
      <c r="M796" s="4" t="s">
        <v>34</v>
      </c>
      <c r="N796" t="s">
        <v>37</v>
      </c>
      <c r="O796" t="s">
        <v>38</v>
      </c>
      <c r="P796" s="8">
        <v>4</v>
      </c>
      <c r="Q796" s="6">
        <v>0.91666666666666663</v>
      </c>
      <c r="R796" s="6">
        <v>83</v>
      </c>
      <c r="S796" s="6" t="str">
        <f>IF(Table2[[#This Row],[Avg_score]]&gt;=79,"Distinction",IF(Table2[[#This Row],[Avg_score]]&gt;=60,"Pass","Fail"))</f>
        <v>Distinction</v>
      </c>
      <c r="T796" t="s">
        <v>39</v>
      </c>
      <c r="U796">
        <f>IF(Table2[[#This Row],[Completed]]="Yes",1,0)</f>
        <v>1</v>
      </c>
      <c r="V796" t="s">
        <v>40</v>
      </c>
      <c r="W796" t="s">
        <v>39</v>
      </c>
      <c r="X796" s="4">
        <v>45838</v>
      </c>
    </row>
    <row r="797" spans="1:24" x14ac:dyDescent="0.3">
      <c r="A797">
        <v>796</v>
      </c>
      <c r="B797" s="8">
        <v>266</v>
      </c>
      <c r="C797">
        <v>1</v>
      </c>
      <c r="D797" t="s">
        <v>19</v>
      </c>
      <c r="E797" t="s">
        <v>23</v>
      </c>
      <c r="F797">
        <v>28</v>
      </c>
      <c r="G797" t="str">
        <f>IF(Table2[[#This Row],[Age]]&gt;=30,"Experienced",IF(Table2[[#This Row],[Age]]&gt;=25,"Mid Level", "Entry Level"))</f>
        <v>Mid Level</v>
      </c>
      <c r="H797" t="s">
        <v>25</v>
      </c>
      <c r="I797" t="s">
        <v>68</v>
      </c>
      <c r="J797" s="4">
        <v>45785</v>
      </c>
      <c r="K797" s="4" t="str">
        <f>TEXT(Table2[[#This Row],[Enrollment_date]],"Mmm")</f>
        <v>May</v>
      </c>
      <c r="L797" s="4" t="str">
        <f>TEXT(Table2[[#This Row],[Enrollment_date]],"Ddd")</f>
        <v>Thu</v>
      </c>
      <c r="M797" s="4" t="s">
        <v>34</v>
      </c>
      <c r="N797" t="s">
        <v>35</v>
      </c>
      <c r="O797" t="s">
        <v>38</v>
      </c>
      <c r="P797" s="8">
        <v>4</v>
      </c>
      <c r="Q797" s="6">
        <v>0.91666666666666663</v>
      </c>
      <c r="R797" s="6">
        <v>71</v>
      </c>
      <c r="S797" s="6" t="str">
        <f>IF(Table2[[#This Row],[Avg_score]]&gt;=79,"Distinction",IF(Table2[[#This Row],[Avg_score]]&gt;=60,"Pass","Fail"))</f>
        <v>Pass</v>
      </c>
      <c r="T797" t="s">
        <v>39</v>
      </c>
      <c r="U797">
        <f>IF(Table2[[#This Row],[Completed]]="Yes",1,0)</f>
        <v>1</v>
      </c>
      <c r="V797" t="s">
        <v>39</v>
      </c>
      <c r="W797" t="s">
        <v>40</v>
      </c>
      <c r="X797" s="4">
        <v>45838</v>
      </c>
    </row>
    <row r="798" spans="1:24" x14ac:dyDescent="0.3">
      <c r="A798">
        <v>797</v>
      </c>
      <c r="B798" s="8">
        <v>266</v>
      </c>
      <c r="C798">
        <v>2</v>
      </c>
      <c r="D798" t="s">
        <v>19</v>
      </c>
      <c r="E798" t="s">
        <v>23</v>
      </c>
      <c r="F798">
        <v>28</v>
      </c>
      <c r="G798" t="str">
        <f>IF(Table2[[#This Row],[Age]]&gt;=30,"Experienced",IF(Table2[[#This Row],[Age]]&gt;=25,"Mid Level", "Entry Level"))</f>
        <v>Mid Level</v>
      </c>
      <c r="H798" t="s">
        <v>25</v>
      </c>
      <c r="I798" t="s">
        <v>68</v>
      </c>
      <c r="J798" s="4">
        <v>45785</v>
      </c>
      <c r="K798" s="4" t="str">
        <f>TEXT(Table2[[#This Row],[Enrollment_date]],"Mmm")</f>
        <v>May</v>
      </c>
      <c r="L798" s="4" t="str">
        <f>TEXT(Table2[[#This Row],[Enrollment_date]],"Ddd")</f>
        <v>Thu</v>
      </c>
      <c r="M798" s="4" t="s">
        <v>34</v>
      </c>
      <c r="N798" t="s">
        <v>36</v>
      </c>
      <c r="O798" t="s">
        <v>38</v>
      </c>
      <c r="P798" s="8">
        <v>4</v>
      </c>
      <c r="Q798" s="6">
        <v>0.79166666666666663</v>
      </c>
      <c r="R798" s="6">
        <v>79.5</v>
      </c>
      <c r="S798" s="6" t="str">
        <f>IF(Table2[[#This Row],[Avg_score]]&gt;=79,"Distinction",IF(Table2[[#This Row],[Avg_score]]&gt;=60,"Pass","Fail"))</f>
        <v>Distinction</v>
      </c>
      <c r="T798" t="s">
        <v>39</v>
      </c>
      <c r="U798">
        <f>IF(Table2[[#This Row],[Completed]]="Yes",1,0)</f>
        <v>1</v>
      </c>
      <c r="V798" t="s">
        <v>39</v>
      </c>
      <c r="W798" t="s">
        <v>40</v>
      </c>
      <c r="X798" s="4">
        <v>45838</v>
      </c>
    </row>
    <row r="799" spans="1:24" x14ac:dyDescent="0.3">
      <c r="A799">
        <v>798</v>
      </c>
      <c r="B799" s="8">
        <v>266</v>
      </c>
      <c r="C799">
        <v>3</v>
      </c>
      <c r="D799" t="s">
        <v>21</v>
      </c>
      <c r="E799" t="s">
        <v>23</v>
      </c>
      <c r="F799">
        <v>28</v>
      </c>
      <c r="G799" t="str">
        <f>IF(Table2[[#This Row],[Age]]&gt;=30,"Experienced",IF(Table2[[#This Row],[Age]]&gt;=25,"Mid Level", "Entry Level"))</f>
        <v>Mid Level</v>
      </c>
      <c r="H799" t="s">
        <v>25</v>
      </c>
      <c r="I799" t="s">
        <v>68</v>
      </c>
      <c r="J799" s="4">
        <v>45785</v>
      </c>
      <c r="K799" s="4" t="str">
        <f>TEXT(Table2[[#This Row],[Enrollment_date]],"Mmm")</f>
        <v>May</v>
      </c>
      <c r="L799" s="4" t="str">
        <f>TEXT(Table2[[#This Row],[Enrollment_date]],"Ddd")</f>
        <v>Thu</v>
      </c>
      <c r="M799" s="4" t="s">
        <v>34</v>
      </c>
      <c r="N799" t="s">
        <v>37</v>
      </c>
      <c r="O799" t="s">
        <v>38</v>
      </c>
      <c r="P799" s="8">
        <v>4</v>
      </c>
      <c r="Q799" s="6">
        <v>0.79166666666666663</v>
      </c>
      <c r="R799" s="6">
        <v>75.5</v>
      </c>
      <c r="S799" s="6" t="str">
        <f>IF(Table2[[#This Row],[Avg_score]]&gt;=79,"Distinction",IF(Table2[[#This Row],[Avg_score]]&gt;=60,"Pass","Fail"))</f>
        <v>Pass</v>
      </c>
      <c r="T799" t="s">
        <v>39</v>
      </c>
      <c r="U799">
        <f>IF(Table2[[#This Row],[Completed]]="Yes",1,0)</f>
        <v>1</v>
      </c>
      <c r="V799" t="s">
        <v>39</v>
      </c>
      <c r="W799" t="s">
        <v>40</v>
      </c>
      <c r="X799" s="4">
        <v>45838</v>
      </c>
    </row>
    <row r="800" spans="1:24" x14ac:dyDescent="0.3">
      <c r="A800">
        <v>799</v>
      </c>
      <c r="B800" s="8">
        <v>267</v>
      </c>
      <c r="C800">
        <v>1</v>
      </c>
      <c r="D800" t="s">
        <v>21</v>
      </c>
      <c r="E800" t="s">
        <v>23</v>
      </c>
      <c r="F800">
        <v>23</v>
      </c>
      <c r="G800" t="str">
        <f>IF(Table2[[#This Row],[Age]]&gt;=30,"Experienced",IF(Table2[[#This Row],[Age]]&gt;=25,"Mid Level", "Entry Level"))</f>
        <v>Entry Level</v>
      </c>
      <c r="H800" t="s">
        <v>28</v>
      </c>
      <c r="I800" t="s">
        <v>44</v>
      </c>
      <c r="J800" s="4">
        <v>45794</v>
      </c>
      <c r="K800" s="4" t="str">
        <f>TEXT(Table2[[#This Row],[Enrollment_date]],"Mmm")</f>
        <v>May</v>
      </c>
      <c r="L800" s="4" t="str">
        <f>TEXT(Table2[[#This Row],[Enrollment_date]],"Ddd")</f>
        <v>Sat</v>
      </c>
      <c r="M800" s="4" t="s">
        <v>34</v>
      </c>
      <c r="N800" t="s">
        <v>35</v>
      </c>
      <c r="O800" t="s">
        <v>38</v>
      </c>
      <c r="P800" s="8">
        <v>4</v>
      </c>
      <c r="Q800" s="6">
        <v>0.85416666666666663</v>
      </c>
      <c r="R800" s="6">
        <v>76.5</v>
      </c>
      <c r="S800" s="6" t="str">
        <f>IF(Table2[[#This Row],[Avg_score]]&gt;=79,"Distinction",IF(Table2[[#This Row],[Avg_score]]&gt;=60,"Pass","Fail"))</f>
        <v>Pass</v>
      </c>
      <c r="T800" t="s">
        <v>39</v>
      </c>
      <c r="U800">
        <f>IF(Table2[[#This Row],[Completed]]="Yes",1,0)</f>
        <v>1</v>
      </c>
      <c r="V800" t="s">
        <v>39</v>
      </c>
      <c r="W800" t="s">
        <v>40</v>
      </c>
      <c r="X800" s="4">
        <v>45838</v>
      </c>
    </row>
    <row r="801" spans="1:24" x14ac:dyDescent="0.3">
      <c r="A801">
        <v>800</v>
      </c>
      <c r="B801" s="8">
        <v>267</v>
      </c>
      <c r="C801">
        <v>2</v>
      </c>
      <c r="D801" t="s">
        <v>20</v>
      </c>
      <c r="E801" t="s">
        <v>23</v>
      </c>
      <c r="F801">
        <v>23</v>
      </c>
      <c r="G801" t="str">
        <f>IF(Table2[[#This Row],[Age]]&gt;=30,"Experienced",IF(Table2[[#This Row],[Age]]&gt;=25,"Mid Level", "Entry Level"))</f>
        <v>Entry Level</v>
      </c>
      <c r="H801" t="s">
        <v>28</v>
      </c>
      <c r="I801" t="s">
        <v>44</v>
      </c>
      <c r="J801" s="4">
        <v>45794</v>
      </c>
      <c r="K801" s="4" t="str">
        <f>TEXT(Table2[[#This Row],[Enrollment_date]],"Mmm")</f>
        <v>May</v>
      </c>
      <c r="L801" s="4" t="str">
        <f>TEXT(Table2[[#This Row],[Enrollment_date]],"Ddd")</f>
        <v>Sat</v>
      </c>
      <c r="M801" s="4" t="s">
        <v>34</v>
      </c>
      <c r="N801" t="s">
        <v>36</v>
      </c>
      <c r="O801" t="s">
        <v>38</v>
      </c>
      <c r="P801" s="8">
        <v>4</v>
      </c>
      <c r="Q801" s="6">
        <v>0.85416666666666663</v>
      </c>
      <c r="R801" s="6">
        <v>77.5</v>
      </c>
      <c r="S801" s="6" t="str">
        <f>IF(Table2[[#This Row],[Avg_score]]&gt;=79,"Distinction",IF(Table2[[#This Row],[Avg_score]]&gt;=60,"Pass","Fail"))</f>
        <v>Pass</v>
      </c>
      <c r="T801" t="s">
        <v>39</v>
      </c>
      <c r="U801">
        <f>IF(Table2[[#This Row],[Completed]]="Yes",1,0)</f>
        <v>1</v>
      </c>
      <c r="V801" t="s">
        <v>39</v>
      </c>
      <c r="W801" t="s">
        <v>40</v>
      </c>
      <c r="X801" s="4">
        <v>45838</v>
      </c>
    </row>
    <row r="802" spans="1:24" x14ac:dyDescent="0.3">
      <c r="A802">
        <v>801</v>
      </c>
      <c r="B802" s="8">
        <v>267</v>
      </c>
      <c r="C802">
        <v>3</v>
      </c>
      <c r="D802" t="s">
        <v>19</v>
      </c>
      <c r="E802" t="s">
        <v>23</v>
      </c>
      <c r="F802">
        <v>23</v>
      </c>
      <c r="G802" t="str">
        <f>IF(Table2[[#This Row],[Age]]&gt;=30,"Experienced",IF(Table2[[#This Row],[Age]]&gt;=25,"Mid Level", "Entry Level"))</f>
        <v>Entry Level</v>
      </c>
      <c r="H802" t="s">
        <v>28</v>
      </c>
      <c r="I802" t="s">
        <v>44</v>
      </c>
      <c r="J802" s="4">
        <v>45794</v>
      </c>
      <c r="K802" s="4" t="str">
        <f>TEXT(Table2[[#This Row],[Enrollment_date]],"Mmm")</f>
        <v>May</v>
      </c>
      <c r="L802" s="4" t="str">
        <f>TEXT(Table2[[#This Row],[Enrollment_date]],"Ddd")</f>
        <v>Sat</v>
      </c>
      <c r="M802" s="4" t="s">
        <v>34</v>
      </c>
      <c r="N802" t="s">
        <v>37</v>
      </c>
      <c r="O802" t="s">
        <v>38</v>
      </c>
      <c r="P802" s="8">
        <v>4</v>
      </c>
      <c r="Q802" s="6">
        <v>0.85416666666666663</v>
      </c>
      <c r="R802" s="6">
        <v>94.5</v>
      </c>
      <c r="S802" s="6" t="str">
        <f>IF(Table2[[#This Row],[Avg_score]]&gt;=79,"Distinction",IF(Table2[[#This Row],[Avg_score]]&gt;=60,"Pass","Fail"))</f>
        <v>Distinction</v>
      </c>
      <c r="T802" t="s">
        <v>39</v>
      </c>
      <c r="U802">
        <f>IF(Table2[[#This Row],[Completed]]="Yes",1,0)</f>
        <v>1</v>
      </c>
      <c r="V802" t="s">
        <v>39</v>
      </c>
      <c r="W802" t="s">
        <v>40</v>
      </c>
      <c r="X802" s="4">
        <v>45838</v>
      </c>
    </row>
    <row r="803" spans="1:24" x14ac:dyDescent="0.3">
      <c r="A803">
        <v>802</v>
      </c>
      <c r="B803" s="8">
        <v>268</v>
      </c>
      <c r="C803">
        <v>1</v>
      </c>
      <c r="D803" t="s">
        <v>19</v>
      </c>
      <c r="E803" t="s">
        <v>22</v>
      </c>
      <c r="F803">
        <v>34</v>
      </c>
      <c r="G803" t="str">
        <f>IF(Table2[[#This Row],[Age]]&gt;=30,"Experienced",IF(Table2[[#This Row],[Age]]&gt;=25,"Mid Level", "Entry Level"))</f>
        <v>Experienced</v>
      </c>
      <c r="H803" t="s">
        <v>26</v>
      </c>
      <c r="I803" t="s">
        <v>30</v>
      </c>
      <c r="J803" s="4">
        <v>45676</v>
      </c>
      <c r="K803" s="4" t="str">
        <f>TEXT(Table2[[#This Row],[Enrollment_date]],"Mmm")</f>
        <v>Jan</v>
      </c>
      <c r="L803" s="4" t="str">
        <f>TEXT(Table2[[#This Row],[Enrollment_date]],"Ddd")</f>
        <v>Sun</v>
      </c>
      <c r="M803" s="4" t="s">
        <v>34</v>
      </c>
      <c r="N803" t="s">
        <v>35</v>
      </c>
      <c r="O803" t="s">
        <v>38</v>
      </c>
      <c r="P803" s="8">
        <v>4</v>
      </c>
      <c r="Q803" s="6">
        <v>0.66666666666666663</v>
      </c>
      <c r="R803" s="6">
        <v>67.5</v>
      </c>
      <c r="S803" s="6" t="str">
        <f>IF(Table2[[#This Row],[Avg_score]]&gt;=79,"Distinction",IF(Table2[[#This Row],[Avg_score]]&gt;=60,"Pass","Fail"))</f>
        <v>Pass</v>
      </c>
      <c r="T803" t="s">
        <v>39</v>
      </c>
      <c r="U803">
        <f>IF(Table2[[#This Row],[Completed]]="Yes",1,0)</f>
        <v>1</v>
      </c>
      <c r="V803" t="s">
        <v>39</v>
      </c>
      <c r="W803" t="s">
        <v>40</v>
      </c>
      <c r="X803" s="4">
        <v>45838</v>
      </c>
    </row>
    <row r="804" spans="1:24" x14ac:dyDescent="0.3">
      <c r="A804">
        <v>803</v>
      </c>
      <c r="B804" s="8">
        <v>268</v>
      </c>
      <c r="C804">
        <v>2</v>
      </c>
      <c r="D804" t="s">
        <v>19</v>
      </c>
      <c r="E804" t="s">
        <v>22</v>
      </c>
      <c r="F804">
        <v>34</v>
      </c>
      <c r="G804" t="str">
        <f>IF(Table2[[#This Row],[Age]]&gt;=30,"Experienced",IF(Table2[[#This Row],[Age]]&gt;=25,"Mid Level", "Entry Level"))</f>
        <v>Experienced</v>
      </c>
      <c r="H804" t="s">
        <v>26</v>
      </c>
      <c r="I804" t="s">
        <v>30</v>
      </c>
      <c r="J804" s="4">
        <v>45676</v>
      </c>
      <c r="K804" s="4" t="str">
        <f>TEXT(Table2[[#This Row],[Enrollment_date]],"Mmm")</f>
        <v>Jan</v>
      </c>
      <c r="L804" s="4" t="str">
        <f>TEXT(Table2[[#This Row],[Enrollment_date]],"Ddd")</f>
        <v>Sun</v>
      </c>
      <c r="M804" s="4" t="s">
        <v>34</v>
      </c>
      <c r="N804" t="s">
        <v>36</v>
      </c>
      <c r="O804" t="s">
        <v>38</v>
      </c>
      <c r="P804" s="8">
        <v>4</v>
      </c>
      <c r="Q804" s="6">
        <v>0.875</v>
      </c>
      <c r="R804" s="6">
        <v>86</v>
      </c>
      <c r="S804" s="6" t="str">
        <f>IF(Table2[[#This Row],[Avg_score]]&gt;=79,"Distinction",IF(Table2[[#This Row],[Avg_score]]&gt;=60,"Pass","Fail"))</f>
        <v>Distinction</v>
      </c>
      <c r="T804" t="s">
        <v>39</v>
      </c>
      <c r="U804">
        <f>IF(Table2[[#This Row],[Completed]]="Yes",1,0)</f>
        <v>1</v>
      </c>
      <c r="V804" t="s">
        <v>39</v>
      </c>
      <c r="W804" t="s">
        <v>40</v>
      </c>
      <c r="X804" s="4">
        <v>45838</v>
      </c>
    </row>
    <row r="805" spans="1:24" x14ac:dyDescent="0.3">
      <c r="A805">
        <v>804</v>
      </c>
      <c r="B805" s="8">
        <v>268</v>
      </c>
      <c r="C805">
        <v>3</v>
      </c>
      <c r="D805" t="s">
        <v>19</v>
      </c>
      <c r="E805" t="s">
        <v>22</v>
      </c>
      <c r="F805">
        <v>34</v>
      </c>
      <c r="G805" t="str">
        <f>IF(Table2[[#This Row],[Age]]&gt;=30,"Experienced",IF(Table2[[#This Row],[Age]]&gt;=25,"Mid Level", "Entry Level"))</f>
        <v>Experienced</v>
      </c>
      <c r="H805" t="s">
        <v>26</v>
      </c>
      <c r="I805" t="s">
        <v>30</v>
      </c>
      <c r="J805" s="4">
        <v>45676</v>
      </c>
      <c r="K805" s="4" t="str">
        <f>TEXT(Table2[[#This Row],[Enrollment_date]],"Mmm")</f>
        <v>Jan</v>
      </c>
      <c r="L805" s="4" t="str">
        <f>TEXT(Table2[[#This Row],[Enrollment_date]],"Ddd")</f>
        <v>Sun</v>
      </c>
      <c r="M805" s="4" t="s">
        <v>34</v>
      </c>
      <c r="N805" t="s">
        <v>37</v>
      </c>
      <c r="O805" t="s">
        <v>38</v>
      </c>
      <c r="P805" s="8">
        <v>4</v>
      </c>
      <c r="Q805" s="6">
        <v>0.89583333333333337</v>
      </c>
      <c r="R805" s="6">
        <v>67</v>
      </c>
      <c r="S805" s="6" t="str">
        <f>IF(Table2[[#This Row],[Avg_score]]&gt;=79,"Distinction",IF(Table2[[#This Row],[Avg_score]]&gt;=60,"Pass","Fail"))</f>
        <v>Pass</v>
      </c>
      <c r="T805" t="s">
        <v>39</v>
      </c>
      <c r="U805">
        <f>IF(Table2[[#This Row],[Completed]]="Yes",1,0)</f>
        <v>1</v>
      </c>
      <c r="V805" t="s">
        <v>39</v>
      </c>
      <c r="W805" t="s">
        <v>40</v>
      </c>
      <c r="X805" s="4">
        <v>45838</v>
      </c>
    </row>
    <row r="806" spans="1:24" x14ac:dyDescent="0.3">
      <c r="A806">
        <v>805</v>
      </c>
      <c r="B806" s="8">
        <v>269</v>
      </c>
      <c r="C806">
        <v>1</v>
      </c>
      <c r="D806" t="s">
        <v>21</v>
      </c>
      <c r="E806" t="s">
        <v>23</v>
      </c>
      <c r="F806">
        <v>19</v>
      </c>
      <c r="G806" t="str">
        <f>IF(Table2[[#This Row],[Age]]&gt;=30,"Experienced",IF(Table2[[#This Row],[Age]]&gt;=25,"Mid Level", "Entry Level"))</f>
        <v>Entry Level</v>
      </c>
      <c r="H806" t="s">
        <v>27</v>
      </c>
      <c r="I806" t="s">
        <v>68</v>
      </c>
      <c r="J806" s="4">
        <v>45775</v>
      </c>
      <c r="K806" s="4" t="str">
        <f>TEXT(Table2[[#This Row],[Enrollment_date]],"Mmm")</f>
        <v>Apr</v>
      </c>
      <c r="L806" s="4" t="str">
        <f>TEXT(Table2[[#This Row],[Enrollment_date]],"Ddd")</f>
        <v>Mon</v>
      </c>
      <c r="M806" s="4" t="s">
        <v>34</v>
      </c>
      <c r="N806" t="s">
        <v>35</v>
      </c>
      <c r="O806" t="s">
        <v>38</v>
      </c>
      <c r="P806" s="8">
        <v>4</v>
      </c>
      <c r="Q806" s="6">
        <v>0.8125</v>
      </c>
      <c r="R806" s="6">
        <v>82</v>
      </c>
      <c r="S806" s="6" t="str">
        <f>IF(Table2[[#This Row],[Avg_score]]&gt;=79,"Distinction",IF(Table2[[#This Row],[Avg_score]]&gt;=60,"Pass","Fail"))</f>
        <v>Distinction</v>
      </c>
      <c r="T806" t="s">
        <v>39</v>
      </c>
      <c r="U806">
        <f>IF(Table2[[#This Row],[Completed]]="Yes",1,0)</f>
        <v>1</v>
      </c>
      <c r="V806" t="s">
        <v>39</v>
      </c>
      <c r="W806" t="s">
        <v>40</v>
      </c>
      <c r="X806" s="4">
        <v>45838</v>
      </c>
    </row>
    <row r="807" spans="1:24" x14ac:dyDescent="0.3">
      <c r="A807">
        <v>806</v>
      </c>
      <c r="B807" s="8">
        <v>269</v>
      </c>
      <c r="C807">
        <v>2</v>
      </c>
      <c r="D807" t="s">
        <v>19</v>
      </c>
      <c r="E807" t="s">
        <v>23</v>
      </c>
      <c r="F807">
        <v>19</v>
      </c>
      <c r="G807" t="str">
        <f>IF(Table2[[#This Row],[Age]]&gt;=30,"Experienced",IF(Table2[[#This Row],[Age]]&gt;=25,"Mid Level", "Entry Level"))</f>
        <v>Entry Level</v>
      </c>
      <c r="H807" t="s">
        <v>27</v>
      </c>
      <c r="I807" t="s">
        <v>68</v>
      </c>
      <c r="J807" s="4">
        <v>45775</v>
      </c>
      <c r="K807" s="4" t="str">
        <f>TEXT(Table2[[#This Row],[Enrollment_date]],"Mmm")</f>
        <v>Apr</v>
      </c>
      <c r="L807" s="4" t="str">
        <f>TEXT(Table2[[#This Row],[Enrollment_date]],"Ddd")</f>
        <v>Mon</v>
      </c>
      <c r="M807" s="4" t="s">
        <v>34</v>
      </c>
      <c r="N807" t="s">
        <v>36</v>
      </c>
      <c r="O807" t="s">
        <v>38</v>
      </c>
      <c r="P807" s="8">
        <v>4</v>
      </c>
      <c r="Q807" s="6">
        <v>0.83333333333333337</v>
      </c>
      <c r="R807" s="6">
        <v>67.5</v>
      </c>
      <c r="S807" s="6" t="str">
        <f>IF(Table2[[#This Row],[Avg_score]]&gt;=79,"Distinction",IF(Table2[[#This Row],[Avg_score]]&gt;=60,"Pass","Fail"))</f>
        <v>Pass</v>
      </c>
      <c r="T807" t="s">
        <v>39</v>
      </c>
      <c r="U807">
        <f>IF(Table2[[#This Row],[Completed]]="Yes",1,0)</f>
        <v>1</v>
      </c>
      <c r="V807" t="s">
        <v>39</v>
      </c>
      <c r="W807" t="s">
        <v>40</v>
      </c>
      <c r="X807" s="4">
        <v>45838</v>
      </c>
    </row>
    <row r="808" spans="1:24" x14ac:dyDescent="0.3">
      <c r="A808">
        <v>807</v>
      </c>
      <c r="B808" s="8">
        <v>269</v>
      </c>
      <c r="C808">
        <v>3</v>
      </c>
      <c r="D808" t="s">
        <v>19</v>
      </c>
      <c r="E808" t="s">
        <v>23</v>
      </c>
      <c r="F808">
        <v>19</v>
      </c>
      <c r="G808" t="str">
        <f>IF(Table2[[#This Row],[Age]]&gt;=30,"Experienced",IF(Table2[[#This Row],[Age]]&gt;=25,"Mid Level", "Entry Level"))</f>
        <v>Entry Level</v>
      </c>
      <c r="H808" t="s">
        <v>27</v>
      </c>
      <c r="I808" t="s">
        <v>68</v>
      </c>
      <c r="J808" s="4">
        <v>45775</v>
      </c>
      <c r="K808" s="4" t="str">
        <f>TEXT(Table2[[#This Row],[Enrollment_date]],"Mmm")</f>
        <v>Apr</v>
      </c>
      <c r="L808" s="4" t="str">
        <f>TEXT(Table2[[#This Row],[Enrollment_date]],"Ddd")</f>
        <v>Mon</v>
      </c>
      <c r="M808" s="4" t="s">
        <v>34</v>
      </c>
      <c r="N808" t="s">
        <v>37</v>
      </c>
      <c r="O808" t="s">
        <v>38</v>
      </c>
      <c r="P808" s="8">
        <v>4</v>
      </c>
      <c r="Q808" s="6">
        <v>0.70833333333333337</v>
      </c>
      <c r="R808" s="6">
        <v>48</v>
      </c>
      <c r="S808" s="6" t="str">
        <f>IF(Table2[[#This Row],[Avg_score]]&gt;=79,"Distinction",IF(Table2[[#This Row],[Avg_score]]&gt;=60,"Pass","Fail"))</f>
        <v>Fail</v>
      </c>
      <c r="T808" t="s">
        <v>39</v>
      </c>
      <c r="U808">
        <f>IF(Table2[[#This Row],[Completed]]="Yes",1,0)</f>
        <v>1</v>
      </c>
      <c r="V808" t="s">
        <v>39</v>
      </c>
      <c r="W808" t="s">
        <v>40</v>
      </c>
      <c r="X808" s="4">
        <v>45838</v>
      </c>
    </row>
    <row r="809" spans="1:24" x14ac:dyDescent="0.3">
      <c r="A809">
        <v>808</v>
      </c>
      <c r="B809" s="8">
        <v>270</v>
      </c>
      <c r="C809">
        <v>1</v>
      </c>
      <c r="D809" t="s">
        <v>20</v>
      </c>
      <c r="E809" t="s">
        <v>22</v>
      </c>
      <c r="F809">
        <v>28</v>
      </c>
      <c r="G809" t="str">
        <f>IF(Table2[[#This Row],[Age]]&gt;=30,"Experienced",IF(Table2[[#This Row],[Age]]&gt;=25,"Mid Level", "Entry Level"))</f>
        <v>Mid Level</v>
      </c>
      <c r="H809" t="s">
        <v>26</v>
      </c>
      <c r="I809" t="s">
        <v>44</v>
      </c>
      <c r="J809" s="4">
        <v>45804</v>
      </c>
      <c r="K809" s="4" t="str">
        <f>TEXT(Table2[[#This Row],[Enrollment_date]],"Mmm")</f>
        <v>May</v>
      </c>
      <c r="L809" s="4" t="str">
        <f>TEXT(Table2[[#This Row],[Enrollment_date]],"Ddd")</f>
        <v>Tue</v>
      </c>
      <c r="M809" s="4" t="s">
        <v>34</v>
      </c>
      <c r="N809" t="s">
        <v>35</v>
      </c>
      <c r="O809" t="s">
        <v>38</v>
      </c>
      <c r="P809" s="8">
        <v>4</v>
      </c>
      <c r="Q809" s="6">
        <v>0.83333333333333337</v>
      </c>
      <c r="R809" s="6">
        <v>75.5</v>
      </c>
      <c r="S809" s="6" t="str">
        <f>IF(Table2[[#This Row],[Avg_score]]&gt;=79,"Distinction",IF(Table2[[#This Row],[Avg_score]]&gt;=60,"Pass","Fail"))</f>
        <v>Pass</v>
      </c>
      <c r="T809" t="s">
        <v>39</v>
      </c>
      <c r="U809">
        <f>IF(Table2[[#This Row],[Completed]]="Yes",1,0)</f>
        <v>1</v>
      </c>
      <c r="V809" t="s">
        <v>39</v>
      </c>
      <c r="W809" t="s">
        <v>40</v>
      </c>
      <c r="X809" s="4">
        <v>45838</v>
      </c>
    </row>
    <row r="810" spans="1:24" x14ac:dyDescent="0.3">
      <c r="A810">
        <v>809</v>
      </c>
      <c r="B810" s="8">
        <v>270</v>
      </c>
      <c r="C810">
        <v>2</v>
      </c>
      <c r="D810" t="s">
        <v>19</v>
      </c>
      <c r="E810" t="s">
        <v>22</v>
      </c>
      <c r="F810">
        <v>28</v>
      </c>
      <c r="G810" t="str">
        <f>IF(Table2[[#This Row],[Age]]&gt;=30,"Experienced",IF(Table2[[#This Row],[Age]]&gt;=25,"Mid Level", "Entry Level"))</f>
        <v>Mid Level</v>
      </c>
      <c r="H810" t="s">
        <v>26</v>
      </c>
      <c r="I810" t="s">
        <v>44</v>
      </c>
      <c r="J810" s="4">
        <v>45804</v>
      </c>
      <c r="K810" s="4" t="str">
        <f>TEXT(Table2[[#This Row],[Enrollment_date]],"Mmm")</f>
        <v>May</v>
      </c>
      <c r="L810" s="4" t="str">
        <f>TEXT(Table2[[#This Row],[Enrollment_date]],"Ddd")</f>
        <v>Tue</v>
      </c>
      <c r="M810" s="4" t="s">
        <v>34</v>
      </c>
      <c r="N810" t="s">
        <v>36</v>
      </c>
      <c r="O810" t="s">
        <v>38</v>
      </c>
      <c r="P810" s="8">
        <v>4</v>
      </c>
      <c r="Q810" s="6">
        <v>0.85416666666666663</v>
      </c>
      <c r="R810" s="6">
        <v>69.5</v>
      </c>
      <c r="S810" s="6" t="str">
        <f>IF(Table2[[#This Row],[Avg_score]]&gt;=79,"Distinction",IF(Table2[[#This Row],[Avg_score]]&gt;=60,"Pass","Fail"))</f>
        <v>Pass</v>
      </c>
      <c r="T810" t="s">
        <v>39</v>
      </c>
      <c r="U810">
        <f>IF(Table2[[#This Row],[Completed]]="Yes",1,0)</f>
        <v>1</v>
      </c>
      <c r="V810" t="s">
        <v>39</v>
      </c>
      <c r="W810" t="s">
        <v>40</v>
      </c>
      <c r="X810" s="4">
        <v>45838</v>
      </c>
    </row>
    <row r="811" spans="1:24" x14ac:dyDescent="0.3">
      <c r="A811">
        <v>810</v>
      </c>
      <c r="B811" s="8">
        <v>270</v>
      </c>
      <c r="C811">
        <v>3</v>
      </c>
      <c r="D811" t="s">
        <v>21</v>
      </c>
      <c r="E811" t="s">
        <v>22</v>
      </c>
      <c r="F811">
        <v>28</v>
      </c>
      <c r="G811" t="str">
        <f>IF(Table2[[#This Row],[Age]]&gt;=30,"Experienced",IF(Table2[[#This Row],[Age]]&gt;=25,"Mid Level", "Entry Level"))</f>
        <v>Mid Level</v>
      </c>
      <c r="H811" t="s">
        <v>26</v>
      </c>
      <c r="I811" t="s">
        <v>44</v>
      </c>
      <c r="J811" s="4">
        <v>45804</v>
      </c>
      <c r="K811" s="4" t="str">
        <f>TEXT(Table2[[#This Row],[Enrollment_date]],"Mmm")</f>
        <v>May</v>
      </c>
      <c r="L811" s="4" t="str">
        <f>TEXT(Table2[[#This Row],[Enrollment_date]],"Ddd")</f>
        <v>Tue</v>
      </c>
      <c r="M811" s="4" t="s">
        <v>34</v>
      </c>
      <c r="N811" t="s">
        <v>37</v>
      </c>
      <c r="O811" t="s">
        <v>38</v>
      </c>
      <c r="P811" s="8">
        <v>4</v>
      </c>
      <c r="Q811" s="6">
        <v>0.77083333333333337</v>
      </c>
      <c r="R811" s="6">
        <v>67.5</v>
      </c>
      <c r="S811" s="6" t="str">
        <f>IF(Table2[[#This Row],[Avg_score]]&gt;=79,"Distinction",IF(Table2[[#This Row],[Avg_score]]&gt;=60,"Pass","Fail"))</f>
        <v>Pass</v>
      </c>
      <c r="T811" t="s">
        <v>39</v>
      </c>
      <c r="U811">
        <f>IF(Table2[[#This Row],[Completed]]="Yes",1,0)</f>
        <v>1</v>
      </c>
      <c r="V811" t="s">
        <v>39</v>
      </c>
      <c r="W811" t="s">
        <v>40</v>
      </c>
      <c r="X811" s="4">
        <v>45838</v>
      </c>
    </row>
    <row r="812" spans="1:24" x14ac:dyDescent="0.3">
      <c r="A812">
        <v>811</v>
      </c>
      <c r="B812" s="8">
        <v>271</v>
      </c>
      <c r="C812">
        <v>1</v>
      </c>
      <c r="D812" t="s">
        <v>21</v>
      </c>
      <c r="E812" t="s">
        <v>23</v>
      </c>
      <c r="F812">
        <v>31</v>
      </c>
      <c r="G812" t="str">
        <f>IF(Table2[[#This Row],[Age]]&gt;=30,"Experienced",IF(Table2[[#This Row],[Age]]&gt;=25,"Mid Level", "Entry Level"))</f>
        <v>Experienced</v>
      </c>
      <c r="H812" t="s">
        <v>29</v>
      </c>
      <c r="I812" t="s">
        <v>68</v>
      </c>
      <c r="J812" s="4">
        <v>45761</v>
      </c>
      <c r="K812" s="4" t="str">
        <f>TEXT(Table2[[#This Row],[Enrollment_date]],"Mmm")</f>
        <v>Apr</v>
      </c>
      <c r="L812" s="4" t="str">
        <f>TEXT(Table2[[#This Row],[Enrollment_date]],"Ddd")</f>
        <v>Mon</v>
      </c>
      <c r="M812" s="4" t="s">
        <v>34</v>
      </c>
      <c r="N812" t="s">
        <v>35</v>
      </c>
      <c r="O812" t="s">
        <v>38</v>
      </c>
      <c r="P812" s="8">
        <v>4</v>
      </c>
      <c r="Q812" s="6">
        <v>0.8125</v>
      </c>
      <c r="R812" s="6">
        <v>69.5</v>
      </c>
      <c r="S812" s="6" t="str">
        <f>IF(Table2[[#This Row],[Avg_score]]&gt;=79,"Distinction",IF(Table2[[#This Row],[Avg_score]]&gt;=60,"Pass","Fail"))</f>
        <v>Pass</v>
      </c>
      <c r="T812" t="s">
        <v>39</v>
      </c>
      <c r="U812">
        <f>IF(Table2[[#This Row],[Completed]]="Yes",1,0)</f>
        <v>1</v>
      </c>
      <c r="V812" t="s">
        <v>39</v>
      </c>
      <c r="W812" t="s">
        <v>40</v>
      </c>
      <c r="X812" s="4">
        <v>45838</v>
      </c>
    </row>
    <row r="813" spans="1:24" x14ac:dyDescent="0.3">
      <c r="A813">
        <v>812</v>
      </c>
      <c r="B813" s="8">
        <v>271</v>
      </c>
      <c r="C813">
        <v>2</v>
      </c>
      <c r="D813" t="s">
        <v>19</v>
      </c>
      <c r="E813" t="s">
        <v>23</v>
      </c>
      <c r="F813">
        <v>31</v>
      </c>
      <c r="G813" t="str">
        <f>IF(Table2[[#This Row],[Age]]&gt;=30,"Experienced",IF(Table2[[#This Row],[Age]]&gt;=25,"Mid Level", "Entry Level"))</f>
        <v>Experienced</v>
      </c>
      <c r="H813" t="s">
        <v>29</v>
      </c>
      <c r="I813" t="s">
        <v>68</v>
      </c>
      <c r="J813" s="4">
        <v>45761</v>
      </c>
      <c r="K813" s="4" t="str">
        <f>TEXT(Table2[[#This Row],[Enrollment_date]],"Mmm")</f>
        <v>Apr</v>
      </c>
      <c r="L813" s="4" t="str">
        <f>TEXT(Table2[[#This Row],[Enrollment_date]],"Ddd")</f>
        <v>Mon</v>
      </c>
      <c r="M813" s="4" t="s">
        <v>34</v>
      </c>
      <c r="N813" t="s">
        <v>36</v>
      </c>
      <c r="O813" t="s">
        <v>38</v>
      </c>
      <c r="P813" s="8">
        <v>4</v>
      </c>
      <c r="Q813" s="6">
        <v>0.85416666666666663</v>
      </c>
      <c r="R813" s="6">
        <v>75.5</v>
      </c>
      <c r="S813" s="6" t="str">
        <f>IF(Table2[[#This Row],[Avg_score]]&gt;=79,"Distinction",IF(Table2[[#This Row],[Avg_score]]&gt;=60,"Pass","Fail"))</f>
        <v>Pass</v>
      </c>
      <c r="T813" t="s">
        <v>39</v>
      </c>
      <c r="U813">
        <f>IF(Table2[[#This Row],[Completed]]="Yes",1,0)</f>
        <v>1</v>
      </c>
      <c r="V813" t="s">
        <v>39</v>
      </c>
      <c r="W813" t="s">
        <v>40</v>
      </c>
      <c r="X813" s="4">
        <v>45838</v>
      </c>
    </row>
    <row r="814" spans="1:24" x14ac:dyDescent="0.3">
      <c r="A814">
        <v>813</v>
      </c>
      <c r="B814" s="8">
        <v>271</v>
      </c>
      <c r="C814">
        <v>3</v>
      </c>
      <c r="D814" t="s">
        <v>20</v>
      </c>
      <c r="E814" t="s">
        <v>23</v>
      </c>
      <c r="F814">
        <v>31</v>
      </c>
      <c r="G814" t="str">
        <f>IF(Table2[[#This Row],[Age]]&gt;=30,"Experienced",IF(Table2[[#This Row],[Age]]&gt;=25,"Mid Level", "Entry Level"))</f>
        <v>Experienced</v>
      </c>
      <c r="H814" t="s">
        <v>29</v>
      </c>
      <c r="I814" t="s">
        <v>68</v>
      </c>
      <c r="J814" s="4">
        <v>45761</v>
      </c>
      <c r="K814" s="4" t="str">
        <f>TEXT(Table2[[#This Row],[Enrollment_date]],"Mmm")</f>
        <v>Apr</v>
      </c>
      <c r="L814" s="4" t="str">
        <f>TEXT(Table2[[#This Row],[Enrollment_date]],"Ddd")</f>
        <v>Mon</v>
      </c>
      <c r="M814" s="4" t="s">
        <v>34</v>
      </c>
      <c r="N814" t="s">
        <v>37</v>
      </c>
      <c r="O814" t="s">
        <v>38</v>
      </c>
      <c r="P814" s="8">
        <v>4</v>
      </c>
      <c r="Q814" s="6">
        <v>0.83333333333333337</v>
      </c>
      <c r="R814" s="6">
        <v>77.5</v>
      </c>
      <c r="S814" s="6" t="str">
        <f>IF(Table2[[#This Row],[Avg_score]]&gt;=79,"Distinction",IF(Table2[[#This Row],[Avg_score]]&gt;=60,"Pass","Fail"))</f>
        <v>Pass</v>
      </c>
      <c r="T814" t="s">
        <v>39</v>
      </c>
      <c r="U814">
        <f>IF(Table2[[#This Row],[Completed]]="Yes",1,0)</f>
        <v>1</v>
      </c>
      <c r="V814" t="s">
        <v>39</v>
      </c>
      <c r="W814" t="s">
        <v>40</v>
      </c>
      <c r="X814" s="4">
        <v>45838</v>
      </c>
    </row>
    <row r="815" spans="1:24" x14ac:dyDescent="0.3">
      <c r="A815">
        <v>814</v>
      </c>
      <c r="B815" s="8">
        <v>272</v>
      </c>
      <c r="C815">
        <v>1</v>
      </c>
      <c r="D815" t="s">
        <v>19</v>
      </c>
      <c r="E815" t="s">
        <v>22</v>
      </c>
      <c r="F815">
        <v>28</v>
      </c>
      <c r="G815" t="str">
        <f>IF(Table2[[#This Row],[Age]]&gt;=30,"Experienced",IF(Table2[[#This Row],[Age]]&gt;=25,"Mid Level", "Entry Level"))</f>
        <v>Mid Level</v>
      </c>
      <c r="H815" t="s">
        <v>28</v>
      </c>
      <c r="I815" t="s">
        <v>44</v>
      </c>
      <c r="J815" s="4">
        <v>45750</v>
      </c>
      <c r="K815" s="4" t="str">
        <f>TEXT(Table2[[#This Row],[Enrollment_date]],"Mmm")</f>
        <v>Apr</v>
      </c>
      <c r="L815" s="4" t="str">
        <f>TEXT(Table2[[#This Row],[Enrollment_date]],"Ddd")</f>
        <v>Thu</v>
      </c>
      <c r="M815" s="4" t="s">
        <v>34</v>
      </c>
      <c r="N815" t="s">
        <v>35</v>
      </c>
      <c r="O815" t="s">
        <v>38</v>
      </c>
      <c r="P815" s="8">
        <v>4</v>
      </c>
      <c r="Q815" s="6">
        <v>0.89583333333333337</v>
      </c>
      <c r="R815" s="6">
        <v>88</v>
      </c>
      <c r="S815" s="6" t="str">
        <f>IF(Table2[[#This Row],[Avg_score]]&gt;=79,"Distinction",IF(Table2[[#This Row],[Avg_score]]&gt;=60,"Pass","Fail"))</f>
        <v>Distinction</v>
      </c>
      <c r="T815" t="s">
        <v>39</v>
      </c>
      <c r="U815">
        <f>IF(Table2[[#This Row],[Completed]]="Yes",1,0)</f>
        <v>1</v>
      </c>
      <c r="V815" t="s">
        <v>39</v>
      </c>
      <c r="W815" t="s">
        <v>39</v>
      </c>
      <c r="X815" s="4">
        <v>45838</v>
      </c>
    </row>
    <row r="816" spans="1:24" x14ac:dyDescent="0.3">
      <c r="A816">
        <v>815</v>
      </c>
      <c r="B816" s="8">
        <v>272</v>
      </c>
      <c r="C816">
        <v>2</v>
      </c>
      <c r="D816" t="s">
        <v>19</v>
      </c>
      <c r="E816" t="s">
        <v>22</v>
      </c>
      <c r="F816">
        <v>28</v>
      </c>
      <c r="G816" t="str">
        <f>IF(Table2[[#This Row],[Age]]&gt;=30,"Experienced",IF(Table2[[#This Row],[Age]]&gt;=25,"Mid Level", "Entry Level"))</f>
        <v>Mid Level</v>
      </c>
      <c r="H816" t="s">
        <v>28</v>
      </c>
      <c r="I816" t="s">
        <v>44</v>
      </c>
      <c r="J816" s="4">
        <v>45750</v>
      </c>
      <c r="K816" s="4" t="str">
        <f>TEXT(Table2[[#This Row],[Enrollment_date]],"Mmm")</f>
        <v>Apr</v>
      </c>
      <c r="L816" s="4" t="str">
        <f>TEXT(Table2[[#This Row],[Enrollment_date]],"Ddd")</f>
        <v>Thu</v>
      </c>
      <c r="M816" s="4" t="s">
        <v>34</v>
      </c>
      <c r="N816" t="s">
        <v>36</v>
      </c>
      <c r="O816" t="s">
        <v>38</v>
      </c>
      <c r="P816" s="8">
        <v>4</v>
      </c>
      <c r="Q816" s="6">
        <v>0.85416666666666663</v>
      </c>
      <c r="R816" s="6">
        <v>61.5</v>
      </c>
      <c r="S816" s="6" t="str">
        <f>IF(Table2[[#This Row],[Avg_score]]&gt;=79,"Distinction",IF(Table2[[#This Row],[Avg_score]]&gt;=60,"Pass","Fail"))</f>
        <v>Pass</v>
      </c>
      <c r="T816" t="s">
        <v>39</v>
      </c>
      <c r="U816">
        <f>IF(Table2[[#This Row],[Completed]]="Yes",1,0)</f>
        <v>1</v>
      </c>
      <c r="V816" t="s">
        <v>39</v>
      </c>
      <c r="W816" t="s">
        <v>39</v>
      </c>
      <c r="X816" s="4">
        <v>45838</v>
      </c>
    </row>
    <row r="817" spans="1:24" x14ac:dyDescent="0.3">
      <c r="A817">
        <v>816</v>
      </c>
      <c r="B817" s="8">
        <v>272</v>
      </c>
      <c r="C817">
        <v>3</v>
      </c>
      <c r="D817" t="s">
        <v>19</v>
      </c>
      <c r="E817" t="s">
        <v>22</v>
      </c>
      <c r="F817">
        <v>28</v>
      </c>
      <c r="G817" t="str">
        <f>IF(Table2[[#This Row],[Age]]&gt;=30,"Experienced",IF(Table2[[#This Row],[Age]]&gt;=25,"Mid Level", "Entry Level"))</f>
        <v>Mid Level</v>
      </c>
      <c r="H817" t="s">
        <v>28</v>
      </c>
      <c r="I817" t="s">
        <v>44</v>
      </c>
      <c r="J817" s="4">
        <v>45750</v>
      </c>
      <c r="K817" s="4" t="str">
        <f>TEXT(Table2[[#This Row],[Enrollment_date]],"Mmm")</f>
        <v>Apr</v>
      </c>
      <c r="L817" s="4" t="str">
        <f>TEXT(Table2[[#This Row],[Enrollment_date]],"Ddd")</f>
        <v>Thu</v>
      </c>
      <c r="M817" s="4" t="s">
        <v>34</v>
      </c>
      <c r="N817" t="s">
        <v>37</v>
      </c>
      <c r="O817" t="s">
        <v>38</v>
      </c>
      <c r="P817" s="8">
        <v>4</v>
      </c>
      <c r="Q817" s="6">
        <v>0.72916666666666663</v>
      </c>
      <c r="R817" s="6">
        <v>64.5</v>
      </c>
      <c r="S817" s="6" t="str">
        <f>IF(Table2[[#This Row],[Avg_score]]&gt;=79,"Distinction",IF(Table2[[#This Row],[Avg_score]]&gt;=60,"Pass","Fail"))</f>
        <v>Pass</v>
      </c>
      <c r="T817" t="s">
        <v>39</v>
      </c>
      <c r="U817">
        <f>IF(Table2[[#This Row],[Completed]]="Yes",1,0)</f>
        <v>1</v>
      </c>
      <c r="V817" t="s">
        <v>39</v>
      </c>
      <c r="W817" t="s">
        <v>39</v>
      </c>
      <c r="X817" s="4">
        <v>45838</v>
      </c>
    </row>
    <row r="818" spans="1:24" x14ac:dyDescent="0.3">
      <c r="A818">
        <v>817</v>
      </c>
      <c r="B818" s="8">
        <v>273</v>
      </c>
      <c r="C818">
        <v>1</v>
      </c>
      <c r="D818" t="s">
        <v>19</v>
      </c>
      <c r="E818" t="s">
        <v>22</v>
      </c>
      <c r="F818">
        <v>31</v>
      </c>
      <c r="G818" t="str">
        <f>IF(Table2[[#This Row],[Age]]&gt;=30,"Experienced",IF(Table2[[#This Row],[Age]]&gt;=25,"Mid Level", "Entry Level"))</f>
        <v>Experienced</v>
      </c>
      <c r="H818" t="s">
        <v>25</v>
      </c>
      <c r="I818" t="s">
        <v>32</v>
      </c>
      <c r="J818" s="4">
        <v>45769</v>
      </c>
      <c r="K818" s="4" t="str">
        <f>TEXT(Table2[[#This Row],[Enrollment_date]],"Mmm")</f>
        <v>Apr</v>
      </c>
      <c r="L818" s="4" t="str">
        <f>TEXT(Table2[[#This Row],[Enrollment_date]],"Ddd")</f>
        <v>Tue</v>
      </c>
      <c r="M818" s="4" t="s">
        <v>34</v>
      </c>
      <c r="N818" t="s">
        <v>35</v>
      </c>
      <c r="O818" t="s">
        <v>38</v>
      </c>
      <c r="P818" s="8">
        <v>4</v>
      </c>
      <c r="Q818" s="6">
        <v>0.8125</v>
      </c>
      <c r="R818" s="6">
        <v>87.5</v>
      </c>
      <c r="S818" s="6" t="str">
        <f>IF(Table2[[#This Row],[Avg_score]]&gt;=79,"Distinction",IF(Table2[[#This Row],[Avg_score]]&gt;=60,"Pass","Fail"))</f>
        <v>Distinction</v>
      </c>
      <c r="T818" t="s">
        <v>39</v>
      </c>
      <c r="U818">
        <f>IF(Table2[[#This Row],[Completed]]="Yes",1,0)</f>
        <v>1</v>
      </c>
      <c r="V818" t="s">
        <v>40</v>
      </c>
      <c r="W818" t="s">
        <v>40</v>
      </c>
      <c r="X818" s="4">
        <v>45838</v>
      </c>
    </row>
    <row r="819" spans="1:24" x14ac:dyDescent="0.3">
      <c r="A819">
        <v>818</v>
      </c>
      <c r="B819" s="8">
        <v>273</v>
      </c>
      <c r="C819">
        <v>2</v>
      </c>
      <c r="D819" t="s">
        <v>19</v>
      </c>
      <c r="E819" t="s">
        <v>22</v>
      </c>
      <c r="F819">
        <v>31</v>
      </c>
      <c r="G819" t="str">
        <f>IF(Table2[[#This Row],[Age]]&gt;=30,"Experienced",IF(Table2[[#This Row],[Age]]&gt;=25,"Mid Level", "Entry Level"))</f>
        <v>Experienced</v>
      </c>
      <c r="H819" t="s">
        <v>25</v>
      </c>
      <c r="I819" t="s">
        <v>32</v>
      </c>
      <c r="J819" s="4">
        <v>45769</v>
      </c>
      <c r="K819" s="4" t="str">
        <f>TEXT(Table2[[#This Row],[Enrollment_date]],"Mmm")</f>
        <v>Apr</v>
      </c>
      <c r="L819" s="4" t="str">
        <f>TEXT(Table2[[#This Row],[Enrollment_date]],"Ddd")</f>
        <v>Tue</v>
      </c>
      <c r="M819" s="4" t="s">
        <v>34</v>
      </c>
      <c r="N819" t="s">
        <v>36</v>
      </c>
      <c r="O819" t="s">
        <v>38</v>
      </c>
      <c r="P819" s="8">
        <v>4</v>
      </c>
      <c r="Q819" s="6">
        <v>0.875</v>
      </c>
      <c r="R819" s="6">
        <v>77</v>
      </c>
      <c r="S819" s="6" t="str">
        <f>IF(Table2[[#This Row],[Avg_score]]&gt;=79,"Distinction",IF(Table2[[#This Row],[Avg_score]]&gt;=60,"Pass","Fail"))</f>
        <v>Pass</v>
      </c>
      <c r="T819" t="s">
        <v>39</v>
      </c>
      <c r="U819">
        <f>IF(Table2[[#This Row],[Completed]]="Yes",1,0)</f>
        <v>1</v>
      </c>
      <c r="V819" t="s">
        <v>40</v>
      </c>
      <c r="W819" t="s">
        <v>40</v>
      </c>
      <c r="X819" s="4">
        <v>45838</v>
      </c>
    </row>
    <row r="820" spans="1:24" x14ac:dyDescent="0.3">
      <c r="A820">
        <v>819</v>
      </c>
      <c r="B820" s="8">
        <v>273</v>
      </c>
      <c r="C820">
        <v>3</v>
      </c>
      <c r="D820" t="s">
        <v>21</v>
      </c>
      <c r="E820" t="s">
        <v>22</v>
      </c>
      <c r="F820">
        <v>31</v>
      </c>
      <c r="G820" t="str">
        <f>IF(Table2[[#This Row],[Age]]&gt;=30,"Experienced",IF(Table2[[#This Row],[Age]]&gt;=25,"Mid Level", "Entry Level"))</f>
        <v>Experienced</v>
      </c>
      <c r="H820" t="s">
        <v>25</v>
      </c>
      <c r="I820" t="s">
        <v>32</v>
      </c>
      <c r="J820" s="4">
        <v>45769</v>
      </c>
      <c r="K820" s="4" t="str">
        <f>TEXT(Table2[[#This Row],[Enrollment_date]],"Mmm")</f>
        <v>Apr</v>
      </c>
      <c r="L820" s="4" t="str">
        <f>TEXT(Table2[[#This Row],[Enrollment_date]],"Ddd")</f>
        <v>Tue</v>
      </c>
      <c r="M820" s="4" t="s">
        <v>34</v>
      </c>
      <c r="N820" t="s">
        <v>37</v>
      </c>
      <c r="O820" t="s">
        <v>38</v>
      </c>
      <c r="P820" s="8">
        <v>4</v>
      </c>
      <c r="Q820" s="6">
        <v>0.91666666666666663</v>
      </c>
      <c r="R820" s="6">
        <v>67</v>
      </c>
      <c r="S820" s="6" t="str">
        <f>IF(Table2[[#This Row],[Avg_score]]&gt;=79,"Distinction",IF(Table2[[#This Row],[Avg_score]]&gt;=60,"Pass","Fail"))</f>
        <v>Pass</v>
      </c>
      <c r="T820" t="s">
        <v>39</v>
      </c>
      <c r="U820">
        <f>IF(Table2[[#This Row],[Completed]]="Yes",1,0)</f>
        <v>1</v>
      </c>
      <c r="V820" t="s">
        <v>40</v>
      </c>
      <c r="W820" t="s">
        <v>40</v>
      </c>
      <c r="X820" s="4">
        <v>45838</v>
      </c>
    </row>
    <row r="821" spans="1:24" x14ac:dyDescent="0.3">
      <c r="A821">
        <v>820</v>
      </c>
      <c r="B821" s="8">
        <v>274</v>
      </c>
      <c r="C821">
        <v>1</v>
      </c>
      <c r="D821" t="s">
        <v>19</v>
      </c>
      <c r="E821" t="s">
        <v>23</v>
      </c>
      <c r="F821">
        <v>34</v>
      </c>
      <c r="G821" t="str">
        <f>IF(Table2[[#This Row],[Age]]&gt;=30,"Experienced",IF(Table2[[#This Row],[Age]]&gt;=25,"Mid Level", "Entry Level"))</f>
        <v>Experienced</v>
      </c>
      <c r="H821" t="s">
        <v>25</v>
      </c>
      <c r="I821" t="s">
        <v>44</v>
      </c>
      <c r="J821" s="4">
        <v>45737</v>
      </c>
      <c r="K821" s="4" t="str">
        <f>TEXT(Table2[[#This Row],[Enrollment_date]],"Mmm")</f>
        <v>Mar</v>
      </c>
      <c r="L821" s="4" t="str">
        <f>TEXT(Table2[[#This Row],[Enrollment_date]],"Ddd")</f>
        <v>Fri</v>
      </c>
      <c r="M821" s="4" t="s">
        <v>34</v>
      </c>
      <c r="N821" t="s">
        <v>35</v>
      </c>
      <c r="O821" t="s">
        <v>38</v>
      </c>
      <c r="P821" s="8">
        <v>4</v>
      </c>
      <c r="Q821" s="6">
        <v>0.8125</v>
      </c>
      <c r="R821" s="6">
        <v>78.5</v>
      </c>
      <c r="S821" s="6" t="str">
        <f>IF(Table2[[#This Row],[Avg_score]]&gt;=79,"Distinction",IF(Table2[[#This Row],[Avg_score]]&gt;=60,"Pass","Fail"))</f>
        <v>Pass</v>
      </c>
      <c r="T821" t="s">
        <v>39</v>
      </c>
      <c r="U821">
        <f>IF(Table2[[#This Row],[Completed]]="Yes",1,0)</f>
        <v>1</v>
      </c>
      <c r="V821" t="s">
        <v>39</v>
      </c>
      <c r="W821" t="s">
        <v>40</v>
      </c>
      <c r="X821" s="4">
        <v>45838</v>
      </c>
    </row>
    <row r="822" spans="1:24" x14ac:dyDescent="0.3">
      <c r="A822">
        <v>821</v>
      </c>
      <c r="B822" s="8">
        <v>274</v>
      </c>
      <c r="C822">
        <v>2</v>
      </c>
      <c r="D822" t="s">
        <v>19</v>
      </c>
      <c r="E822" t="s">
        <v>23</v>
      </c>
      <c r="F822">
        <v>34</v>
      </c>
      <c r="G822" t="str">
        <f>IF(Table2[[#This Row],[Age]]&gt;=30,"Experienced",IF(Table2[[#This Row],[Age]]&gt;=25,"Mid Level", "Entry Level"))</f>
        <v>Experienced</v>
      </c>
      <c r="H822" t="s">
        <v>25</v>
      </c>
      <c r="I822" t="s">
        <v>44</v>
      </c>
      <c r="J822" s="4">
        <v>45737</v>
      </c>
      <c r="K822" s="4" t="str">
        <f>TEXT(Table2[[#This Row],[Enrollment_date]],"Mmm")</f>
        <v>Mar</v>
      </c>
      <c r="L822" s="4" t="str">
        <f>TEXT(Table2[[#This Row],[Enrollment_date]],"Ddd")</f>
        <v>Fri</v>
      </c>
      <c r="M822" s="4" t="s">
        <v>34</v>
      </c>
      <c r="N822" t="s">
        <v>36</v>
      </c>
      <c r="O822" t="s">
        <v>38</v>
      </c>
      <c r="P822" s="8">
        <v>4</v>
      </c>
      <c r="Q822" s="6">
        <v>0.9375</v>
      </c>
      <c r="R822" s="6">
        <v>79.5</v>
      </c>
      <c r="S822" s="6" t="str">
        <f>IF(Table2[[#This Row],[Avg_score]]&gt;=79,"Distinction",IF(Table2[[#This Row],[Avg_score]]&gt;=60,"Pass","Fail"))</f>
        <v>Distinction</v>
      </c>
      <c r="T822" t="s">
        <v>39</v>
      </c>
      <c r="U822">
        <f>IF(Table2[[#This Row],[Completed]]="Yes",1,0)</f>
        <v>1</v>
      </c>
      <c r="V822" t="s">
        <v>39</v>
      </c>
      <c r="W822" t="s">
        <v>40</v>
      </c>
      <c r="X822" s="4">
        <v>45838</v>
      </c>
    </row>
    <row r="823" spans="1:24" x14ac:dyDescent="0.3">
      <c r="A823">
        <v>822</v>
      </c>
      <c r="B823" s="8">
        <v>274</v>
      </c>
      <c r="C823">
        <v>3</v>
      </c>
      <c r="D823" t="s">
        <v>19</v>
      </c>
      <c r="E823" t="s">
        <v>23</v>
      </c>
      <c r="F823">
        <v>34</v>
      </c>
      <c r="G823" t="str">
        <f>IF(Table2[[#This Row],[Age]]&gt;=30,"Experienced",IF(Table2[[#This Row],[Age]]&gt;=25,"Mid Level", "Entry Level"))</f>
        <v>Experienced</v>
      </c>
      <c r="H823" t="s">
        <v>25</v>
      </c>
      <c r="I823" t="s">
        <v>44</v>
      </c>
      <c r="J823" s="4">
        <v>45737</v>
      </c>
      <c r="K823" s="4" t="str">
        <f>TEXT(Table2[[#This Row],[Enrollment_date]],"Mmm")</f>
        <v>Mar</v>
      </c>
      <c r="L823" s="4" t="str">
        <f>TEXT(Table2[[#This Row],[Enrollment_date]],"Ddd")</f>
        <v>Fri</v>
      </c>
      <c r="M823" s="4" t="s">
        <v>34</v>
      </c>
      <c r="N823" t="s">
        <v>37</v>
      </c>
      <c r="O823" t="s">
        <v>38</v>
      </c>
      <c r="P823" s="8">
        <v>4</v>
      </c>
      <c r="Q823" s="6">
        <v>0.875</v>
      </c>
      <c r="R823" s="6">
        <v>67.5</v>
      </c>
      <c r="S823" s="6" t="str">
        <f>IF(Table2[[#This Row],[Avg_score]]&gt;=79,"Distinction",IF(Table2[[#This Row],[Avg_score]]&gt;=60,"Pass","Fail"))</f>
        <v>Pass</v>
      </c>
      <c r="T823" t="s">
        <v>39</v>
      </c>
      <c r="U823">
        <f>IF(Table2[[#This Row],[Completed]]="Yes",1,0)</f>
        <v>1</v>
      </c>
      <c r="V823" t="s">
        <v>39</v>
      </c>
      <c r="W823" t="s">
        <v>40</v>
      </c>
      <c r="X823" s="4">
        <v>45838</v>
      </c>
    </row>
    <row r="824" spans="1:24" x14ac:dyDescent="0.3">
      <c r="A824">
        <v>823</v>
      </c>
      <c r="B824" s="8">
        <v>275</v>
      </c>
      <c r="C824">
        <v>1</v>
      </c>
      <c r="D824" t="s">
        <v>21</v>
      </c>
      <c r="E824" t="s">
        <v>23</v>
      </c>
      <c r="F824">
        <v>25</v>
      </c>
      <c r="G824" t="str">
        <f>IF(Table2[[#This Row],[Age]]&gt;=30,"Experienced",IF(Table2[[#This Row],[Age]]&gt;=25,"Mid Level", "Entry Level"))</f>
        <v>Mid Level</v>
      </c>
      <c r="H824" t="s">
        <v>29</v>
      </c>
      <c r="I824" t="s">
        <v>32</v>
      </c>
      <c r="J824" s="4">
        <v>45677</v>
      </c>
      <c r="K824" s="4" t="str">
        <f>TEXT(Table2[[#This Row],[Enrollment_date]],"Mmm")</f>
        <v>Jan</v>
      </c>
      <c r="L824" s="4" t="str">
        <f>TEXT(Table2[[#This Row],[Enrollment_date]],"Ddd")</f>
        <v>Mon</v>
      </c>
      <c r="M824" s="4" t="s">
        <v>34</v>
      </c>
      <c r="N824" t="s">
        <v>35</v>
      </c>
      <c r="O824" t="s">
        <v>38</v>
      </c>
      <c r="P824" s="8">
        <v>4</v>
      </c>
      <c r="Q824" s="6">
        <v>0.77083333333333337</v>
      </c>
      <c r="R824" s="6">
        <v>72.5</v>
      </c>
      <c r="S824" s="6" t="str">
        <f>IF(Table2[[#This Row],[Avg_score]]&gt;=79,"Distinction",IF(Table2[[#This Row],[Avg_score]]&gt;=60,"Pass","Fail"))</f>
        <v>Pass</v>
      </c>
      <c r="T824" t="s">
        <v>39</v>
      </c>
      <c r="U824">
        <f>IF(Table2[[#This Row],[Completed]]="Yes",1,0)</f>
        <v>1</v>
      </c>
      <c r="V824" t="s">
        <v>40</v>
      </c>
      <c r="W824" t="s">
        <v>39</v>
      </c>
      <c r="X824" s="4">
        <v>45838</v>
      </c>
    </row>
    <row r="825" spans="1:24" x14ac:dyDescent="0.3">
      <c r="A825">
        <v>824</v>
      </c>
      <c r="B825" s="8">
        <v>275</v>
      </c>
      <c r="C825">
        <v>2</v>
      </c>
      <c r="D825" t="s">
        <v>21</v>
      </c>
      <c r="E825" t="s">
        <v>23</v>
      </c>
      <c r="F825">
        <v>25</v>
      </c>
      <c r="G825" t="str">
        <f>IF(Table2[[#This Row],[Age]]&gt;=30,"Experienced",IF(Table2[[#This Row],[Age]]&gt;=25,"Mid Level", "Entry Level"))</f>
        <v>Mid Level</v>
      </c>
      <c r="H825" t="s">
        <v>29</v>
      </c>
      <c r="I825" t="s">
        <v>32</v>
      </c>
      <c r="J825" s="4">
        <v>45677</v>
      </c>
      <c r="K825" s="4" t="str">
        <f>TEXT(Table2[[#This Row],[Enrollment_date]],"Mmm")</f>
        <v>Jan</v>
      </c>
      <c r="L825" s="4" t="str">
        <f>TEXT(Table2[[#This Row],[Enrollment_date]],"Ddd")</f>
        <v>Mon</v>
      </c>
      <c r="M825" s="4" t="s">
        <v>34</v>
      </c>
      <c r="N825" t="s">
        <v>36</v>
      </c>
      <c r="O825" t="s">
        <v>38</v>
      </c>
      <c r="P825" s="8">
        <v>4</v>
      </c>
      <c r="Q825" s="6">
        <v>0.89583333333333337</v>
      </c>
      <c r="R825" s="6">
        <v>54</v>
      </c>
      <c r="S825" s="6" t="str">
        <f>IF(Table2[[#This Row],[Avg_score]]&gt;=79,"Distinction",IF(Table2[[#This Row],[Avg_score]]&gt;=60,"Pass","Fail"))</f>
        <v>Fail</v>
      </c>
      <c r="T825" t="s">
        <v>39</v>
      </c>
      <c r="U825">
        <f>IF(Table2[[#This Row],[Completed]]="Yes",1,0)</f>
        <v>1</v>
      </c>
      <c r="V825" t="s">
        <v>40</v>
      </c>
      <c r="W825" t="s">
        <v>39</v>
      </c>
      <c r="X825" s="4">
        <v>45838</v>
      </c>
    </row>
    <row r="826" spans="1:24" x14ac:dyDescent="0.3">
      <c r="A826">
        <v>825</v>
      </c>
      <c r="B826" s="8">
        <v>275</v>
      </c>
      <c r="C826">
        <v>3</v>
      </c>
      <c r="D826" t="s">
        <v>19</v>
      </c>
      <c r="E826" t="s">
        <v>23</v>
      </c>
      <c r="F826">
        <v>25</v>
      </c>
      <c r="G826" t="str">
        <f>IF(Table2[[#This Row],[Age]]&gt;=30,"Experienced",IF(Table2[[#This Row],[Age]]&gt;=25,"Mid Level", "Entry Level"))</f>
        <v>Mid Level</v>
      </c>
      <c r="H826" t="s">
        <v>29</v>
      </c>
      <c r="I826" t="s">
        <v>32</v>
      </c>
      <c r="J826" s="4">
        <v>45677</v>
      </c>
      <c r="K826" s="4" t="str">
        <f>TEXT(Table2[[#This Row],[Enrollment_date]],"Mmm")</f>
        <v>Jan</v>
      </c>
      <c r="L826" s="4" t="str">
        <f>TEXT(Table2[[#This Row],[Enrollment_date]],"Ddd")</f>
        <v>Mon</v>
      </c>
      <c r="M826" s="4" t="s">
        <v>34</v>
      </c>
      <c r="N826" t="s">
        <v>37</v>
      </c>
      <c r="O826" t="s">
        <v>38</v>
      </c>
      <c r="P826" s="8">
        <v>4</v>
      </c>
      <c r="Q826" s="6">
        <v>0.77083333333333337</v>
      </c>
      <c r="R826" s="6">
        <v>47.5</v>
      </c>
      <c r="S826" s="6" t="str">
        <f>IF(Table2[[#This Row],[Avg_score]]&gt;=79,"Distinction",IF(Table2[[#This Row],[Avg_score]]&gt;=60,"Pass","Fail"))</f>
        <v>Fail</v>
      </c>
      <c r="T826" t="s">
        <v>39</v>
      </c>
      <c r="U826">
        <f>IF(Table2[[#This Row],[Completed]]="Yes",1,0)</f>
        <v>1</v>
      </c>
      <c r="V826" t="s">
        <v>40</v>
      </c>
      <c r="W826" t="s">
        <v>39</v>
      </c>
      <c r="X826" s="4">
        <v>45838</v>
      </c>
    </row>
    <row r="827" spans="1:24" x14ac:dyDescent="0.3">
      <c r="A827">
        <v>826</v>
      </c>
      <c r="B827" s="8">
        <v>276</v>
      </c>
      <c r="C827">
        <v>1</v>
      </c>
      <c r="D827" t="s">
        <v>19</v>
      </c>
      <c r="E827" t="s">
        <v>22</v>
      </c>
      <c r="F827">
        <v>34</v>
      </c>
      <c r="G827" t="str">
        <f>IF(Table2[[#This Row],[Age]]&gt;=30,"Experienced",IF(Table2[[#This Row],[Age]]&gt;=25,"Mid Level", "Entry Level"))</f>
        <v>Experienced</v>
      </c>
      <c r="H827" t="s">
        <v>26</v>
      </c>
      <c r="I827" t="s">
        <v>32</v>
      </c>
      <c r="J827" s="4">
        <v>45747</v>
      </c>
      <c r="K827" s="4" t="str">
        <f>TEXT(Table2[[#This Row],[Enrollment_date]],"Mmm")</f>
        <v>Mar</v>
      </c>
      <c r="L827" s="4" t="str">
        <f>TEXT(Table2[[#This Row],[Enrollment_date]],"Ddd")</f>
        <v>Mon</v>
      </c>
      <c r="M827" s="4" t="s">
        <v>34</v>
      </c>
      <c r="N827" t="s">
        <v>35</v>
      </c>
      <c r="O827" t="s">
        <v>38</v>
      </c>
      <c r="P827" s="8">
        <v>4</v>
      </c>
      <c r="Q827" s="6">
        <v>0.8125</v>
      </c>
      <c r="R827" s="6">
        <v>89.5</v>
      </c>
      <c r="S827" s="6" t="str">
        <f>IF(Table2[[#This Row],[Avg_score]]&gt;=79,"Distinction",IF(Table2[[#This Row],[Avg_score]]&gt;=60,"Pass","Fail"))</f>
        <v>Distinction</v>
      </c>
      <c r="T827" t="s">
        <v>39</v>
      </c>
      <c r="U827">
        <f>IF(Table2[[#This Row],[Completed]]="Yes",1,0)</f>
        <v>1</v>
      </c>
      <c r="V827" t="s">
        <v>39</v>
      </c>
      <c r="W827" t="s">
        <v>39</v>
      </c>
      <c r="X827" s="4">
        <v>45838</v>
      </c>
    </row>
    <row r="828" spans="1:24" x14ac:dyDescent="0.3">
      <c r="A828">
        <v>827</v>
      </c>
      <c r="B828" s="8">
        <v>276</v>
      </c>
      <c r="C828">
        <v>2</v>
      </c>
      <c r="D828" t="s">
        <v>21</v>
      </c>
      <c r="E828" t="s">
        <v>22</v>
      </c>
      <c r="F828">
        <v>34</v>
      </c>
      <c r="G828" t="str">
        <f>IF(Table2[[#This Row],[Age]]&gt;=30,"Experienced",IF(Table2[[#This Row],[Age]]&gt;=25,"Mid Level", "Entry Level"))</f>
        <v>Experienced</v>
      </c>
      <c r="H828" t="s">
        <v>26</v>
      </c>
      <c r="I828" t="s">
        <v>32</v>
      </c>
      <c r="J828" s="4">
        <v>45747</v>
      </c>
      <c r="K828" s="4" t="str">
        <f>TEXT(Table2[[#This Row],[Enrollment_date]],"Mmm")</f>
        <v>Mar</v>
      </c>
      <c r="L828" s="4" t="str">
        <f>TEXT(Table2[[#This Row],[Enrollment_date]],"Ddd")</f>
        <v>Mon</v>
      </c>
      <c r="M828" s="4" t="s">
        <v>34</v>
      </c>
      <c r="N828" t="s">
        <v>36</v>
      </c>
      <c r="O828" t="s">
        <v>38</v>
      </c>
      <c r="P828" s="8">
        <v>4</v>
      </c>
      <c r="Q828" s="6">
        <v>0.83333333333333337</v>
      </c>
      <c r="R828" s="6">
        <v>69.5</v>
      </c>
      <c r="S828" s="6" t="str">
        <f>IF(Table2[[#This Row],[Avg_score]]&gt;=79,"Distinction",IF(Table2[[#This Row],[Avg_score]]&gt;=60,"Pass","Fail"))</f>
        <v>Pass</v>
      </c>
      <c r="T828" t="s">
        <v>39</v>
      </c>
      <c r="U828">
        <f>IF(Table2[[#This Row],[Completed]]="Yes",1,0)</f>
        <v>1</v>
      </c>
      <c r="V828" t="s">
        <v>39</v>
      </c>
      <c r="W828" t="s">
        <v>39</v>
      </c>
      <c r="X828" s="4">
        <v>45838</v>
      </c>
    </row>
    <row r="829" spans="1:24" x14ac:dyDescent="0.3">
      <c r="A829">
        <v>828</v>
      </c>
      <c r="B829" s="8">
        <v>276</v>
      </c>
      <c r="C829">
        <v>3</v>
      </c>
      <c r="D829" t="s">
        <v>19</v>
      </c>
      <c r="E829" t="s">
        <v>22</v>
      </c>
      <c r="F829">
        <v>34</v>
      </c>
      <c r="G829" t="str">
        <f>IF(Table2[[#This Row],[Age]]&gt;=30,"Experienced",IF(Table2[[#This Row],[Age]]&gt;=25,"Mid Level", "Entry Level"))</f>
        <v>Experienced</v>
      </c>
      <c r="H829" t="s">
        <v>26</v>
      </c>
      <c r="I829" t="s">
        <v>32</v>
      </c>
      <c r="J829" s="4">
        <v>45747</v>
      </c>
      <c r="K829" s="4" t="str">
        <f>TEXT(Table2[[#This Row],[Enrollment_date]],"Mmm")</f>
        <v>Mar</v>
      </c>
      <c r="L829" s="4" t="str">
        <f>TEXT(Table2[[#This Row],[Enrollment_date]],"Ddd")</f>
        <v>Mon</v>
      </c>
      <c r="M829" s="4" t="s">
        <v>34</v>
      </c>
      <c r="N829" t="s">
        <v>37</v>
      </c>
      <c r="O829" t="s">
        <v>38</v>
      </c>
      <c r="P829" s="8">
        <v>4</v>
      </c>
      <c r="Q829" s="6">
        <v>0.89583333333333337</v>
      </c>
      <c r="R829" s="6">
        <v>68</v>
      </c>
      <c r="S829" s="6" t="str">
        <f>IF(Table2[[#This Row],[Avg_score]]&gt;=79,"Distinction",IF(Table2[[#This Row],[Avg_score]]&gt;=60,"Pass","Fail"))</f>
        <v>Pass</v>
      </c>
      <c r="T829" t="s">
        <v>39</v>
      </c>
      <c r="U829">
        <f>IF(Table2[[#This Row],[Completed]]="Yes",1,0)</f>
        <v>1</v>
      </c>
      <c r="V829" t="s">
        <v>39</v>
      </c>
      <c r="W829" t="s">
        <v>39</v>
      </c>
      <c r="X829" s="4">
        <v>45838</v>
      </c>
    </row>
    <row r="830" spans="1:24" x14ac:dyDescent="0.3">
      <c r="A830">
        <v>829</v>
      </c>
      <c r="B830" s="8">
        <v>277</v>
      </c>
      <c r="C830">
        <v>1</v>
      </c>
      <c r="D830" t="s">
        <v>19</v>
      </c>
      <c r="E830" t="s">
        <v>23</v>
      </c>
      <c r="F830">
        <v>22</v>
      </c>
      <c r="G830" t="str">
        <f>IF(Table2[[#This Row],[Age]]&gt;=30,"Experienced",IF(Table2[[#This Row],[Age]]&gt;=25,"Mid Level", "Entry Level"))</f>
        <v>Entry Level</v>
      </c>
      <c r="H830" t="s">
        <v>28</v>
      </c>
      <c r="I830" t="s">
        <v>68</v>
      </c>
      <c r="J830" s="4">
        <v>45695</v>
      </c>
      <c r="K830" s="4" t="str">
        <f>TEXT(Table2[[#This Row],[Enrollment_date]],"Mmm")</f>
        <v>Feb</v>
      </c>
      <c r="L830" s="4" t="str">
        <f>TEXT(Table2[[#This Row],[Enrollment_date]],"Ddd")</f>
        <v>Fri</v>
      </c>
      <c r="M830" s="4" t="s">
        <v>34</v>
      </c>
      <c r="N830" t="s">
        <v>35</v>
      </c>
      <c r="O830" t="s">
        <v>38</v>
      </c>
      <c r="P830" s="8">
        <v>4</v>
      </c>
      <c r="Q830" s="6">
        <v>0.875</v>
      </c>
      <c r="R830" s="6">
        <v>60</v>
      </c>
      <c r="S830" s="6" t="str">
        <f>IF(Table2[[#This Row],[Avg_score]]&gt;=79,"Distinction",IF(Table2[[#This Row],[Avg_score]]&gt;=60,"Pass","Fail"))</f>
        <v>Pass</v>
      </c>
      <c r="T830" t="s">
        <v>40</v>
      </c>
      <c r="U830">
        <f>IF(Table2[[#This Row],[Completed]]="Yes",1,0)</f>
        <v>0</v>
      </c>
      <c r="V830" t="s">
        <v>40</v>
      </c>
      <c r="W830" t="s">
        <v>40</v>
      </c>
      <c r="X830" s="4">
        <v>45838</v>
      </c>
    </row>
    <row r="831" spans="1:24" x14ac:dyDescent="0.3">
      <c r="A831">
        <v>830</v>
      </c>
      <c r="B831" s="8">
        <v>277</v>
      </c>
      <c r="C831">
        <v>2</v>
      </c>
      <c r="D831" t="s">
        <v>20</v>
      </c>
      <c r="E831" t="s">
        <v>23</v>
      </c>
      <c r="F831">
        <v>22</v>
      </c>
      <c r="G831" t="str">
        <f>IF(Table2[[#This Row],[Age]]&gt;=30,"Experienced",IF(Table2[[#This Row],[Age]]&gt;=25,"Mid Level", "Entry Level"))</f>
        <v>Entry Level</v>
      </c>
      <c r="H831" t="s">
        <v>28</v>
      </c>
      <c r="I831" t="s">
        <v>68</v>
      </c>
      <c r="J831" s="4">
        <v>45695</v>
      </c>
      <c r="K831" s="4" t="str">
        <f>TEXT(Table2[[#This Row],[Enrollment_date]],"Mmm")</f>
        <v>Feb</v>
      </c>
      <c r="L831" s="4" t="str">
        <f>TEXT(Table2[[#This Row],[Enrollment_date]],"Ddd")</f>
        <v>Fri</v>
      </c>
      <c r="M831" s="4" t="s">
        <v>34</v>
      </c>
      <c r="N831" t="s">
        <v>36</v>
      </c>
      <c r="O831" t="s">
        <v>38</v>
      </c>
      <c r="P831" s="8">
        <v>4</v>
      </c>
      <c r="Q831" s="6">
        <v>0.89583333333333337</v>
      </c>
      <c r="R831" s="6">
        <v>90.5</v>
      </c>
      <c r="S831" s="6" t="str">
        <f>IF(Table2[[#This Row],[Avg_score]]&gt;=79,"Distinction",IF(Table2[[#This Row],[Avg_score]]&gt;=60,"Pass","Fail"))</f>
        <v>Distinction</v>
      </c>
      <c r="T831" t="s">
        <v>40</v>
      </c>
      <c r="U831">
        <f>IF(Table2[[#This Row],[Completed]]="Yes",1,0)</f>
        <v>0</v>
      </c>
      <c r="V831" t="s">
        <v>40</v>
      </c>
      <c r="W831" t="s">
        <v>40</v>
      </c>
      <c r="X831" s="4">
        <v>45838</v>
      </c>
    </row>
    <row r="832" spans="1:24" x14ac:dyDescent="0.3">
      <c r="A832">
        <v>831</v>
      </c>
      <c r="B832" s="8">
        <v>277</v>
      </c>
      <c r="C832">
        <v>3</v>
      </c>
      <c r="D832" t="s">
        <v>19</v>
      </c>
      <c r="E832" t="s">
        <v>23</v>
      </c>
      <c r="F832">
        <v>22</v>
      </c>
      <c r="G832" t="str">
        <f>IF(Table2[[#This Row],[Age]]&gt;=30,"Experienced",IF(Table2[[#This Row],[Age]]&gt;=25,"Mid Level", "Entry Level"))</f>
        <v>Entry Level</v>
      </c>
      <c r="H832" t="s">
        <v>28</v>
      </c>
      <c r="I832" t="s">
        <v>68</v>
      </c>
      <c r="J832" s="4">
        <v>45695</v>
      </c>
      <c r="K832" s="4" t="str">
        <f>TEXT(Table2[[#This Row],[Enrollment_date]],"Mmm")</f>
        <v>Feb</v>
      </c>
      <c r="L832" s="4" t="str">
        <f>TEXT(Table2[[#This Row],[Enrollment_date]],"Ddd")</f>
        <v>Fri</v>
      </c>
      <c r="M832" s="4" t="s">
        <v>34</v>
      </c>
      <c r="N832" t="s">
        <v>37</v>
      </c>
      <c r="O832" t="s">
        <v>38</v>
      </c>
      <c r="P832" s="8">
        <v>4</v>
      </c>
      <c r="Q832" s="6">
        <v>0.8125</v>
      </c>
      <c r="R832" s="6">
        <v>79</v>
      </c>
      <c r="S832" s="6" t="str">
        <f>IF(Table2[[#This Row],[Avg_score]]&gt;=79,"Distinction",IF(Table2[[#This Row],[Avg_score]]&gt;=60,"Pass","Fail"))</f>
        <v>Distinction</v>
      </c>
      <c r="T832" t="s">
        <v>40</v>
      </c>
      <c r="U832">
        <f>IF(Table2[[#This Row],[Completed]]="Yes",1,0)</f>
        <v>0</v>
      </c>
      <c r="V832" t="s">
        <v>40</v>
      </c>
      <c r="W832" t="s">
        <v>40</v>
      </c>
      <c r="X832" s="4">
        <v>45838</v>
      </c>
    </row>
    <row r="833" spans="1:24" x14ac:dyDescent="0.3">
      <c r="A833">
        <v>832</v>
      </c>
      <c r="B833" s="8">
        <v>278</v>
      </c>
      <c r="C833">
        <v>1</v>
      </c>
      <c r="D833" t="s">
        <v>19</v>
      </c>
      <c r="E833" t="s">
        <v>23</v>
      </c>
      <c r="F833">
        <v>24</v>
      </c>
      <c r="G833" t="str">
        <f>IF(Table2[[#This Row],[Age]]&gt;=30,"Experienced",IF(Table2[[#This Row],[Age]]&gt;=25,"Mid Level", "Entry Level"))</f>
        <v>Entry Level</v>
      </c>
      <c r="H833" t="s">
        <v>28</v>
      </c>
      <c r="I833" t="s">
        <v>32</v>
      </c>
      <c r="J833" s="4">
        <v>45677</v>
      </c>
      <c r="K833" s="4" t="str">
        <f>TEXT(Table2[[#This Row],[Enrollment_date]],"Mmm")</f>
        <v>Jan</v>
      </c>
      <c r="L833" s="4" t="str">
        <f>TEXT(Table2[[#This Row],[Enrollment_date]],"Ddd")</f>
        <v>Mon</v>
      </c>
      <c r="M833" s="4" t="s">
        <v>34</v>
      </c>
      <c r="N833" t="s">
        <v>35</v>
      </c>
      <c r="O833" t="s">
        <v>38</v>
      </c>
      <c r="P833" s="8">
        <v>4</v>
      </c>
      <c r="Q833" s="6">
        <v>0.83333333333333337</v>
      </c>
      <c r="R833" s="6">
        <v>67</v>
      </c>
      <c r="S833" s="6" t="str">
        <f>IF(Table2[[#This Row],[Avg_score]]&gt;=79,"Distinction",IF(Table2[[#This Row],[Avg_score]]&gt;=60,"Pass","Fail"))</f>
        <v>Pass</v>
      </c>
      <c r="T833" t="s">
        <v>39</v>
      </c>
      <c r="U833">
        <f>IF(Table2[[#This Row],[Completed]]="Yes",1,0)</f>
        <v>1</v>
      </c>
      <c r="V833" t="s">
        <v>39</v>
      </c>
      <c r="W833" t="s">
        <v>40</v>
      </c>
      <c r="X833" s="4">
        <v>45838</v>
      </c>
    </row>
    <row r="834" spans="1:24" x14ac:dyDescent="0.3">
      <c r="A834">
        <v>833</v>
      </c>
      <c r="B834" s="8">
        <v>278</v>
      </c>
      <c r="C834">
        <v>2</v>
      </c>
      <c r="D834" t="s">
        <v>19</v>
      </c>
      <c r="E834" t="s">
        <v>23</v>
      </c>
      <c r="F834">
        <v>24</v>
      </c>
      <c r="G834" t="str">
        <f>IF(Table2[[#This Row],[Age]]&gt;=30,"Experienced",IF(Table2[[#This Row],[Age]]&gt;=25,"Mid Level", "Entry Level"))</f>
        <v>Entry Level</v>
      </c>
      <c r="H834" t="s">
        <v>28</v>
      </c>
      <c r="I834" t="s">
        <v>32</v>
      </c>
      <c r="J834" s="4">
        <v>45677</v>
      </c>
      <c r="K834" s="4" t="str">
        <f>TEXT(Table2[[#This Row],[Enrollment_date]],"Mmm")</f>
        <v>Jan</v>
      </c>
      <c r="L834" s="4" t="str">
        <f>TEXT(Table2[[#This Row],[Enrollment_date]],"Ddd")</f>
        <v>Mon</v>
      </c>
      <c r="M834" s="4" t="s">
        <v>34</v>
      </c>
      <c r="N834" t="s">
        <v>36</v>
      </c>
      <c r="O834" t="s">
        <v>38</v>
      </c>
      <c r="P834" s="8">
        <v>4</v>
      </c>
      <c r="Q834" s="6">
        <v>0.8125</v>
      </c>
      <c r="R834" s="6">
        <v>74.5</v>
      </c>
      <c r="S834" s="6" t="str">
        <f>IF(Table2[[#This Row],[Avg_score]]&gt;=79,"Distinction",IF(Table2[[#This Row],[Avg_score]]&gt;=60,"Pass","Fail"))</f>
        <v>Pass</v>
      </c>
      <c r="T834" t="s">
        <v>39</v>
      </c>
      <c r="U834">
        <f>IF(Table2[[#This Row],[Completed]]="Yes",1,0)</f>
        <v>1</v>
      </c>
      <c r="V834" t="s">
        <v>39</v>
      </c>
      <c r="W834" t="s">
        <v>40</v>
      </c>
      <c r="X834" s="4">
        <v>45838</v>
      </c>
    </row>
    <row r="835" spans="1:24" x14ac:dyDescent="0.3">
      <c r="A835">
        <v>834</v>
      </c>
      <c r="B835" s="8">
        <v>278</v>
      </c>
      <c r="C835">
        <v>3</v>
      </c>
      <c r="D835" t="s">
        <v>19</v>
      </c>
      <c r="E835" t="s">
        <v>23</v>
      </c>
      <c r="F835">
        <v>24</v>
      </c>
      <c r="G835" t="str">
        <f>IF(Table2[[#This Row],[Age]]&gt;=30,"Experienced",IF(Table2[[#This Row],[Age]]&gt;=25,"Mid Level", "Entry Level"))</f>
        <v>Entry Level</v>
      </c>
      <c r="H835" t="s">
        <v>28</v>
      </c>
      <c r="I835" t="s">
        <v>32</v>
      </c>
      <c r="J835" s="4">
        <v>45677</v>
      </c>
      <c r="K835" s="4" t="str">
        <f>TEXT(Table2[[#This Row],[Enrollment_date]],"Mmm")</f>
        <v>Jan</v>
      </c>
      <c r="L835" s="4" t="str">
        <f>TEXT(Table2[[#This Row],[Enrollment_date]],"Ddd")</f>
        <v>Mon</v>
      </c>
      <c r="M835" s="4" t="s">
        <v>34</v>
      </c>
      <c r="N835" t="s">
        <v>37</v>
      </c>
      <c r="O835" t="s">
        <v>38</v>
      </c>
      <c r="P835" s="8">
        <v>4</v>
      </c>
      <c r="Q835" s="6">
        <v>0.8125</v>
      </c>
      <c r="R835" s="6">
        <v>85.5</v>
      </c>
      <c r="S835" s="6" t="str">
        <f>IF(Table2[[#This Row],[Avg_score]]&gt;=79,"Distinction",IF(Table2[[#This Row],[Avg_score]]&gt;=60,"Pass","Fail"))</f>
        <v>Distinction</v>
      </c>
      <c r="T835" t="s">
        <v>39</v>
      </c>
      <c r="U835">
        <f>IF(Table2[[#This Row],[Completed]]="Yes",1,0)</f>
        <v>1</v>
      </c>
      <c r="V835" t="s">
        <v>39</v>
      </c>
      <c r="W835" t="s">
        <v>40</v>
      </c>
      <c r="X835" s="4">
        <v>45838</v>
      </c>
    </row>
    <row r="836" spans="1:24" x14ac:dyDescent="0.3">
      <c r="A836">
        <v>835</v>
      </c>
      <c r="B836" s="8">
        <v>279</v>
      </c>
      <c r="C836">
        <v>1</v>
      </c>
      <c r="D836" t="s">
        <v>19</v>
      </c>
      <c r="E836" t="s">
        <v>22</v>
      </c>
      <c r="F836">
        <v>33</v>
      </c>
      <c r="G836" t="str">
        <f>IF(Table2[[#This Row],[Age]]&gt;=30,"Experienced",IF(Table2[[#This Row],[Age]]&gt;=25,"Mid Level", "Entry Level"))</f>
        <v>Experienced</v>
      </c>
      <c r="H836" t="s">
        <v>27</v>
      </c>
      <c r="I836" t="s">
        <v>44</v>
      </c>
      <c r="J836" s="4">
        <v>45802</v>
      </c>
      <c r="K836" s="4" t="str">
        <f>TEXT(Table2[[#This Row],[Enrollment_date]],"Mmm")</f>
        <v>May</v>
      </c>
      <c r="L836" s="4" t="str">
        <f>TEXT(Table2[[#This Row],[Enrollment_date]],"Ddd")</f>
        <v>Sun</v>
      </c>
      <c r="M836" s="4" t="s">
        <v>34</v>
      </c>
      <c r="N836" t="s">
        <v>35</v>
      </c>
      <c r="O836" t="s">
        <v>38</v>
      </c>
      <c r="P836" s="8">
        <v>4</v>
      </c>
      <c r="Q836" s="6">
        <v>0.85416666666666663</v>
      </c>
      <c r="R836" s="6">
        <v>54.5</v>
      </c>
      <c r="S836" s="6" t="str">
        <f>IF(Table2[[#This Row],[Avg_score]]&gt;=79,"Distinction",IF(Table2[[#This Row],[Avg_score]]&gt;=60,"Pass","Fail"))</f>
        <v>Fail</v>
      </c>
      <c r="T836" t="s">
        <v>39</v>
      </c>
      <c r="U836">
        <f>IF(Table2[[#This Row],[Completed]]="Yes",1,0)</f>
        <v>1</v>
      </c>
      <c r="V836" t="s">
        <v>39</v>
      </c>
      <c r="W836" t="s">
        <v>40</v>
      </c>
      <c r="X836" s="4">
        <v>45838</v>
      </c>
    </row>
    <row r="837" spans="1:24" x14ac:dyDescent="0.3">
      <c r="A837">
        <v>836</v>
      </c>
      <c r="B837" s="8">
        <v>279</v>
      </c>
      <c r="C837">
        <v>2</v>
      </c>
      <c r="D837" t="s">
        <v>19</v>
      </c>
      <c r="E837" t="s">
        <v>22</v>
      </c>
      <c r="F837">
        <v>33</v>
      </c>
      <c r="G837" t="str">
        <f>IF(Table2[[#This Row],[Age]]&gt;=30,"Experienced",IF(Table2[[#This Row],[Age]]&gt;=25,"Mid Level", "Entry Level"))</f>
        <v>Experienced</v>
      </c>
      <c r="H837" t="s">
        <v>27</v>
      </c>
      <c r="I837" t="s">
        <v>44</v>
      </c>
      <c r="J837" s="4">
        <v>45802</v>
      </c>
      <c r="K837" s="4" t="str">
        <f>TEXT(Table2[[#This Row],[Enrollment_date]],"Mmm")</f>
        <v>May</v>
      </c>
      <c r="L837" s="4" t="str">
        <f>TEXT(Table2[[#This Row],[Enrollment_date]],"Ddd")</f>
        <v>Sun</v>
      </c>
      <c r="M837" s="4" t="s">
        <v>34</v>
      </c>
      <c r="N837" t="s">
        <v>36</v>
      </c>
      <c r="O837" t="s">
        <v>38</v>
      </c>
      <c r="P837" s="8">
        <v>4</v>
      </c>
      <c r="Q837" s="6">
        <v>0.77083333333333337</v>
      </c>
      <c r="R837" s="6">
        <v>65</v>
      </c>
      <c r="S837" s="6" t="str">
        <f>IF(Table2[[#This Row],[Avg_score]]&gt;=79,"Distinction",IF(Table2[[#This Row],[Avg_score]]&gt;=60,"Pass","Fail"))</f>
        <v>Pass</v>
      </c>
      <c r="T837" t="s">
        <v>39</v>
      </c>
      <c r="U837">
        <f>IF(Table2[[#This Row],[Completed]]="Yes",1,0)</f>
        <v>1</v>
      </c>
      <c r="V837" t="s">
        <v>39</v>
      </c>
      <c r="W837" t="s">
        <v>40</v>
      </c>
      <c r="X837" s="4">
        <v>45838</v>
      </c>
    </row>
    <row r="838" spans="1:24" x14ac:dyDescent="0.3">
      <c r="A838">
        <v>837</v>
      </c>
      <c r="B838" s="8">
        <v>279</v>
      </c>
      <c r="C838">
        <v>3</v>
      </c>
      <c r="D838" t="s">
        <v>19</v>
      </c>
      <c r="E838" t="s">
        <v>22</v>
      </c>
      <c r="F838">
        <v>33</v>
      </c>
      <c r="G838" t="str">
        <f>IF(Table2[[#This Row],[Age]]&gt;=30,"Experienced",IF(Table2[[#This Row],[Age]]&gt;=25,"Mid Level", "Entry Level"))</f>
        <v>Experienced</v>
      </c>
      <c r="H838" t="s">
        <v>27</v>
      </c>
      <c r="I838" t="s">
        <v>44</v>
      </c>
      <c r="J838" s="4">
        <v>45802</v>
      </c>
      <c r="K838" s="4" t="str">
        <f>TEXT(Table2[[#This Row],[Enrollment_date]],"Mmm")</f>
        <v>May</v>
      </c>
      <c r="L838" s="4" t="str">
        <f>TEXT(Table2[[#This Row],[Enrollment_date]],"Ddd")</f>
        <v>Sun</v>
      </c>
      <c r="M838" s="4" t="s">
        <v>34</v>
      </c>
      <c r="N838" t="s">
        <v>37</v>
      </c>
      <c r="O838" t="s">
        <v>38</v>
      </c>
      <c r="P838" s="8">
        <v>4</v>
      </c>
      <c r="Q838" s="6">
        <v>0.83333333333333337</v>
      </c>
      <c r="R838" s="6">
        <v>93</v>
      </c>
      <c r="S838" s="6" t="str">
        <f>IF(Table2[[#This Row],[Avg_score]]&gt;=79,"Distinction",IF(Table2[[#This Row],[Avg_score]]&gt;=60,"Pass","Fail"))</f>
        <v>Distinction</v>
      </c>
      <c r="T838" t="s">
        <v>39</v>
      </c>
      <c r="U838">
        <f>IF(Table2[[#This Row],[Completed]]="Yes",1,0)</f>
        <v>1</v>
      </c>
      <c r="V838" t="s">
        <v>39</v>
      </c>
      <c r="W838" t="s">
        <v>40</v>
      </c>
      <c r="X838" s="4">
        <v>45838</v>
      </c>
    </row>
    <row r="839" spans="1:24" x14ac:dyDescent="0.3">
      <c r="A839">
        <v>838</v>
      </c>
      <c r="B839" s="8">
        <v>280</v>
      </c>
      <c r="C839">
        <v>1</v>
      </c>
      <c r="D839" t="s">
        <v>21</v>
      </c>
      <c r="E839" t="s">
        <v>23</v>
      </c>
      <c r="F839">
        <v>28</v>
      </c>
      <c r="G839" t="str">
        <f>IF(Table2[[#This Row],[Age]]&gt;=30,"Experienced",IF(Table2[[#This Row],[Age]]&gt;=25,"Mid Level", "Entry Level"))</f>
        <v>Mid Level</v>
      </c>
      <c r="H839" t="s">
        <v>28</v>
      </c>
      <c r="I839" t="s">
        <v>44</v>
      </c>
      <c r="J839" s="4">
        <v>45675</v>
      </c>
      <c r="K839" s="4" t="str">
        <f>TEXT(Table2[[#This Row],[Enrollment_date]],"Mmm")</f>
        <v>Jan</v>
      </c>
      <c r="L839" s="4" t="str">
        <f>TEXT(Table2[[#This Row],[Enrollment_date]],"Ddd")</f>
        <v>Sat</v>
      </c>
      <c r="M839" s="4" t="s">
        <v>34</v>
      </c>
      <c r="N839" t="s">
        <v>35</v>
      </c>
      <c r="O839" t="s">
        <v>38</v>
      </c>
      <c r="P839" s="8">
        <v>4</v>
      </c>
      <c r="Q839" s="6">
        <v>0.85416666666666663</v>
      </c>
      <c r="R839" s="6">
        <v>80</v>
      </c>
      <c r="S839" s="6" t="str">
        <f>IF(Table2[[#This Row],[Avg_score]]&gt;=79,"Distinction",IF(Table2[[#This Row],[Avg_score]]&gt;=60,"Pass","Fail"))</f>
        <v>Distinction</v>
      </c>
      <c r="T839" t="s">
        <v>39</v>
      </c>
      <c r="U839">
        <f>IF(Table2[[#This Row],[Completed]]="Yes",1,0)</f>
        <v>1</v>
      </c>
      <c r="V839" t="s">
        <v>40</v>
      </c>
      <c r="W839" t="s">
        <v>40</v>
      </c>
      <c r="X839" s="4">
        <v>45838</v>
      </c>
    </row>
    <row r="840" spans="1:24" x14ac:dyDescent="0.3">
      <c r="A840">
        <v>839</v>
      </c>
      <c r="B840" s="8">
        <v>280</v>
      </c>
      <c r="C840">
        <v>2</v>
      </c>
      <c r="D840" t="s">
        <v>21</v>
      </c>
      <c r="E840" t="s">
        <v>23</v>
      </c>
      <c r="F840">
        <v>28</v>
      </c>
      <c r="G840" t="str">
        <f>IF(Table2[[#This Row],[Age]]&gt;=30,"Experienced",IF(Table2[[#This Row],[Age]]&gt;=25,"Mid Level", "Entry Level"))</f>
        <v>Mid Level</v>
      </c>
      <c r="H840" t="s">
        <v>28</v>
      </c>
      <c r="I840" t="s">
        <v>44</v>
      </c>
      <c r="J840" s="4">
        <v>45675</v>
      </c>
      <c r="K840" s="4" t="str">
        <f>TEXT(Table2[[#This Row],[Enrollment_date]],"Mmm")</f>
        <v>Jan</v>
      </c>
      <c r="L840" s="4" t="str">
        <f>TEXT(Table2[[#This Row],[Enrollment_date]],"Ddd")</f>
        <v>Sat</v>
      </c>
      <c r="M840" s="4" t="s">
        <v>34</v>
      </c>
      <c r="N840" t="s">
        <v>36</v>
      </c>
      <c r="O840" t="s">
        <v>38</v>
      </c>
      <c r="P840" s="8">
        <v>4</v>
      </c>
      <c r="Q840" s="6">
        <v>0.89583333333333337</v>
      </c>
      <c r="R840" s="6">
        <v>58</v>
      </c>
      <c r="S840" s="6" t="str">
        <f>IF(Table2[[#This Row],[Avg_score]]&gt;=79,"Distinction",IF(Table2[[#This Row],[Avg_score]]&gt;=60,"Pass","Fail"))</f>
        <v>Fail</v>
      </c>
      <c r="T840" t="s">
        <v>39</v>
      </c>
      <c r="U840">
        <f>IF(Table2[[#This Row],[Completed]]="Yes",1,0)</f>
        <v>1</v>
      </c>
      <c r="V840" t="s">
        <v>40</v>
      </c>
      <c r="W840" t="s">
        <v>40</v>
      </c>
      <c r="X840" s="4">
        <v>45838</v>
      </c>
    </row>
    <row r="841" spans="1:24" x14ac:dyDescent="0.3">
      <c r="A841">
        <v>840</v>
      </c>
      <c r="B841" s="8">
        <v>280</v>
      </c>
      <c r="C841">
        <v>3</v>
      </c>
      <c r="D841" t="s">
        <v>21</v>
      </c>
      <c r="E841" t="s">
        <v>23</v>
      </c>
      <c r="F841">
        <v>28</v>
      </c>
      <c r="G841" t="str">
        <f>IF(Table2[[#This Row],[Age]]&gt;=30,"Experienced",IF(Table2[[#This Row],[Age]]&gt;=25,"Mid Level", "Entry Level"))</f>
        <v>Mid Level</v>
      </c>
      <c r="H841" t="s">
        <v>28</v>
      </c>
      <c r="I841" t="s">
        <v>44</v>
      </c>
      <c r="J841" s="4">
        <v>45675</v>
      </c>
      <c r="K841" s="4" t="str">
        <f>TEXT(Table2[[#This Row],[Enrollment_date]],"Mmm")</f>
        <v>Jan</v>
      </c>
      <c r="L841" s="4" t="str">
        <f>TEXT(Table2[[#This Row],[Enrollment_date]],"Ddd")</f>
        <v>Sat</v>
      </c>
      <c r="M841" s="4" t="s">
        <v>34</v>
      </c>
      <c r="N841" t="s">
        <v>37</v>
      </c>
      <c r="O841" t="s">
        <v>38</v>
      </c>
      <c r="P841" s="8">
        <v>4</v>
      </c>
      <c r="Q841" s="6">
        <v>0.77083333333333337</v>
      </c>
      <c r="R841" s="6">
        <v>59</v>
      </c>
      <c r="S841" s="6" t="str">
        <f>IF(Table2[[#This Row],[Avg_score]]&gt;=79,"Distinction",IF(Table2[[#This Row],[Avg_score]]&gt;=60,"Pass","Fail"))</f>
        <v>Fail</v>
      </c>
      <c r="T841" t="s">
        <v>39</v>
      </c>
      <c r="U841">
        <f>IF(Table2[[#This Row],[Completed]]="Yes",1,0)</f>
        <v>1</v>
      </c>
      <c r="V841" t="s">
        <v>40</v>
      </c>
      <c r="W841" t="s">
        <v>40</v>
      </c>
      <c r="X841" s="4">
        <v>45838</v>
      </c>
    </row>
    <row r="842" spans="1:24" x14ac:dyDescent="0.3">
      <c r="A842">
        <v>841</v>
      </c>
      <c r="B842" s="8">
        <v>281</v>
      </c>
      <c r="C842">
        <v>1</v>
      </c>
      <c r="D842" t="s">
        <v>19</v>
      </c>
      <c r="E842" t="s">
        <v>23</v>
      </c>
      <c r="F842">
        <v>32</v>
      </c>
      <c r="G842" t="str">
        <f>IF(Table2[[#This Row],[Age]]&gt;=30,"Experienced",IF(Table2[[#This Row],[Age]]&gt;=25,"Mid Level", "Entry Level"))</f>
        <v>Experienced</v>
      </c>
      <c r="H842" t="s">
        <v>24</v>
      </c>
      <c r="I842" t="s">
        <v>30</v>
      </c>
      <c r="J842" s="4">
        <v>45728</v>
      </c>
      <c r="K842" s="4" t="str">
        <f>TEXT(Table2[[#This Row],[Enrollment_date]],"Mmm")</f>
        <v>Mar</v>
      </c>
      <c r="L842" s="4" t="str">
        <f>TEXT(Table2[[#This Row],[Enrollment_date]],"Ddd")</f>
        <v>Wed</v>
      </c>
      <c r="M842" s="4" t="s">
        <v>34</v>
      </c>
      <c r="N842" t="s">
        <v>35</v>
      </c>
      <c r="O842" t="s">
        <v>38</v>
      </c>
      <c r="P842" s="8">
        <v>4</v>
      </c>
      <c r="Q842" s="6">
        <v>0.8125</v>
      </c>
      <c r="R842" s="6">
        <v>74</v>
      </c>
      <c r="S842" s="6" t="str">
        <f>IF(Table2[[#This Row],[Avg_score]]&gt;=79,"Distinction",IF(Table2[[#This Row],[Avg_score]]&gt;=60,"Pass","Fail"))</f>
        <v>Pass</v>
      </c>
      <c r="T842" t="s">
        <v>39</v>
      </c>
      <c r="U842">
        <f>IF(Table2[[#This Row],[Completed]]="Yes",1,0)</f>
        <v>1</v>
      </c>
      <c r="V842" t="s">
        <v>39</v>
      </c>
      <c r="W842" t="s">
        <v>40</v>
      </c>
      <c r="X842" s="4">
        <v>45838</v>
      </c>
    </row>
    <row r="843" spans="1:24" x14ac:dyDescent="0.3">
      <c r="A843">
        <v>842</v>
      </c>
      <c r="B843" s="8">
        <v>281</v>
      </c>
      <c r="C843">
        <v>2</v>
      </c>
      <c r="D843" t="s">
        <v>19</v>
      </c>
      <c r="E843" t="s">
        <v>23</v>
      </c>
      <c r="F843">
        <v>32</v>
      </c>
      <c r="G843" t="str">
        <f>IF(Table2[[#This Row],[Age]]&gt;=30,"Experienced",IF(Table2[[#This Row],[Age]]&gt;=25,"Mid Level", "Entry Level"))</f>
        <v>Experienced</v>
      </c>
      <c r="H843" t="s">
        <v>24</v>
      </c>
      <c r="I843" t="s">
        <v>30</v>
      </c>
      <c r="J843" s="4">
        <v>45728</v>
      </c>
      <c r="K843" s="4" t="str">
        <f>TEXT(Table2[[#This Row],[Enrollment_date]],"Mmm")</f>
        <v>Mar</v>
      </c>
      <c r="L843" s="4" t="str">
        <f>TEXT(Table2[[#This Row],[Enrollment_date]],"Ddd")</f>
        <v>Wed</v>
      </c>
      <c r="M843" s="4" t="s">
        <v>34</v>
      </c>
      <c r="N843" t="s">
        <v>36</v>
      </c>
      <c r="O843" t="s">
        <v>38</v>
      </c>
      <c r="P843" s="8">
        <v>4</v>
      </c>
      <c r="Q843" s="6">
        <v>0.91666666666666663</v>
      </c>
      <c r="R843" s="6">
        <v>73.5</v>
      </c>
      <c r="S843" s="6" t="str">
        <f>IF(Table2[[#This Row],[Avg_score]]&gt;=79,"Distinction",IF(Table2[[#This Row],[Avg_score]]&gt;=60,"Pass","Fail"))</f>
        <v>Pass</v>
      </c>
      <c r="T843" t="s">
        <v>39</v>
      </c>
      <c r="U843">
        <f>IF(Table2[[#This Row],[Completed]]="Yes",1,0)</f>
        <v>1</v>
      </c>
      <c r="V843" t="s">
        <v>39</v>
      </c>
      <c r="W843" t="s">
        <v>40</v>
      </c>
      <c r="X843" s="4">
        <v>45838</v>
      </c>
    </row>
    <row r="844" spans="1:24" x14ac:dyDescent="0.3">
      <c r="A844">
        <v>843</v>
      </c>
      <c r="B844" s="8">
        <v>281</v>
      </c>
      <c r="C844">
        <v>3</v>
      </c>
      <c r="D844" t="s">
        <v>19</v>
      </c>
      <c r="E844" t="s">
        <v>23</v>
      </c>
      <c r="F844">
        <v>32</v>
      </c>
      <c r="G844" t="str">
        <f>IF(Table2[[#This Row],[Age]]&gt;=30,"Experienced",IF(Table2[[#This Row],[Age]]&gt;=25,"Mid Level", "Entry Level"))</f>
        <v>Experienced</v>
      </c>
      <c r="H844" t="s">
        <v>24</v>
      </c>
      <c r="I844" t="s">
        <v>30</v>
      </c>
      <c r="J844" s="4">
        <v>45728</v>
      </c>
      <c r="K844" s="4" t="str">
        <f>TEXT(Table2[[#This Row],[Enrollment_date]],"Mmm")</f>
        <v>Mar</v>
      </c>
      <c r="L844" s="4" t="str">
        <f>TEXT(Table2[[#This Row],[Enrollment_date]],"Ddd")</f>
        <v>Wed</v>
      </c>
      <c r="M844" s="4" t="s">
        <v>34</v>
      </c>
      <c r="N844" t="s">
        <v>37</v>
      </c>
      <c r="O844" t="s">
        <v>38</v>
      </c>
      <c r="P844" s="8">
        <v>4</v>
      </c>
      <c r="Q844" s="6">
        <v>0.875</v>
      </c>
      <c r="R844" s="6">
        <v>82.5</v>
      </c>
      <c r="S844" s="6" t="str">
        <f>IF(Table2[[#This Row],[Avg_score]]&gt;=79,"Distinction",IF(Table2[[#This Row],[Avg_score]]&gt;=60,"Pass","Fail"))</f>
        <v>Distinction</v>
      </c>
      <c r="T844" t="s">
        <v>39</v>
      </c>
      <c r="U844">
        <f>IF(Table2[[#This Row],[Completed]]="Yes",1,0)</f>
        <v>1</v>
      </c>
      <c r="V844" t="s">
        <v>39</v>
      </c>
      <c r="W844" t="s">
        <v>40</v>
      </c>
      <c r="X844" s="4">
        <v>45838</v>
      </c>
    </row>
    <row r="845" spans="1:24" x14ac:dyDescent="0.3">
      <c r="A845">
        <v>844</v>
      </c>
      <c r="B845" s="8">
        <v>282</v>
      </c>
      <c r="C845">
        <v>1</v>
      </c>
      <c r="D845" t="s">
        <v>19</v>
      </c>
      <c r="E845" t="s">
        <v>22</v>
      </c>
      <c r="F845">
        <v>29</v>
      </c>
      <c r="G845" t="str">
        <f>IF(Table2[[#This Row],[Age]]&gt;=30,"Experienced",IF(Table2[[#This Row],[Age]]&gt;=25,"Mid Level", "Entry Level"))</f>
        <v>Mid Level</v>
      </c>
      <c r="H845" t="s">
        <v>26</v>
      </c>
      <c r="I845" t="s">
        <v>68</v>
      </c>
      <c r="J845" s="4">
        <v>45737</v>
      </c>
      <c r="K845" s="4" t="str">
        <f>TEXT(Table2[[#This Row],[Enrollment_date]],"Mmm")</f>
        <v>Mar</v>
      </c>
      <c r="L845" s="4" t="str">
        <f>TEXT(Table2[[#This Row],[Enrollment_date]],"Ddd")</f>
        <v>Fri</v>
      </c>
      <c r="M845" s="4" t="s">
        <v>34</v>
      </c>
      <c r="N845" t="s">
        <v>35</v>
      </c>
      <c r="O845" t="s">
        <v>38</v>
      </c>
      <c r="P845" s="8">
        <v>4</v>
      </c>
      <c r="Q845" s="6">
        <v>0.77083333333333337</v>
      </c>
      <c r="R845" s="6">
        <v>78</v>
      </c>
      <c r="S845" s="6" t="str">
        <f>IF(Table2[[#This Row],[Avg_score]]&gt;=79,"Distinction",IF(Table2[[#This Row],[Avg_score]]&gt;=60,"Pass","Fail"))</f>
        <v>Pass</v>
      </c>
      <c r="T845" t="s">
        <v>39</v>
      </c>
      <c r="U845">
        <f>IF(Table2[[#This Row],[Completed]]="Yes",1,0)</f>
        <v>1</v>
      </c>
      <c r="V845" t="s">
        <v>40</v>
      </c>
      <c r="W845" t="s">
        <v>40</v>
      </c>
      <c r="X845" s="4">
        <v>45838</v>
      </c>
    </row>
    <row r="846" spans="1:24" x14ac:dyDescent="0.3">
      <c r="A846">
        <v>845</v>
      </c>
      <c r="B846" s="8">
        <v>282</v>
      </c>
      <c r="C846">
        <v>2</v>
      </c>
      <c r="D846" t="s">
        <v>21</v>
      </c>
      <c r="E846" t="s">
        <v>22</v>
      </c>
      <c r="F846">
        <v>29</v>
      </c>
      <c r="G846" t="str">
        <f>IF(Table2[[#This Row],[Age]]&gt;=30,"Experienced",IF(Table2[[#This Row],[Age]]&gt;=25,"Mid Level", "Entry Level"))</f>
        <v>Mid Level</v>
      </c>
      <c r="H846" t="s">
        <v>26</v>
      </c>
      <c r="I846" t="s">
        <v>68</v>
      </c>
      <c r="J846" s="4">
        <v>45737</v>
      </c>
      <c r="K846" s="4" t="str">
        <f>TEXT(Table2[[#This Row],[Enrollment_date]],"Mmm")</f>
        <v>Mar</v>
      </c>
      <c r="L846" s="4" t="str">
        <f>TEXT(Table2[[#This Row],[Enrollment_date]],"Ddd")</f>
        <v>Fri</v>
      </c>
      <c r="M846" s="4" t="s">
        <v>34</v>
      </c>
      <c r="N846" t="s">
        <v>36</v>
      </c>
      <c r="O846" t="s">
        <v>38</v>
      </c>
      <c r="P846" s="8">
        <v>4</v>
      </c>
      <c r="Q846" s="6">
        <v>0.8125</v>
      </c>
      <c r="R846" s="6">
        <v>81</v>
      </c>
      <c r="S846" s="6" t="str">
        <f>IF(Table2[[#This Row],[Avg_score]]&gt;=79,"Distinction",IF(Table2[[#This Row],[Avg_score]]&gt;=60,"Pass","Fail"))</f>
        <v>Distinction</v>
      </c>
      <c r="T846" t="s">
        <v>39</v>
      </c>
      <c r="U846">
        <f>IF(Table2[[#This Row],[Completed]]="Yes",1,0)</f>
        <v>1</v>
      </c>
      <c r="V846" t="s">
        <v>40</v>
      </c>
      <c r="W846" t="s">
        <v>40</v>
      </c>
      <c r="X846" s="4">
        <v>45838</v>
      </c>
    </row>
    <row r="847" spans="1:24" x14ac:dyDescent="0.3">
      <c r="A847">
        <v>846</v>
      </c>
      <c r="B847" s="8">
        <v>282</v>
      </c>
      <c r="C847">
        <v>3</v>
      </c>
      <c r="D847" t="s">
        <v>19</v>
      </c>
      <c r="E847" t="s">
        <v>22</v>
      </c>
      <c r="F847">
        <v>29</v>
      </c>
      <c r="G847" t="str">
        <f>IF(Table2[[#This Row],[Age]]&gt;=30,"Experienced",IF(Table2[[#This Row],[Age]]&gt;=25,"Mid Level", "Entry Level"))</f>
        <v>Mid Level</v>
      </c>
      <c r="H847" t="s">
        <v>26</v>
      </c>
      <c r="I847" t="s">
        <v>68</v>
      </c>
      <c r="J847" s="4">
        <v>45737</v>
      </c>
      <c r="K847" s="4" t="str">
        <f>TEXT(Table2[[#This Row],[Enrollment_date]],"Mmm")</f>
        <v>Mar</v>
      </c>
      <c r="L847" s="4" t="str">
        <f>TEXT(Table2[[#This Row],[Enrollment_date]],"Ddd")</f>
        <v>Fri</v>
      </c>
      <c r="M847" s="4" t="s">
        <v>34</v>
      </c>
      <c r="N847" t="s">
        <v>37</v>
      </c>
      <c r="O847" t="s">
        <v>38</v>
      </c>
      <c r="P847" s="8">
        <v>4</v>
      </c>
      <c r="Q847" s="6">
        <v>0.91666666666666663</v>
      </c>
      <c r="R847" s="6">
        <v>69.5</v>
      </c>
      <c r="S847" s="6" t="str">
        <f>IF(Table2[[#This Row],[Avg_score]]&gt;=79,"Distinction",IF(Table2[[#This Row],[Avg_score]]&gt;=60,"Pass","Fail"))</f>
        <v>Pass</v>
      </c>
      <c r="T847" t="s">
        <v>39</v>
      </c>
      <c r="U847">
        <f>IF(Table2[[#This Row],[Completed]]="Yes",1,0)</f>
        <v>1</v>
      </c>
      <c r="V847" t="s">
        <v>40</v>
      </c>
      <c r="W847" t="s">
        <v>40</v>
      </c>
      <c r="X847" s="4">
        <v>45838</v>
      </c>
    </row>
    <row r="848" spans="1:24" x14ac:dyDescent="0.3">
      <c r="A848">
        <v>847</v>
      </c>
      <c r="B848" s="8">
        <v>283</v>
      </c>
      <c r="C848">
        <v>1</v>
      </c>
      <c r="D848" t="s">
        <v>19</v>
      </c>
      <c r="E848" t="s">
        <v>23</v>
      </c>
      <c r="F848">
        <v>32</v>
      </c>
      <c r="G848" t="str">
        <f>IF(Table2[[#This Row],[Age]]&gt;=30,"Experienced",IF(Table2[[#This Row],[Age]]&gt;=25,"Mid Level", "Entry Level"))</f>
        <v>Experienced</v>
      </c>
      <c r="H848" t="s">
        <v>25</v>
      </c>
      <c r="I848" t="s">
        <v>68</v>
      </c>
      <c r="J848" s="4">
        <v>45752</v>
      </c>
      <c r="K848" s="4" t="str">
        <f>TEXT(Table2[[#This Row],[Enrollment_date]],"Mmm")</f>
        <v>Apr</v>
      </c>
      <c r="L848" s="4" t="str">
        <f>TEXT(Table2[[#This Row],[Enrollment_date]],"Ddd")</f>
        <v>Sat</v>
      </c>
      <c r="M848" s="4" t="s">
        <v>34</v>
      </c>
      <c r="N848" t="s">
        <v>35</v>
      </c>
      <c r="O848" t="s">
        <v>38</v>
      </c>
      <c r="P848" s="8">
        <v>4</v>
      </c>
      <c r="Q848" s="6">
        <v>0.83333333333333337</v>
      </c>
      <c r="R848" s="6">
        <v>68.5</v>
      </c>
      <c r="S848" s="6" t="str">
        <f>IF(Table2[[#This Row],[Avg_score]]&gt;=79,"Distinction",IF(Table2[[#This Row],[Avg_score]]&gt;=60,"Pass","Fail"))</f>
        <v>Pass</v>
      </c>
      <c r="T848" t="s">
        <v>39</v>
      </c>
      <c r="U848">
        <f>IF(Table2[[#This Row],[Completed]]="Yes",1,0)</f>
        <v>1</v>
      </c>
      <c r="V848" t="s">
        <v>40</v>
      </c>
      <c r="W848" t="s">
        <v>40</v>
      </c>
      <c r="X848" s="4">
        <v>45838</v>
      </c>
    </row>
    <row r="849" spans="1:24" x14ac:dyDescent="0.3">
      <c r="A849">
        <v>848</v>
      </c>
      <c r="B849" s="8">
        <v>283</v>
      </c>
      <c r="C849">
        <v>2</v>
      </c>
      <c r="D849" t="s">
        <v>20</v>
      </c>
      <c r="E849" t="s">
        <v>23</v>
      </c>
      <c r="F849">
        <v>32</v>
      </c>
      <c r="G849" t="str">
        <f>IF(Table2[[#This Row],[Age]]&gt;=30,"Experienced",IF(Table2[[#This Row],[Age]]&gt;=25,"Mid Level", "Entry Level"))</f>
        <v>Experienced</v>
      </c>
      <c r="H849" t="s">
        <v>25</v>
      </c>
      <c r="I849" t="s">
        <v>68</v>
      </c>
      <c r="J849" s="4">
        <v>45752</v>
      </c>
      <c r="K849" s="4" t="str">
        <f>TEXT(Table2[[#This Row],[Enrollment_date]],"Mmm")</f>
        <v>Apr</v>
      </c>
      <c r="L849" s="4" t="str">
        <f>TEXT(Table2[[#This Row],[Enrollment_date]],"Ddd")</f>
        <v>Sat</v>
      </c>
      <c r="M849" s="4" t="s">
        <v>34</v>
      </c>
      <c r="N849" t="s">
        <v>36</v>
      </c>
      <c r="O849" t="s">
        <v>38</v>
      </c>
      <c r="P849" s="8">
        <v>4</v>
      </c>
      <c r="Q849" s="6">
        <v>0.875</v>
      </c>
      <c r="R849" s="6">
        <v>82.5</v>
      </c>
      <c r="S849" s="6" t="str">
        <f>IF(Table2[[#This Row],[Avg_score]]&gt;=79,"Distinction",IF(Table2[[#This Row],[Avg_score]]&gt;=60,"Pass","Fail"))</f>
        <v>Distinction</v>
      </c>
      <c r="T849" t="s">
        <v>39</v>
      </c>
      <c r="U849">
        <f>IF(Table2[[#This Row],[Completed]]="Yes",1,0)</f>
        <v>1</v>
      </c>
      <c r="V849" t="s">
        <v>40</v>
      </c>
      <c r="W849" t="s">
        <v>40</v>
      </c>
      <c r="X849" s="4">
        <v>45838</v>
      </c>
    </row>
    <row r="850" spans="1:24" x14ac:dyDescent="0.3">
      <c r="A850">
        <v>849</v>
      </c>
      <c r="B850" s="8">
        <v>283</v>
      </c>
      <c r="C850">
        <v>3</v>
      </c>
      <c r="D850" t="s">
        <v>20</v>
      </c>
      <c r="E850" t="s">
        <v>23</v>
      </c>
      <c r="F850">
        <v>32</v>
      </c>
      <c r="G850" t="str">
        <f>IF(Table2[[#This Row],[Age]]&gt;=30,"Experienced",IF(Table2[[#This Row],[Age]]&gt;=25,"Mid Level", "Entry Level"))</f>
        <v>Experienced</v>
      </c>
      <c r="H850" t="s">
        <v>25</v>
      </c>
      <c r="I850" t="s">
        <v>68</v>
      </c>
      <c r="J850" s="4">
        <v>45752</v>
      </c>
      <c r="K850" s="4" t="str">
        <f>TEXT(Table2[[#This Row],[Enrollment_date]],"Mmm")</f>
        <v>Apr</v>
      </c>
      <c r="L850" s="4" t="str">
        <f>TEXT(Table2[[#This Row],[Enrollment_date]],"Ddd")</f>
        <v>Sat</v>
      </c>
      <c r="M850" s="4" t="s">
        <v>34</v>
      </c>
      <c r="N850" t="s">
        <v>37</v>
      </c>
      <c r="O850" t="s">
        <v>38</v>
      </c>
      <c r="P850" s="8">
        <v>4</v>
      </c>
      <c r="Q850" s="6">
        <v>0.875</v>
      </c>
      <c r="R850" s="6">
        <v>53.5</v>
      </c>
      <c r="S850" s="6" t="str">
        <f>IF(Table2[[#This Row],[Avg_score]]&gt;=79,"Distinction",IF(Table2[[#This Row],[Avg_score]]&gt;=60,"Pass","Fail"))</f>
        <v>Fail</v>
      </c>
      <c r="T850" t="s">
        <v>39</v>
      </c>
      <c r="U850">
        <f>IF(Table2[[#This Row],[Completed]]="Yes",1,0)</f>
        <v>1</v>
      </c>
      <c r="V850" t="s">
        <v>40</v>
      </c>
      <c r="W850" t="s">
        <v>40</v>
      </c>
      <c r="X850" s="4">
        <v>45838</v>
      </c>
    </row>
    <row r="851" spans="1:24" x14ac:dyDescent="0.3">
      <c r="A851">
        <v>850</v>
      </c>
      <c r="B851" s="8">
        <v>284</v>
      </c>
      <c r="C851">
        <v>1</v>
      </c>
      <c r="D851" t="s">
        <v>19</v>
      </c>
      <c r="E851" t="s">
        <v>23</v>
      </c>
      <c r="F851">
        <v>20</v>
      </c>
      <c r="G851" t="str">
        <f>IF(Table2[[#This Row],[Age]]&gt;=30,"Experienced",IF(Table2[[#This Row],[Age]]&gt;=25,"Mid Level", "Entry Level"))</f>
        <v>Entry Level</v>
      </c>
      <c r="H851" t="s">
        <v>24</v>
      </c>
      <c r="I851" t="s">
        <v>68</v>
      </c>
      <c r="J851" s="4">
        <v>45787</v>
      </c>
      <c r="K851" s="4" t="str">
        <f>TEXT(Table2[[#This Row],[Enrollment_date]],"Mmm")</f>
        <v>May</v>
      </c>
      <c r="L851" s="4" t="str">
        <f>TEXT(Table2[[#This Row],[Enrollment_date]],"Ddd")</f>
        <v>Sat</v>
      </c>
      <c r="M851" s="4" t="s">
        <v>34</v>
      </c>
      <c r="N851" t="s">
        <v>35</v>
      </c>
      <c r="O851" t="s">
        <v>38</v>
      </c>
      <c r="P851" s="8">
        <v>4</v>
      </c>
      <c r="Q851" s="6">
        <v>0.89583333333333337</v>
      </c>
      <c r="R851" s="6">
        <v>84</v>
      </c>
      <c r="S851" s="6" t="str">
        <f>IF(Table2[[#This Row],[Avg_score]]&gt;=79,"Distinction",IF(Table2[[#This Row],[Avg_score]]&gt;=60,"Pass","Fail"))</f>
        <v>Distinction</v>
      </c>
      <c r="T851" t="s">
        <v>39</v>
      </c>
      <c r="U851">
        <f>IF(Table2[[#This Row],[Completed]]="Yes",1,0)</f>
        <v>1</v>
      </c>
      <c r="V851" t="s">
        <v>39</v>
      </c>
      <c r="W851" t="s">
        <v>40</v>
      </c>
      <c r="X851" s="4">
        <v>45838</v>
      </c>
    </row>
    <row r="852" spans="1:24" x14ac:dyDescent="0.3">
      <c r="A852">
        <v>851</v>
      </c>
      <c r="B852" s="8">
        <v>284</v>
      </c>
      <c r="C852">
        <v>2</v>
      </c>
      <c r="D852" t="s">
        <v>19</v>
      </c>
      <c r="E852" t="s">
        <v>23</v>
      </c>
      <c r="F852">
        <v>20</v>
      </c>
      <c r="G852" t="str">
        <f>IF(Table2[[#This Row],[Age]]&gt;=30,"Experienced",IF(Table2[[#This Row],[Age]]&gt;=25,"Mid Level", "Entry Level"))</f>
        <v>Entry Level</v>
      </c>
      <c r="H852" t="s">
        <v>24</v>
      </c>
      <c r="I852" t="s">
        <v>68</v>
      </c>
      <c r="J852" s="4">
        <v>45787</v>
      </c>
      <c r="K852" s="4" t="str">
        <f>TEXT(Table2[[#This Row],[Enrollment_date]],"Mmm")</f>
        <v>May</v>
      </c>
      <c r="L852" s="4" t="str">
        <f>TEXT(Table2[[#This Row],[Enrollment_date]],"Ddd")</f>
        <v>Sat</v>
      </c>
      <c r="M852" s="4" t="s">
        <v>34</v>
      </c>
      <c r="N852" t="s">
        <v>36</v>
      </c>
      <c r="O852" t="s">
        <v>38</v>
      </c>
      <c r="P852" s="8">
        <v>4</v>
      </c>
      <c r="Q852" s="6">
        <v>0.75</v>
      </c>
      <c r="R852" s="6">
        <v>78</v>
      </c>
      <c r="S852" s="6" t="str">
        <f>IF(Table2[[#This Row],[Avg_score]]&gt;=79,"Distinction",IF(Table2[[#This Row],[Avg_score]]&gt;=60,"Pass","Fail"))</f>
        <v>Pass</v>
      </c>
      <c r="T852" t="s">
        <v>39</v>
      </c>
      <c r="U852">
        <f>IF(Table2[[#This Row],[Completed]]="Yes",1,0)</f>
        <v>1</v>
      </c>
      <c r="V852" t="s">
        <v>39</v>
      </c>
      <c r="W852" t="s">
        <v>40</v>
      </c>
      <c r="X852" s="4">
        <v>45838</v>
      </c>
    </row>
    <row r="853" spans="1:24" x14ac:dyDescent="0.3">
      <c r="A853">
        <v>852</v>
      </c>
      <c r="B853" s="8">
        <v>284</v>
      </c>
      <c r="C853">
        <v>3</v>
      </c>
      <c r="D853" t="s">
        <v>19</v>
      </c>
      <c r="E853" t="s">
        <v>23</v>
      </c>
      <c r="F853">
        <v>20</v>
      </c>
      <c r="G853" t="str">
        <f>IF(Table2[[#This Row],[Age]]&gt;=30,"Experienced",IF(Table2[[#This Row],[Age]]&gt;=25,"Mid Level", "Entry Level"))</f>
        <v>Entry Level</v>
      </c>
      <c r="H853" t="s">
        <v>24</v>
      </c>
      <c r="I853" t="s">
        <v>68</v>
      </c>
      <c r="J853" s="4">
        <v>45787</v>
      </c>
      <c r="K853" s="4" t="str">
        <f>TEXT(Table2[[#This Row],[Enrollment_date]],"Mmm")</f>
        <v>May</v>
      </c>
      <c r="L853" s="4" t="str">
        <f>TEXT(Table2[[#This Row],[Enrollment_date]],"Ddd")</f>
        <v>Sat</v>
      </c>
      <c r="M853" s="4" t="s">
        <v>34</v>
      </c>
      <c r="N853" t="s">
        <v>37</v>
      </c>
      <c r="O853" t="s">
        <v>38</v>
      </c>
      <c r="P853" s="8">
        <v>4</v>
      </c>
      <c r="Q853" s="6">
        <v>0.91666666666666663</v>
      </c>
      <c r="R853" s="6">
        <v>70</v>
      </c>
      <c r="S853" s="6" t="str">
        <f>IF(Table2[[#This Row],[Avg_score]]&gt;=79,"Distinction",IF(Table2[[#This Row],[Avg_score]]&gt;=60,"Pass","Fail"))</f>
        <v>Pass</v>
      </c>
      <c r="T853" t="s">
        <v>39</v>
      </c>
      <c r="U853">
        <f>IF(Table2[[#This Row],[Completed]]="Yes",1,0)</f>
        <v>1</v>
      </c>
      <c r="V853" t="s">
        <v>39</v>
      </c>
      <c r="W853" t="s">
        <v>40</v>
      </c>
      <c r="X853" s="4">
        <v>45838</v>
      </c>
    </row>
    <row r="854" spans="1:24" x14ac:dyDescent="0.3">
      <c r="A854">
        <v>853</v>
      </c>
      <c r="B854" s="8">
        <v>285</v>
      </c>
      <c r="C854">
        <v>1</v>
      </c>
      <c r="D854" t="s">
        <v>19</v>
      </c>
      <c r="E854" t="s">
        <v>23</v>
      </c>
      <c r="F854">
        <v>32</v>
      </c>
      <c r="G854" t="str">
        <f>IF(Table2[[#This Row],[Age]]&gt;=30,"Experienced",IF(Table2[[#This Row],[Age]]&gt;=25,"Mid Level", "Entry Level"))</f>
        <v>Experienced</v>
      </c>
      <c r="H854" t="s">
        <v>26</v>
      </c>
      <c r="I854" t="s">
        <v>68</v>
      </c>
      <c r="J854" s="4">
        <v>45773</v>
      </c>
      <c r="K854" s="4" t="str">
        <f>TEXT(Table2[[#This Row],[Enrollment_date]],"Mmm")</f>
        <v>Apr</v>
      </c>
      <c r="L854" s="4" t="str">
        <f>TEXT(Table2[[#This Row],[Enrollment_date]],"Ddd")</f>
        <v>Sat</v>
      </c>
      <c r="M854" s="4" t="s">
        <v>34</v>
      </c>
      <c r="N854" t="s">
        <v>35</v>
      </c>
      <c r="O854" t="s">
        <v>38</v>
      </c>
      <c r="P854" s="8">
        <v>4</v>
      </c>
      <c r="Q854" s="6">
        <v>0.85416666666666663</v>
      </c>
      <c r="R854" s="6">
        <v>79.5</v>
      </c>
      <c r="S854" s="6" t="str">
        <f>IF(Table2[[#This Row],[Avg_score]]&gt;=79,"Distinction",IF(Table2[[#This Row],[Avg_score]]&gt;=60,"Pass","Fail"))</f>
        <v>Distinction</v>
      </c>
      <c r="T854" t="s">
        <v>39</v>
      </c>
      <c r="U854">
        <f>IF(Table2[[#This Row],[Completed]]="Yes",1,0)</f>
        <v>1</v>
      </c>
      <c r="V854" t="s">
        <v>39</v>
      </c>
      <c r="W854" t="s">
        <v>40</v>
      </c>
      <c r="X854" s="4">
        <v>45838</v>
      </c>
    </row>
    <row r="855" spans="1:24" x14ac:dyDescent="0.3">
      <c r="A855">
        <v>854</v>
      </c>
      <c r="B855" s="8">
        <v>285</v>
      </c>
      <c r="C855">
        <v>2</v>
      </c>
      <c r="D855" t="s">
        <v>19</v>
      </c>
      <c r="E855" t="s">
        <v>23</v>
      </c>
      <c r="F855">
        <v>32</v>
      </c>
      <c r="G855" t="str">
        <f>IF(Table2[[#This Row],[Age]]&gt;=30,"Experienced",IF(Table2[[#This Row],[Age]]&gt;=25,"Mid Level", "Entry Level"))</f>
        <v>Experienced</v>
      </c>
      <c r="H855" t="s">
        <v>26</v>
      </c>
      <c r="I855" t="s">
        <v>68</v>
      </c>
      <c r="J855" s="4">
        <v>45773</v>
      </c>
      <c r="K855" s="4" t="str">
        <f>TEXT(Table2[[#This Row],[Enrollment_date]],"Mmm")</f>
        <v>Apr</v>
      </c>
      <c r="L855" s="4" t="str">
        <f>TEXT(Table2[[#This Row],[Enrollment_date]],"Ddd")</f>
        <v>Sat</v>
      </c>
      <c r="M855" s="4" t="s">
        <v>34</v>
      </c>
      <c r="N855" t="s">
        <v>36</v>
      </c>
      <c r="O855" t="s">
        <v>38</v>
      </c>
      <c r="P855" s="8">
        <v>4</v>
      </c>
      <c r="Q855" s="6">
        <v>0.89583333333333337</v>
      </c>
      <c r="R855" s="6">
        <v>53.5</v>
      </c>
      <c r="S855" s="6" t="str">
        <f>IF(Table2[[#This Row],[Avg_score]]&gt;=79,"Distinction",IF(Table2[[#This Row],[Avg_score]]&gt;=60,"Pass","Fail"))</f>
        <v>Fail</v>
      </c>
      <c r="T855" t="s">
        <v>39</v>
      </c>
      <c r="U855">
        <f>IF(Table2[[#This Row],[Completed]]="Yes",1,0)</f>
        <v>1</v>
      </c>
      <c r="V855" t="s">
        <v>39</v>
      </c>
      <c r="W855" t="s">
        <v>40</v>
      </c>
      <c r="X855" s="4">
        <v>45838</v>
      </c>
    </row>
    <row r="856" spans="1:24" x14ac:dyDescent="0.3">
      <c r="A856">
        <v>855</v>
      </c>
      <c r="B856" s="8">
        <v>285</v>
      </c>
      <c r="C856">
        <v>3</v>
      </c>
      <c r="D856" t="s">
        <v>20</v>
      </c>
      <c r="E856" t="s">
        <v>23</v>
      </c>
      <c r="F856">
        <v>32</v>
      </c>
      <c r="G856" t="str">
        <f>IF(Table2[[#This Row],[Age]]&gt;=30,"Experienced",IF(Table2[[#This Row],[Age]]&gt;=25,"Mid Level", "Entry Level"))</f>
        <v>Experienced</v>
      </c>
      <c r="H856" t="s">
        <v>26</v>
      </c>
      <c r="I856" t="s">
        <v>68</v>
      </c>
      <c r="J856" s="4">
        <v>45773</v>
      </c>
      <c r="K856" s="4" t="str">
        <f>TEXT(Table2[[#This Row],[Enrollment_date]],"Mmm")</f>
        <v>Apr</v>
      </c>
      <c r="L856" s="4" t="str">
        <f>TEXT(Table2[[#This Row],[Enrollment_date]],"Ddd")</f>
        <v>Sat</v>
      </c>
      <c r="M856" s="4" t="s">
        <v>34</v>
      </c>
      <c r="N856" t="s">
        <v>37</v>
      </c>
      <c r="O856" t="s">
        <v>38</v>
      </c>
      <c r="P856" s="8">
        <v>4</v>
      </c>
      <c r="Q856" s="6">
        <v>0.83333333333333337</v>
      </c>
      <c r="R856" s="6">
        <v>60.5</v>
      </c>
      <c r="S856" s="6" t="str">
        <f>IF(Table2[[#This Row],[Avg_score]]&gt;=79,"Distinction",IF(Table2[[#This Row],[Avg_score]]&gt;=60,"Pass","Fail"))</f>
        <v>Pass</v>
      </c>
      <c r="T856" t="s">
        <v>39</v>
      </c>
      <c r="U856">
        <f>IF(Table2[[#This Row],[Completed]]="Yes",1,0)</f>
        <v>1</v>
      </c>
      <c r="V856" t="s">
        <v>39</v>
      </c>
      <c r="W856" t="s">
        <v>40</v>
      </c>
      <c r="X856" s="4">
        <v>45838</v>
      </c>
    </row>
    <row r="857" spans="1:24" x14ac:dyDescent="0.3">
      <c r="A857">
        <v>856</v>
      </c>
      <c r="B857" s="8">
        <v>286</v>
      </c>
      <c r="C857">
        <v>1</v>
      </c>
      <c r="D857" t="s">
        <v>20</v>
      </c>
      <c r="E857" t="s">
        <v>22</v>
      </c>
      <c r="F857">
        <v>28</v>
      </c>
      <c r="G857" t="str">
        <f>IF(Table2[[#This Row],[Age]]&gt;=30,"Experienced",IF(Table2[[#This Row],[Age]]&gt;=25,"Mid Level", "Entry Level"))</f>
        <v>Mid Level</v>
      </c>
      <c r="H857" t="s">
        <v>26</v>
      </c>
      <c r="I857" t="s">
        <v>44</v>
      </c>
      <c r="J857" s="4">
        <v>45786</v>
      </c>
      <c r="K857" s="4" t="str">
        <f>TEXT(Table2[[#This Row],[Enrollment_date]],"Mmm")</f>
        <v>May</v>
      </c>
      <c r="L857" s="4" t="str">
        <f>TEXT(Table2[[#This Row],[Enrollment_date]],"Ddd")</f>
        <v>Fri</v>
      </c>
      <c r="M857" s="4" t="s">
        <v>34</v>
      </c>
      <c r="N857" t="s">
        <v>35</v>
      </c>
      <c r="O857" t="s">
        <v>38</v>
      </c>
      <c r="P857" s="8">
        <v>4</v>
      </c>
      <c r="Q857" s="6">
        <v>0.75</v>
      </c>
      <c r="R857" s="6">
        <v>67</v>
      </c>
      <c r="S857" s="6" t="str">
        <f>IF(Table2[[#This Row],[Avg_score]]&gt;=79,"Distinction",IF(Table2[[#This Row],[Avg_score]]&gt;=60,"Pass","Fail"))</f>
        <v>Pass</v>
      </c>
      <c r="T857" t="s">
        <v>40</v>
      </c>
      <c r="U857">
        <f>IF(Table2[[#This Row],[Completed]]="Yes",1,0)</f>
        <v>0</v>
      </c>
      <c r="V857" t="s">
        <v>40</v>
      </c>
      <c r="W857" t="s">
        <v>40</v>
      </c>
      <c r="X857" s="4">
        <v>45838</v>
      </c>
    </row>
    <row r="858" spans="1:24" x14ac:dyDescent="0.3">
      <c r="A858">
        <v>857</v>
      </c>
      <c r="B858" s="8">
        <v>286</v>
      </c>
      <c r="C858">
        <v>2</v>
      </c>
      <c r="D858" t="s">
        <v>20</v>
      </c>
      <c r="E858" t="s">
        <v>22</v>
      </c>
      <c r="F858">
        <v>28</v>
      </c>
      <c r="G858" t="str">
        <f>IF(Table2[[#This Row],[Age]]&gt;=30,"Experienced",IF(Table2[[#This Row],[Age]]&gt;=25,"Mid Level", "Entry Level"))</f>
        <v>Mid Level</v>
      </c>
      <c r="H858" t="s">
        <v>26</v>
      </c>
      <c r="I858" t="s">
        <v>44</v>
      </c>
      <c r="J858" s="4">
        <v>45786</v>
      </c>
      <c r="K858" s="4" t="str">
        <f>TEXT(Table2[[#This Row],[Enrollment_date]],"Mmm")</f>
        <v>May</v>
      </c>
      <c r="L858" s="4" t="str">
        <f>TEXT(Table2[[#This Row],[Enrollment_date]],"Ddd")</f>
        <v>Fri</v>
      </c>
      <c r="M858" s="4" t="s">
        <v>34</v>
      </c>
      <c r="N858" t="s">
        <v>36</v>
      </c>
      <c r="O858" t="s">
        <v>38</v>
      </c>
      <c r="P858" s="8">
        <v>4</v>
      </c>
      <c r="Q858" s="6">
        <v>0.83333333333333337</v>
      </c>
      <c r="R858" s="6">
        <v>73</v>
      </c>
      <c r="S858" s="6" t="str">
        <f>IF(Table2[[#This Row],[Avg_score]]&gt;=79,"Distinction",IF(Table2[[#This Row],[Avg_score]]&gt;=60,"Pass","Fail"))</f>
        <v>Pass</v>
      </c>
      <c r="T858" t="s">
        <v>40</v>
      </c>
      <c r="U858">
        <f>IF(Table2[[#This Row],[Completed]]="Yes",1,0)</f>
        <v>0</v>
      </c>
      <c r="V858" t="s">
        <v>40</v>
      </c>
      <c r="W858" t="s">
        <v>40</v>
      </c>
      <c r="X858" s="4">
        <v>45838</v>
      </c>
    </row>
    <row r="859" spans="1:24" x14ac:dyDescent="0.3">
      <c r="A859">
        <v>858</v>
      </c>
      <c r="B859" s="8">
        <v>286</v>
      </c>
      <c r="C859">
        <v>3</v>
      </c>
      <c r="D859" t="s">
        <v>19</v>
      </c>
      <c r="E859" t="s">
        <v>22</v>
      </c>
      <c r="F859">
        <v>28</v>
      </c>
      <c r="G859" t="str">
        <f>IF(Table2[[#This Row],[Age]]&gt;=30,"Experienced",IF(Table2[[#This Row],[Age]]&gt;=25,"Mid Level", "Entry Level"))</f>
        <v>Mid Level</v>
      </c>
      <c r="H859" t="s">
        <v>26</v>
      </c>
      <c r="I859" t="s">
        <v>44</v>
      </c>
      <c r="J859" s="4">
        <v>45786</v>
      </c>
      <c r="K859" s="4" t="str">
        <f>TEXT(Table2[[#This Row],[Enrollment_date]],"Mmm")</f>
        <v>May</v>
      </c>
      <c r="L859" s="4" t="str">
        <f>TEXT(Table2[[#This Row],[Enrollment_date]],"Ddd")</f>
        <v>Fri</v>
      </c>
      <c r="M859" s="4" t="s">
        <v>34</v>
      </c>
      <c r="N859" t="s">
        <v>37</v>
      </c>
      <c r="O859" t="s">
        <v>38</v>
      </c>
      <c r="P859" s="8">
        <v>4</v>
      </c>
      <c r="Q859" s="6">
        <v>0.72916666666666663</v>
      </c>
      <c r="R859" s="6">
        <v>87</v>
      </c>
      <c r="S859" s="6" t="str">
        <f>IF(Table2[[#This Row],[Avg_score]]&gt;=79,"Distinction",IF(Table2[[#This Row],[Avg_score]]&gt;=60,"Pass","Fail"))</f>
        <v>Distinction</v>
      </c>
      <c r="T859" t="s">
        <v>40</v>
      </c>
      <c r="U859">
        <f>IF(Table2[[#This Row],[Completed]]="Yes",1,0)</f>
        <v>0</v>
      </c>
      <c r="V859" t="s">
        <v>40</v>
      </c>
      <c r="W859" t="s">
        <v>40</v>
      </c>
      <c r="X859" s="4">
        <v>45838</v>
      </c>
    </row>
    <row r="860" spans="1:24" x14ac:dyDescent="0.3">
      <c r="A860">
        <v>859</v>
      </c>
      <c r="B860" s="8">
        <v>287</v>
      </c>
      <c r="C860">
        <v>1</v>
      </c>
      <c r="D860" t="s">
        <v>21</v>
      </c>
      <c r="E860" t="s">
        <v>22</v>
      </c>
      <c r="F860">
        <v>19</v>
      </c>
      <c r="G860" t="str">
        <f>IF(Table2[[#This Row],[Age]]&gt;=30,"Experienced",IF(Table2[[#This Row],[Age]]&gt;=25,"Mid Level", "Entry Level"))</f>
        <v>Entry Level</v>
      </c>
      <c r="H860" t="s">
        <v>27</v>
      </c>
      <c r="I860" t="s">
        <v>68</v>
      </c>
      <c r="J860" s="4">
        <v>45745</v>
      </c>
      <c r="K860" s="4" t="str">
        <f>TEXT(Table2[[#This Row],[Enrollment_date]],"Mmm")</f>
        <v>Mar</v>
      </c>
      <c r="L860" s="4" t="str">
        <f>TEXT(Table2[[#This Row],[Enrollment_date]],"Ddd")</f>
        <v>Sat</v>
      </c>
      <c r="M860" s="4" t="s">
        <v>34</v>
      </c>
      <c r="N860" t="s">
        <v>35</v>
      </c>
      <c r="O860" t="s">
        <v>38</v>
      </c>
      <c r="P860" s="8">
        <v>4</v>
      </c>
      <c r="Q860" s="6">
        <v>0.83333333333333337</v>
      </c>
      <c r="R860" s="6">
        <v>85.5</v>
      </c>
      <c r="S860" s="6" t="str">
        <f>IF(Table2[[#This Row],[Avg_score]]&gt;=79,"Distinction",IF(Table2[[#This Row],[Avg_score]]&gt;=60,"Pass","Fail"))</f>
        <v>Distinction</v>
      </c>
      <c r="T860" t="s">
        <v>40</v>
      </c>
      <c r="U860">
        <f>IF(Table2[[#This Row],[Completed]]="Yes",1,0)</f>
        <v>0</v>
      </c>
      <c r="V860" t="s">
        <v>40</v>
      </c>
      <c r="W860" t="s">
        <v>40</v>
      </c>
      <c r="X860" s="4">
        <v>45838</v>
      </c>
    </row>
    <row r="861" spans="1:24" x14ac:dyDescent="0.3">
      <c r="A861">
        <v>860</v>
      </c>
      <c r="B861" s="8">
        <v>287</v>
      </c>
      <c r="C861">
        <v>2</v>
      </c>
      <c r="D861" t="s">
        <v>19</v>
      </c>
      <c r="E861" t="s">
        <v>22</v>
      </c>
      <c r="F861">
        <v>19</v>
      </c>
      <c r="G861" t="str">
        <f>IF(Table2[[#This Row],[Age]]&gt;=30,"Experienced",IF(Table2[[#This Row],[Age]]&gt;=25,"Mid Level", "Entry Level"))</f>
        <v>Entry Level</v>
      </c>
      <c r="H861" t="s">
        <v>27</v>
      </c>
      <c r="I861" t="s">
        <v>68</v>
      </c>
      <c r="J861" s="4">
        <v>45745</v>
      </c>
      <c r="K861" s="4" t="str">
        <f>TEXT(Table2[[#This Row],[Enrollment_date]],"Mmm")</f>
        <v>Mar</v>
      </c>
      <c r="L861" s="4" t="str">
        <f>TEXT(Table2[[#This Row],[Enrollment_date]],"Ddd")</f>
        <v>Sat</v>
      </c>
      <c r="M861" s="4" t="s">
        <v>34</v>
      </c>
      <c r="N861" t="s">
        <v>36</v>
      </c>
      <c r="O861" t="s">
        <v>38</v>
      </c>
      <c r="P861" s="8">
        <v>4</v>
      </c>
      <c r="Q861" s="6">
        <v>0.79166666666666663</v>
      </c>
      <c r="R861" s="6">
        <v>75.5</v>
      </c>
      <c r="S861" s="6" t="str">
        <f>IF(Table2[[#This Row],[Avg_score]]&gt;=79,"Distinction",IF(Table2[[#This Row],[Avg_score]]&gt;=60,"Pass","Fail"))</f>
        <v>Pass</v>
      </c>
      <c r="T861" t="s">
        <v>40</v>
      </c>
      <c r="U861">
        <f>IF(Table2[[#This Row],[Completed]]="Yes",1,0)</f>
        <v>0</v>
      </c>
      <c r="V861" t="s">
        <v>40</v>
      </c>
      <c r="W861" t="s">
        <v>40</v>
      </c>
      <c r="X861" s="4">
        <v>45838</v>
      </c>
    </row>
    <row r="862" spans="1:24" x14ac:dyDescent="0.3">
      <c r="A862">
        <v>861</v>
      </c>
      <c r="B862" s="8">
        <v>287</v>
      </c>
      <c r="C862">
        <v>3</v>
      </c>
      <c r="D862" t="s">
        <v>19</v>
      </c>
      <c r="E862" t="s">
        <v>22</v>
      </c>
      <c r="F862">
        <v>19</v>
      </c>
      <c r="G862" t="str">
        <f>IF(Table2[[#This Row],[Age]]&gt;=30,"Experienced",IF(Table2[[#This Row],[Age]]&gt;=25,"Mid Level", "Entry Level"))</f>
        <v>Entry Level</v>
      </c>
      <c r="H862" t="s">
        <v>27</v>
      </c>
      <c r="I862" t="s">
        <v>68</v>
      </c>
      <c r="J862" s="4">
        <v>45745</v>
      </c>
      <c r="K862" s="4" t="str">
        <f>TEXT(Table2[[#This Row],[Enrollment_date]],"Mmm")</f>
        <v>Mar</v>
      </c>
      <c r="L862" s="4" t="str">
        <f>TEXT(Table2[[#This Row],[Enrollment_date]],"Ddd")</f>
        <v>Sat</v>
      </c>
      <c r="M862" s="4" t="s">
        <v>34</v>
      </c>
      <c r="N862" t="s">
        <v>37</v>
      </c>
      <c r="O862" t="s">
        <v>38</v>
      </c>
      <c r="P862" s="8">
        <v>4</v>
      </c>
      <c r="Q862" s="6">
        <v>0.75</v>
      </c>
      <c r="R862" s="6">
        <v>69.5</v>
      </c>
      <c r="S862" s="6" t="str">
        <f>IF(Table2[[#This Row],[Avg_score]]&gt;=79,"Distinction",IF(Table2[[#This Row],[Avg_score]]&gt;=60,"Pass","Fail"))</f>
        <v>Pass</v>
      </c>
      <c r="T862" t="s">
        <v>40</v>
      </c>
      <c r="U862">
        <f>IF(Table2[[#This Row],[Completed]]="Yes",1,0)</f>
        <v>0</v>
      </c>
      <c r="V862" t="s">
        <v>40</v>
      </c>
      <c r="W862" t="s">
        <v>40</v>
      </c>
      <c r="X862" s="4">
        <v>45838</v>
      </c>
    </row>
    <row r="863" spans="1:24" x14ac:dyDescent="0.3">
      <c r="A863">
        <v>862</v>
      </c>
      <c r="B863" s="8">
        <v>288</v>
      </c>
      <c r="C863">
        <v>1</v>
      </c>
      <c r="D863" t="s">
        <v>21</v>
      </c>
      <c r="E863" t="s">
        <v>22</v>
      </c>
      <c r="F863">
        <v>34</v>
      </c>
      <c r="G863" t="str">
        <f>IF(Table2[[#This Row],[Age]]&gt;=30,"Experienced",IF(Table2[[#This Row],[Age]]&gt;=25,"Mid Level", "Entry Level"))</f>
        <v>Experienced</v>
      </c>
      <c r="H863" t="s">
        <v>24</v>
      </c>
      <c r="I863" t="s">
        <v>32</v>
      </c>
      <c r="J863" s="4">
        <v>45668</v>
      </c>
      <c r="K863" s="4" t="str">
        <f>TEXT(Table2[[#This Row],[Enrollment_date]],"Mmm")</f>
        <v>Jan</v>
      </c>
      <c r="L863" s="4" t="str">
        <f>TEXT(Table2[[#This Row],[Enrollment_date]],"Ddd")</f>
        <v>Sat</v>
      </c>
      <c r="M863" s="4" t="s">
        <v>34</v>
      </c>
      <c r="N863" t="s">
        <v>35</v>
      </c>
      <c r="O863" t="s">
        <v>38</v>
      </c>
      <c r="P863" s="8">
        <v>4</v>
      </c>
      <c r="Q863" s="6">
        <v>0.75</v>
      </c>
      <c r="R863" s="6">
        <v>81.5</v>
      </c>
      <c r="S863" s="6" t="str">
        <f>IF(Table2[[#This Row],[Avg_score]]&gt;=79,"Distinction",IF(Table2[[#This Row],[Avg_score]]&gt;=60,"Pass","Fail"))</f>
        <v>Distinction</v>
      </c>
      <c r="T863" t="s">
        <v>39</v>
      </c>
      <c r="U863">
        <f>IF(Table2[[#This Row],[Completed]]="Yes",1,0)</f>
        <v>1</v>
      </c>
      <c r="V863" t="s">
        <v>39</v>
      </c>
      <c r="W863" t="s">
        <v>39</v>
      </c>
      <c r="X863" s="4">
        <v>45838</v>
      </c>
    </row>
    <row r="864" spans="1:24" x14ac:dyDescent="0.3">
      <c r="A864">
        <v>863</v>
      </c>
      <c r="B864" s="8">
        <v>288</v>
      </c>
      <c r="C864">
        <v>2</v>
      </c>
      <c r="D864" t="s">
        <v>21</v>
      </c>
      <c r="E864" t="s">
        <v>22</v>
      </c>
      <c r="F864">
        <v>34</v>
      </c>
      <c r="G864" t="str">
        <f>IF(Table2[[#This Row],[Age]]&gt;=30,"Experienced",IF(Table2[[#This Row],[Age]]&gt;=25,"Mid Level", "Entry Level"))</f>
        <v>Experienced</v>
      </c>
      <c r="H864" t="s">
        <v>24</v>
      </c>
      <c r="I864" t="s">
        <v>32</v>
      </c>
      <c r="J864" s="4">
        <v>45668</v>
      </c>
      <c r="K864" s="4" t="str">
        <f>TEXT(Table2[[#This Row],[Enrollment_date]],"Mmm")</f>
        <v>Jan</v>
      </c>
      <c r="L864" s="4" t="str">
        <f>TEXT(Table2[[#This Row],[Enrollment_date]],"Ddd")</f>
        <v>Sat</v>
      </c>
      <c r="M864" s="4" t="s">
        <v>34</v>
      </c>
      <c r="N864" t="s">
        <v>36</v>
      </c>
      <c r="O864" t="s">
        <v>38</v>
      </c>
      <c r="P864" s="8">
        <v>4</v>
      </c>
      <c r="Q864" s="6">
        <v>0.8125</v>
      </c>
      <c r="R864" s="6">
        <v>85</v>
      </c>
      <c r="S864" s="6" t="str">
        <f>IF(Table2[[#This Row],[Avg_score]]&gt;=79,"Distinction",IF(Table2[[#This Row],[Avg_score]]&gt;=60,"Pass","Fail"))</f>
        <v>Distinction</v>
      </c>
      <c r="T864" t="s">
        <v>39</v>
      </c>
      <c r="U864">
        <f>IF(Table2[[#This Row],[Completed]]="Yes",1,0)</f>
        <v>1</v>
      </c>
      <c r="V864" t="s">
        <v>39</v>
      </c>
      <c r="W864" t="s">
        <v>39</v>
      </c>
      <c r="X864" s="4">
        <v>45838</v>
      </c>
    </row>
    <row r="865" spans="1:24" x14ac:dyDescent="0.3">
      <c r="A865">
        <v>864</v>
      </c>
      <c r="B865" s="8">
        <v>288</v>
      </c>
      <c r="C865">
        <v>3</v>
      </c>
      <c r="D865" t="s">
        <v>20</v>
      </c>
      <c r="E865" t="s">
        <v>22</v>
      </c>
      <c r="F865">
        <v>34</v>
      </c>
      <c r="G865" t="str">
        <f>IF(Table2[[#This Row],[Age]]&gt;=30,"Experienced",IF(Table2[[#This Row],[Age]]&gt;=25,"Mid Level", "Entry Level"))</f>
        <v>Experienced</v>
      </c>
      <c r="H865" t="s">
        <v>24</v>
      </c>
      <c r="I865" t="s">
        <v>32</v>
      </c>
      <c r="J865" s="4">
        <v>45668</v>
      </c>
      <c r="K865" s="4" t="str">
        <f>TEXT(Table2[[#This Row],[Enrollment_date]],"Mmm")</f>
        <v>Jan</v>
      </c>
      <c r="L865" s="4" t="str">
        <f>TEXT(Table2[[#This Row],[Enrollment_date]],"Ddd")</f>
        <v>Sat</v>
      </c>
      <c r="M865" s="4" t="s">
        <v>34</v>
      </c>
      <c r="N865" t="s">
        <v>37</v>
      </c>
      <c r="O865" t="s">
        <v>38</v>
      </c>
      <c r="P865" s="8">
        <v>4</v>
      </c>
      <c r="Q865" s="6">
        <v>0.875</v>
      </c>
      <c r="R865" s="6">
        <v>67.5</v>
      </c>
      <c r="S865" s="6" t="str">
        <f>IF(Table2[[#This Row],[Avg_score]]&gt;=79,"Distinction",IF(Table2[[#This Row],[Avg_score]]&gt;=60,"Pass","Fail"))</f>
        <v>Pass</v>
      </c>
      <c r="T865" t="s">
        <v>39</v>
      </c>
      <c r="U865">
        <f>IF(Table2[[#This Row],[Completed]]="Yes",1,0)</f>
        <v>1</v>
      </c>
      <c r="V865" t="s">
        <v>39</v>
      </c>
      <c r="W865" t="s">
        <v>39</v>
      </c>
      <c r="X865" s="4">
        <v>45838</v>
      </c>
    </row>
    <row r="866" spans="1:24" x14ac:dyDescent="0.3">
      <c r="A866">
        <v>865</v>
      </c>
      <c r="B866" s="8">
        <v>289</v>
      </c>
      <c r="C866">
        <v>1</v>
      </c>
      <c r="D866" t="s">
        <v>21</v>
      </c>
      <c r="E866" t="s">
        <v>22</v>
      </c>
      <c r="F866">
        <v>32</v>
      </c>
      <c r="G866" t="str">
        <f>IF(Table2[[#This Row],[Age]]&gt;=30,"Experienced",IF(Table2[[#This Row],[Age]]&gt;=25,"Mid Level", "Entry Level"))</f>
        <v>Experienced</v>
      </c>
      <c r="H866" t="s">
        <v>27</v>
      </c>
      <c r="I866" t="s">
        <v>32</v>
      </c>
      <c r="J866" s="4">
        <v>45751</v>
      </c>
      <c r="K866" s="4" t="str">
        <f>TEXT(Table2[[#This Row],[Enrollment_date]],"Mmm")</f>
        <v>Apr</v>
      </c>
      <c r="L866" s="4" t="str">
        <f>TEXT(Table2[[#This Row],[Enrollment_date]],"Ddd")</f>
        <v>Fri</v>
      </c>
      <c r="M866" s="4" t="s">
        <v>34</v>
      </c>
      <c r="N866" t="s">
        <v>35</v>
      </c>
      <c r="O866" t="s">
        <v>38</v>
      </c>
      <c r="P866" s="8">
        <v>4</v>
      </c>
      <c r="Q866" s="6">
        <v>0.79166666666666663</v>
      </c>
      <c r="R866" s="6">
        <v>81</v>
      </c>
      <c r="S866" s="6" t="str">
        <f>IF(Table2[[#This Row],[Avg_score]]&gt;=79,"Distinction",IF(Table2[[#This Row],[Avg_score]]&gt;=60,"Pass","Fail"))</f>
        <v>Distinction</v>
      </c>
      <c r="T866" t="s">
        <v>39</v>
      </c>
      <c r="U866">
        <f>IF(Table2[[#This Row],[Completed]]="Yes",1,0)</f>
        <v>1</v>
      </c>
      <c r="V866" t="s">
        <v>39</v>
      </c>
      <c r="W866" t="s">
        <v>40</v>
      </c>
      <c r="X866" s="4">
        <v>45838</v>
      </c>
    </row>
    <row r="867" spans="1:24" x14ac:dyDescent="0.3">
      <c r="A867">
        <v>866</v>
      </c>
      <c r="B867" s="8">
        <v>289</v>
      </c>
      <c r="C867">
        <v>2</v>
      </c>
      <c r="D867" t="s">
        <v>19</v>
      </c>
      <c r="E867" t="s">
        <v>22</v>
      </c>
      <c r="F867">
        <v>32</v>
      </c>
      <c r="G867" t="str">
        <f>IF(Table2[[#This Row],[Age]]&gt;=30,"Experienced",IF(Table2[[#This Row],[Age]]&gt;=25,"Mid Level", "Entry Level"))</f>
        <v>Experienced</v>
      </c>
      <c r="H867" t="s">
        <v>27</v>
      </c>
      <c r="I867" t="s">
        <v>32</v>
      </c>
      <c r="J867" s="4">
        <v>45751</v>
      </c>
      <c r="K867" s="4" t="str">
        <f>TEXT(Table2[[#This Row],[Enrollment_date]],"Mmm")</f>
        <v>Apr</v>
      </c>
      <c r="L867" s="4" t="str">
        <f>TEXT(Table2[[#This Row],[Enrollment_date]],"Ddd")</f>
        <v>Fri</v>
      </c>
      <c r="M867" s="4" t="s">
        <v>34</v>
      </c>
      <c r="N867" t="s">
        <v>36</v>
      </c>
      <c r="O867" t="s">
        <v>38</v>
      </c>
      <c r="P867" s="8">
        <v>4</v>
      </c>
      <c r="Q867" s="6">
        <v>0.89583333333333337</v>
      </c>
      <c r="R867" s="6">
        <v>72.5</v>
      </c>
      <c r="S867" s="6" t="str">
        <f>IF(Table2[[#This Row],[Avg_score]]&gt;=79,"Distinction",IF(Table2[[#This Row],[Avg_score]]&gt;=60,"Pass","Fail"))</f>
        <v>Pass</v>
      </c>
      <c r="T867" t="s">
        <v>39</v>
      </c>
      <c r="U867">
        <f>IF(Table2[[#This Row],[Completed]]="Yes",1,0)</f>
        <v>1</v>
      </c>
      <c r="V867" t="s">
        <v>39</v>
      </c>
      <c r="W867" t="s">
        <v>40</v>
      </c>
      <c r="X867" s="4">
        <v>45838</v>
      </c>
    </row>
    <row r="868" spans="1:24" x14ac:dyDescent="0.3">
      <c r="A868">
        <v>867</v>
      </c>
      <c r="B868" s="8">
        <v>289</v>
      </c>
      <c r="C868">
        <v>3</v>
      </c>
      <c r="D868" t="s">
        <v>19</v>
      </c>
      <c r="E868" t="s">
        <v>22</v>
      </c>
      <c r="F868">
        <v>32</v>
      </c>
      <c r="G868" t="str">
        <f>IF(Table2[[#This Row],[Age]]&gt;=30,"Experienced",IF(Table2[[#This Row],[Age]]&gt;=25,"Mid Level", "Entry Level"))</f>
        <v>Experienced</v>
      </c>
      <c r="H868" t="s">
        <v>27</v>
      </c>
      <c r="I868" t="s">
        <v>32</v>
      </c>
      <c r="J868" s="4">
        <v>45751</v>
      </c>
      <c r="K868" s="4" t="str">
        <f>TEXT(Table2[[#This Row],[Enrollment_date]],"Mmm")</f>
        <v>Apr</v>
      </c>
      <c r="L868" s="4" t="str">
        <f>TEXT(Table2[[#This Row],[Enrollment_date]],"Ddd")</f>
        <v>Fri</v>
      </c>
      <c r="M868" s="4" t="s">
        <v>34</v>
      </c>
      <c r="N868" t="s">
        <v>37</v>
      </c>
      <c r="O868" t="s">
        <v>38</v>
      </c>
      <c r="P868" s="8">
        <v>4</v>
      </c>
      <c r="Q868" s="6">
        <v>0.8125</v>
      </c>
      <c r="R868" s="6">
        <v>82.5</v>
      </c>
      <c r="S868" s="6" t="str">
        <f>IF(Table2[[#This Row],[Avg_score]]&gt;=79,"Distinction",IF(Table2[[#This Row],[Avg_score]]&gt;=60,"Pass","Fail"))</f>
        <v>Distinction</v>
      </c>
      <c r="T868" t="s">
        <v>39</v>
      </c>
      <c r="U868">
        <f>IF(Table2[[#This Row],[Completed]]="Yes",1,0)</f>
        <v>1</v>
      </c>
      <c r="V868" t="s">
        <v>39</v>
      </c>
      <c r="W868" t="s">
        <v>40</v>
      </c>
      <c r="X868" s="4">
        <v>45838</v>
      </c>
    </row>
    <row r="869" spans="1:24" x14ac:dyDescent="0.3">
      <c r="A869">
        <v>868</v>
      </c>
      <c r="B869" s="8">
        <v>290</v>
      </c>
      <c r="C869">
        <v>1</v>
      </c>
      <c r="D869" t="s">
        <v>19</v>
      </c>
      <c r="E869" t="s">
        <v>23</v>
      </c>
      <c r="F869">
        <v>27</v>
      </c>
      <c r="G869" t="str">
        <f>IF(Table2[[#This Row],[Age]]&gt;=30,"Experienced",IF(Table2[[#This Row],[Age]]&gt;=25,"Mid Level", "Entry Level"))</f>
        <v>Mid Level</v>
      </c>
      <c r="H869" t="s">
        <v>27</v>
      </c>
      <c r="I869" t="s">
        <v>44</v>
      </c>
      <c r="J869" s="4">
        <v>45744</v>
      </c>
      <c r="K869" s="4" t="str">
        <f>TEXT(Table2[[#This Row],[Enrollment_date]],"Mmm")</f>
        <v>Mar</v>
      </c>
      <c r="L869" s="4" t="str">
        <f>TEXT(Table2[[#This Row],[Enrollment_date]],"Ddd")</f>
        <v>Fri</v>
      </c>
      <c r="M869" s="4" t="s">
        <v>34</v>
      </c>
      <c r="N869" t="s">
        <v>35</v>
      </c>
      <c r="O869" t="s">
        <v>38</v>
      </c>
      <c r="P869" s="8">
        <v>4</v>
      </c>
      <c r="Q869" s="6">
        <v>0.83333333333333337</v>
      </c>
      <c r="R869" s="6">
        <v>70.5</v>
      </c>
      <c r="S869" s="6" t="str">
        <f>IF(Table2[[#This Row],[Avg_score]]&gt;=79,"Distinction",IF(Table2[[#This Row],[Avg_score]]&gt;=60,"Pass","Fail"))</f>
        <v>Pass</v>
      </c>
      <c r="T869" t="s">
        <v>39</v>
      </c>
      <c r="U869">
        <f>IF(Table2[[#This Row],[Completed]]="Yes",1,0)</f>
        <v>1</v>
      </c>
      <c r="V869" t="s">
        <v>40</v>
      </c>
      <c r="W869" t="s">
        <v>40</v>
      </c>
      <c r="X869" s="4">
        <v>45838</v>
      </c>
    </row>
    <row r="870" spans="1:24" x14ac:dyDescent="0.3">
      <c r="A870">
        <v>869</v>
      </c>
      <c r="B870" s="8">
        <v>290</v>
      </c>
      <c r="C870">
        <v>2</v>
      </c>
      <c r="D870" t="s">
        <v>19</v>
      </c>
      <c r="E870" t="s">
        <v>23</v>
      </c>
      <c r="F870">
        <v>27</v>
      </c>
      <c r="G870" t="str">
        <f>IF(Table2[[#This Row],[Age]]&gt;=30,"Experienced",IF(Table2[[#This Row],[Age]]&gt;=25,"Mid Level", "Entry Level"))</f>
        <v>Mid Level</v>
      </c>
      <c r="H870" t="s">
        <v>27</v>
      </c>
      <c r="I870" t="s">
        <v>44</v>
      </c>
      <c r="J870" s="4">
        <v>45744</v>
      </c>
      <c r="K870" s="4" t="str">
        <f>TEXT(Table2[[#This Row],[Enrollment_date]],"Mmm")</f>
        <v>Mar</v>
      </c>
      <c r="L870" s="4" t="str">
        <f>TEXT(Table2[[#This Row],[Enrollment_date]],"Ddd")</f>
        <v>Fri</v>
      </c>
      <c r="M870" s="4" t="s">
        <v>34</v>
      </c>
      <c r="N870" t="s">
        <v>36</v>
      </c>
      <c r="O870" t="s">
        <v>38</v>
      </c>
      <c r="P870" s="8">
        <v>4</v>
      </c>
      <c r="Q870" s="6">
        <v>0.79166666666666663</v>
      </c>
      <c r="R870" s="6">
        <v>82.5</v>
      </c>
      <c r="S870" s="6" t="str">
        <f>IF(Table2[[#This Row],[Avg_score]]&gt;=79,"Distinction",IF(Table2[[#This Row],[Avg_score]]&gt;=60,"Pass","Fail"))</f>
        <v>Distinction</v>
      </c>
      <c r="T870" t="s">
        <v>39</v>
      </c>
      <c r="U870">
        <f>IF(Table2[[#This Row],[Completed]]="Yes",1,0)</f>
        <v>1</v>
      </c>
      <c r="V870" t="s">
        <v>40</v>
      </c>
      <c r="W870" t="s">
        <v>40</v>
      </c>
      <c r="X870" s="4">
        <v>45838</v>
      </c>
    </row>
    <row r="871" spans="1:24" x14ac:dyDescent="0.3">
      <c r="A871">
        <v>870</v>
      </c>
      <c r="B871" s="8">
        <v>290</v>
      </c>
      <c r="C871">
        <v>3</v>
      </c>
      <c r="D871" t="s">
        <v>19</v>
      </c>
      <c r="E871" t="s">
        <v>23</v>
      </c>
      <c r="F871">
        <v>27</v>
      </c>
      <c r="G871" t="str">
        <f>IF(Table2[[#This Row],[Age]]&gt;=30,"Experienced",IF(Table2[[#This Row],[Age]]&gt;=25,"Mid Level", "Entry Level"))</f>
        <v>Mid Level</v>
      </c>
      <c r="H871" t="s">
        <v>27</v>
      </c>
      <c r="I871" t="s">
        <v>44</v>
      </c>
      <c r="J871" s="4">
        <v>45744</v>
      </c>
      <c r="K871" s="4" t="str">
        <f>TEXT(Table2[[#This Row],[Enrollment_date]],"Mmm")</f>
        <v>Mar</v>
      </c>
      <c r="L871" s="4" t="str">
        <f>TEXT(Table2[[#This Row],[Enrollment_date]],"Ddd")</f>
        <v>Fri</v>
      </c>
      <c r="M871" s="4" t="s">
        <v>34</v>
      </c>
      <c r="N871" t="s">
        <v>37</v>
      </c>
      <c r="O871" t="s">
        <v>38</v>
      </c>
      <c r="P871" s="8">
        <v>4</v>
      </c>
      <c r="Q871" s="6">
        <v>0.75</v>
      </c>
      <c r="R871" s="6">
        <v>83.5</v>
      </c>
      <c r="S871" s="6" t="str">
        <f>IF(Table2[[#This Row],[Avg_score]]&gt;=79,"Distinction",IF(Table2[[#This Row],[Avg_score]]&gt;=60,"Pass","Fail"))</f>
        <v>Distinction</v>
      </c>
      <c r="T871" t="s">
        <v>39</v>
      </c>
      <c r="U871">
        <f>IF(Table2[[#This Row],[Completed]]="Yes",1,0)</f>
        <v>1</v>
      </c>
      <c r="V871" t="s">
        <v>40</v>
      </c>
      <c r="W871" t="s">
        <v>40</v>
      </c>
      <c r="X871" s="4">
        <v>45838</v>
      </c>
    </row>
    <row r="872" spans="1:24" x14ac:dyDescent="0.3">
      <c r="A872">
        <v>871</v>
      </c>
      <c r="B872" s="8">
        <v>291</v>
      </c>
      <c r="C872">
        <v>1</v>
      </c>
      <c r="D872" t="s">
        <v>21</v>
      </c>
      <c r="E872" t="s">
        <v>22</v>
      </c>
      <c r="F872">
        <v>28</v>
      </c>
      <c r="G872" t="str">
        <f>IF(Table2[[#This Row],[Age]]&gt;=30,"Experienced",IF(Table2[[#This Row],[Age]]&gt;=25,"Mid Level", "Entry Level"))</f>
        <v>Mid Level</v>
      </c>
      <c r="H872" t="s">
        <v>25</v>
      </c>
      <c r="I872" t="s">
        <v>30</v>
      </c>
      <c r="J872" s="4">
        <v>45682</v>
      </c>
      <c r="K872" s="4" t="str">
        <f>TEXT(Table2[[#This Row],[Enrollment_date]],"Mmm")</f>
        <v>Jan</v>
      </c>
      <c r="L872" s="4" t="str">
        <f>TEXT(Table2[[#This Row],[Enrollment_date]],"Ddd")</f>
        <v>Sat</v>
      </c>
      <c r="M872" s="4" t="s">
        <v>34</v>
      </c>
      <c r="N872" t="s">
        <v>35</v>
      </c>
      <c r="O872" t="s">
        <v>38</v>
      </c>
      <c r="P872" s="8">
        <v>4</v>
      </c>
      <c r="Q872" s="6">
        <v>0.79166666666666663</v>
      </c>
      <c r="R872" s="6">
        <v>53</v>
      </c>
      <c r="S872" s="6" t="str">
        <f>IF(Table2[[#This Row],[Avg_score]]&gt;=79,"Distinction",IF(Table2[[#This Row],[Avg_score]]&gt;=60,"Pass","Fail"))</f>
        <v>Fail</v>
      </c>
      <c r="T872" t="s">
        <v>39</v>
      </c>
      <c r="U872">
        <f>IF(Table2[[#This Row],[Completed]]="Yes",1,0)</f>
        <v>1</v>
      </c>
      <c r="V872" t="s">
        <v>39</v>
      </c>
      <c r="W872" t="s">
        <v>39</v>
      </c>
      <c r="X872" s="4">
        <v>45838</v>
      </c>
    </row>
    <row r="873" spans="1:24" x14ac:dyDescent="0.3">
      <c r="A873">
        <v>872</v>
      </c>
      <c r="B873" s="8">
        <v>291</v>
      </c>
      <c r="C873">
        <v>2</v>
      </c>
      <c r="D873" t="s">
        <v>19</v>
      </c>
      <c r="E873" t="s">
        <v>22</v>
      </c>
      <c r="F873">
        <v>28</v>
      </c>
      <c r="G873" t="str">
        <f>IF(Table2[[#This Row],[Age]]&gt;=30,"Experienced",IF(Table2[[#This Row],[Age]]&gt;=25,"Mid Level", "Entry Level"))</f>
        <v>Mid Level</v>
      </c>
      <c r="H873" t="s">
        <v>25</v>
      </c>
      <c r="I873" t="s">
        <v>30</v>
      </c>
      <c r="J873" s="4">
        <v>45682</v>
      </c>
      <c r="K873" s="4" t="str">
        <f>TEXT(Table2[[#This Row],[Enrollment_date]],"Mmm")</f>
        <v>Jan</v>
      </c>
      <c r="L873" s="4" t="str">
        <f>TEXT(Table2[[#This Row],[Enrollment_date]],"Ddd")</f>
        <v>Sat</v>
      </c>
      <c r="M873" s="4" t="s">
        <v>34</v>
      </c>
      <c r="N873" t="s">
        <v>36</v>
      </c>
      <c r="O873" t="s">
        <v>38</v>
      </c>
      <c r="P873" s="8">
        <v>4</v>
      </c>
      <c r="Q873" s="6">
        <v>0.875</v>
      </c>
      <c r="R873" s="6">
        <v>80</v>
      </c>
      <c r="S873" s="6" t="str">
        <f>IF(Table2[[#This Row],[Avg_score]]&gt;=79,"Distinction",IF(Table2[[#This Row],[Avg_score]]&gt;=60,"Pass","Fail"))</f>
        <v>Distinction</v>
      </c>
      <c r="T873" t="s">
        <v>39</v>
      </c>
      <c r="U873">
        <f>IF(Table2[[#This Row],[Completed]]="Yes",1,0)</f>
        <v>1</v>
      </c>
      <c r="V873" t="s">
        <v>39</v>
      </c>
      <c r="W873" t="s">
        <v>39</v>
      </c>
      <c r="X873" s="4">
        <v>45838</v>
      </c>
    </row>
    <row r="874" spans="1:24" x14ac:dyDescent="0.3">
      <c r="A874">
        <v>873</v>
      </c>
      <c r="B874" s="8">
        <v>291</v>
      </c>
      <c r="C874">
        <v>3</v>
      </c>
      <c r="D874" t="s">
        <v>19</v>
      </c>
      <c r="E874" t="s">
        <v>22</v>
      </c>
      <c r="F874">
        <v>28</v>
      </c>
      <c r="G874" t="str">
        <f>IF(Table2[[#This Row],[Age]]&gt;=30,"Experienced",IF(Table2[[#This Row],[Age]]&gt;=25,"Mid Level", "Entry Level"))</f>
        <v>Mid Level</v>
      </c>
      <c r="H874" t="s">
        <v>25</v>
      </c>
      <c r="I874" t="s">
        <v>30</v>
      </c>
      <c r="J874" s="4">
        <v>45682</v>
      </c>
      <c r="K874" s="4" t="str">
        <f>TEXT(Table2[[#This Row],[Enrollment_date]],"Mmm")</f>
        <v>Jan</v>
      </c>
      <c r="L874" s="4" t="str">
        <f>TEXT(Table2[[#This Row],[Enrollment_date]],"Ddd")</f>
        <v>Sat</v>
      </c>
      <c r="M874" s="4" t="s">
        <v>34</v>
      </c>
      <c r="N874" t="s">
        <v>37</v>
      </c>
      <c r="O874" t="s">
        <v>38</v>
      </c>
      <c r="P874" s="8">
        <v>4</v>
      </c>
      <c r="Q874" s="6">
        <v>0.8125</v>
      </c>
      <c r="R874" s="6">
        <v>96</v>
      </c>
      <c r="S874" s="6" t="str">
        <f>IF(Table2[[#This Row],[Avg_score]]&gt;=79,"Distinction",IF(Table2[[#This Row],[Avg_score]]&gt;=60,"Pass","Fail"))</f>
        <v>Distinction</v>
      </c>
      <c r="T874" t="s">
        <v>39</v>
      </c>
      <c r="U874">
        <f>IF(Table2[[#This Row],[Completed]]="Yes",1,0)</f>
        <v>1</v>
      </c>
      <c r="V874" t="s">
        <v>39</v>
      </c>
      <c r="W874" t="s">
        <v>39</v>
      </c>
      <c r="X874" s="4">
        <v>45838</v>
      </c>
    </row>
    <row r="875" spans="1:24" x14ac:dyDescent="0.3">
      <c r="A875">
        <v>874</v>
      </c>
      <c r="B875" s="8">
        <v>292</v>
      </c>
      <c r="C875">
        <v>1</v>
      </c>
      <c r="D875" t="s">
        <v>19</v>
      </c>
      <c r="E875" t="s">
        <v>23</v>
      </c>
      <c r="F875">
        <v>27</v>
      </c>
      <c r="G875" t="str">
        <f>IF(Table2[[#This Row],[Age]]&gt;=30,"Experienced",IF(Table2[[#This Row],[Age]]&gt;=25,"Mid Level", "Entry Level"))</f>
        <v>Mid Level</v>
      </c>
      <c r="H875" t="s">
        <v>29</v>
      </c>
      <c r="I875" t="s">
        <v>32</v>
      </c>
      <c r="J875" s="4">
        <v>45743</v>
      </c>
      <c r="K875" s="4" t="str">
        <f>TEXT(Table2[[#This Row],[Enrollment_date]],"Mmm")</f>
        <v>Mar</v>
      </c>
      <c r="L875" s="4" t="str">
        <f>TEXT(Table2[[#This Row],[Enrollment_date]],"Ddd")</f>
        <v>Thu</v>
      </c>
      <c r="M875" s="4" t="s">
        <v>34</v>
      </c>
      <c r="N875" t="s">
        <v>35</v>
      </c>
      <c r="O875" t="s">
        <v>38</v>
      </c>
      <c r="P875" s="8">
        <v>4</v>
      </c>
      <c r="Q875" s="6">
        <v>0.89583333333333337</v>
      </c>
      <c r="R875" s="6">
        <v>77.5</v>
      </c>
      <c r="S875" s="6" t="str">
        <f>IF(Table2[[#This Row],[Avg_score]]&gt;=79,"Distinction",IF(Table2[[#This Row],[Avg_score]]&gt;=60,"Pass","Fail"))</f>
        <v>Pass</v>
      </c>
      <c r="T875" t="s">
        <v>40</v>
      </c>
      <c r="U875">
        <f>IF(Table2[[#This Row],[Completed]]="Yes",1,0)</f>
        <v>0</v>
      </c>
      <c r="V875" t="s">
        <v>40</v>
      </c>
      <c r="W875" t="s">
        <v>40</v>
      </c>
      <c r="X875" s="4">
        <v>45838</v>
      </c>
    </row>
    <row r="876" spans="1:24" x14ac:dyDescent="0.3">
      <c r="A876">
        <v>875</v>
      </c>
      <c r="B876" s="8">
        <v>292</v>
      </c>
      <c r="C876">
        <v>2</v>
      </c>
      <c r="D876" t="s">
        <v>19</v>
      </c>
      <c r="E876" t="s">
        <v>23</v>
      </c>
      <c r="F876">
        <v>27</v>
      </c>
      <c r="G876" t="str">
        <f>IF(Table2[[#This Row],[Age]]&gt;=30,"Experienced",IF(Table2[[#This Row],[Age]]&gt;=25,"Mid Level", "Entry Level"))</f>
        <v>Mid Level</v>
      </c>
      <c r="H876" t="s">
        <v>29</v>
      </c>
      <c r="I876" t="s">
        <v>32</v>
      </c>
      <c r="J876" s="4">
        <v>45743</v>
      </c>
      <c r="K876" s="4" t="str">
        <f>TEXT(Table2[[#This Row],[Enrollment_date]],"Mmm")</f>
        <v>Mar</v>
      </c>
      <c r="L876" s="4" t="str">
        <f>TEXT(Table2[[#This Row],[Enrollment_date]],"Ddd")</f>
        <v>Thu</v>
      </c>
      <c r="M876" s="4" t="s">
        <v>34</v>
      </c>
      <c r="N876" t="s">
        <v>36</v>
      </c>
      <c r="O876" t="s">
        <v>38</v>
      </c>
      <c r="P876" s="8">
        <v>4</v>
      </c>
      <c r="Q876" s="6">
        <v>0.85416666666666663</v>
      </c>
      <c r="R876" s="6">
        <v>53.5</v>
      </c>
      <c r="S876" s="6" t="str">
        <f>IF(Table2[[#This Row],[Avg_score]]&gt;=79,"Distinction",IF(Table2[[#This Row],[Avg_score]]&gt;=60,"Pass","Fail"))</f>
        <v>Fail</v>
      </c>
      <c r="T876" t="s">
        <v>40</v>
      </c>
      <c r="U876">
        <f>IF(Table2[[#This Row],[Completed]]="Yes",1,0)</f>
        <v>0</v>
      </c>
      <c r="V876" t="s">
        <v>40</v>
      </c>
      <c r="W876" t="s">
        <v>40</v>
      </c>
      <c r="X876" s="4">
        <v>45838</v>
      </c>
    </row>
    <row r="877" spans="1:24" x14ac:dyDescent="0.3">
      <c r="A877">
        <v>876</v>
      </c>
      <c r="B877" s="8">
        <v>292</v>
      </c>
      <c r="C877">
        <v>3</v>
      </c>
      <c r="D877" t="s">
        <v>21</v>
      </c>
      <c r="E877" t="s">
        <v>23</v>
      </c>
      <c r="F877">
        <v>27</v>
      </c>
      <c r="G877" t="str">
        <f>IF(Table2[[#This Row],[Age]]&gt;=30,"Experienced",IF(Table2[[#This Row],[Age]]&gt;=25,"Mid Level", "Entry Level"))</f>
        <v>Mid Level</v>
      </c>
      <c r="H877" t="s">
        <v>29</v>
      </c>
      <c r="I877" t="s">
        <v>32</v>
      </c>
      <c r="J877" s="4">
        <v>45743</v>
      </c>
      <c r="K877" s="4" t="str">
        <f>TEXT(Table2[[#This Row],[Enrollment_date]],"Mmm")</f>
        <v>Mar</v>
      </c>
      <c r="L877" s="4" t="str">
        <f>TEXT(Table2[[#This Row],[Enrollment_date]],"Ddd")</f>
        <v>Thu</v>
      </c>
      <c r="M877" s="4" t="s">
        <v>34</v>
      </c>
      <c r="N877" t="s">
        <v>37</v>
      </c>
      <c r="O877" t="s">
        <v>38</v>
      </c>
      <c r="P877" s="8">
        <v>4</v>
      </c>
      <c r="Q877" s="6">
        <v>0.85416666666666663</v>
      </c>
      <c r="R877" s="6">
        <v>88.5</v>
      </c>
      <c r="S877" s="6" t="str">
        <f>IF(Table2[[#This Row],[Avg_score]]&gt;=79,"Distinction",IF(Table2[[#This Row],[Avg_score]]&gt;=60,"Pass","Fail"))</f>
        <v>Distinction</v>
      </c>
      <c r="T877" t="s">
        <v>40</v>
      </c>
      <c r="U877">
        <f>IF(Table2[[#This Row],[Completed]]="Yes",1,0)</f>
        <v>0</v>
      </c>
      <c r="V877" t="s">
        <v>40</v>
      </c>
      <c r="W877" t="s">
        <v>40</v>
      </c>
      <c r="X877" s="4">
        <v>45838</v>
      </c>
    </row>
    <row r="878" spans="1:24" x14ac:dyDescent="0.3">
      <c r="A878">
        <v>877</v>
      </c>
      <c r="B878" s="8">
        <v>293</v>
      </c>
      <c r="C878">
        <v>1</v>
      </c>
      <c r="D878" t="s">
        <v>19</v>
      </c>
      <c r="E878" t="s">
        <v>22</v>
      </c>
      <c r="F878">
        <v>22</v>
      </c>
      <c r="G878" t="str">
        <f>IF(Table2[[#This Row],[Age]]&gt;=30,"Experienced",IF(Table2[[#This Row],[Age]]&gt;=25,"Mid Level", "Entry Level"))</f>
        <v>Entry Level</v>
      </c>
      <c r="H878" t="s">
        <v>29</v>
      </c>
      <c r="I878" t="s">
        <v>30</v>
      </c>
      <c r="J878" s="4">
        <v>45758</v>
      </c>
      <c r="K878" s="4" t="str">
        <f>TEXT(Table2[[#This Row],[Enrollment_date]],"Mmm")</f>
        <v>Apr</v>
      </c>
      <c r="L878" s="4" t="str">
        <f>TEXT(Table2[[#This Row],[Enrollment_date]],"Ddd")</f>
        <v>Fri</v>
      </c>
      <c r="M878" s="4" t="s">
        <v>34</v>
      </c>
      <c r="N878" t="s">
        <v>35</v>
      </c>
      <c r="O878" t="s">
        <v>38</v>
      </c>
      <c r="P878" s="8">
        <v>4</v>
      </c>
      <c r="Q878" s="6">
        <v>0.85416666666666663</v>
      </c>
      <c r="R878" s="6">
        <v>76.5</v>
      </c>
      <c r="S878" s="6" t="str">
        <f>IF(Table2[[#This Row],[Avg_score]]&gt;=79,"Distinction",IF(Table2[[#This Row],[Avg_score]]&gt;=60,"Pass","Fail"))</f>
        <v>Pass</v>
      </c>
      <c r="T878" t="s">
        <v>39</v>
      </c>
      <c r="U878">
        <f>IF(Table2[[#This Row],[Completed]]="Yes",1,0)</f>
        <v>1</v>
      </c>
      <c r="V878" t="s">
        <v>39</v>
      </c>
      <c r="W878" t="s">
        <v>39</v>
      </c>
      <c r="X878" s="4">
        <v>45838</v>
      </c>
    </row>
    <row r="879" spans="1:24" x14ac:dyDescent="0.3">
      <c r="A879">
        <v>878</v>
      </c>
      <c r="B879" s="8">
        <v>293</v>
      </c>
      <c r="C879">
        <v>2</v>
      </c>
      <c r="D879" t="s">
        <v>19</v>
      </c>
      <c r="E879" t="s">
        <v>22</v>
      </c>
      <c r="F879">
        <v>22</v>
      </c>
      <c r="G879" t="str">
        <f>IF(Table2[[#This Row],[Age]]&gt;=30,"Experienced",IF(Table2[[#This Row],[Age]]&gt;=25,"Mid Level", "Entry Level"))</f>
        <v>Entry Level</v>
      </c>
      <c r="H879" t="s">
        <v>29</v>
      </c>
      <c r="I879" t="s">
        <v>30</v>
      </c>
      <c r="J879" s="4">
        <v>45758</v>
      </c>
      <c r="K879" s="4" t="str">
        <f>TEXT(Table2[[#This Row],[Enrollment_date]],"Mmm")</f>
        <v>Apr</v>
      </c>
      <c r="L879" s="4" t="str">
        <f>TEXT(Table2[[#This Row],[Enrollment_date]],"Ddd")</f>
        <v>Fri</v>
      </c>
      <c r="M879" s="4" t="s">
        <v>34</v>
      </c>
      <c r="N879" t="s">
        <v>36</v>
      </c>
      <c r="O879" t="s">
        <v>38</v>
      </c>
      <c r="P879" s="8">
        <v>4</v>
      </c>
      <c r="Q879" s="6">
        <v>0.79166666666666663</v>
      </c>
      <c r="R879" s="6">
        <v>73</v>
      </c>
      <c r="S879" s="6" t="str">
        <f>IF(Table2[[#This Row],[Avg_score]]&gt;=79,"Distinction",IF(Table2[[#This Row],[Avg_score]]&gt;=60,"Pass","Fail"))</f>
        <v>Pass</v>
      </c>
      <c r="T879" t="s">
        <v>39</v>
      </c>
      <c r="U879">
        <f>IF(Table2[[#This Row],[Completed]]="Yes",1,0)</f>
        <v>1</v>
      </c>
      <c r="V879" t="s">
        <v>39</v>
      </c>
      <c r="W879" t="s">
        <v>39</v>
      </c>
      <c r="X879" s="4">
        <v>45838</v>
      </c>
    </row>
    <row r="880" spans="1:24" x14ac:dyDescent="0.3">
      <c r="A880">
        <v>879</v>
      </c>
      <c r="B880" s="8">
        <v>293</v>
      </c>
      <c r="C880">
        <v>3</v>
      </c>
      <c r="D880" t="s">
        <v>19</v>
      </c>
      <c r="E880" t="s">
        <v>22</v>
      </c>
      <c r="F880">
        <v>22</v>
      </c>
      <c r="G880" t="str">
        <f>IF(Table2[[#This Row],[Age]]&gt;=30,"Experienced",IF(Table2[[#This Row],[Age]]&gt;=25,"Mid Level", "Entry Level"))</f>
        <v>Entry Level</v>
      </c>
      <c r="H880" t="s">
        <v>29</v>
      </c>
      <c r="I880" t="s">
        <v>30</v>
      </c>
      <c r="J880" s="4">
        <v>45758</v>
      </c>
      <c r="K880" s="4" t="str">
        <f>TEXT(Table2[[#This Row],[Enrollment_date]],"Mmm")</f>
        <v>Apr</v>
      </c>
      <c r="L880" s="4" t="str">
        <f>TEXT(Table2[[#This Row],[Enrollment_date]],"Ddd")</f>
        <v>Fri</v>
      </c>
      <c r="M880" s="4" t="s">
        <v>34</v>
      </c>
      <c r="N880" t="s">
        <v>37</v>
      </c>
      <c r="O880" t="s">
        <v>38</v>
      </c>
      <c r="P880" s="8">
        <v>4</v>
      </c>
      <c r="Q880" s="6">
        <v>0.95833333333333337</v>
      </c>
      <c r="R880" s="6">
        <v>62</v>
      </c>
      <c r="S880" s="6" t="str">
        <f>IF(Table2[[#This Row],[Avg_score]]&gt;=79,"Distinction",IF(Table2[[#This Row],[Avg_score]]&gt;=60,"Pass","Fail"))</f>
        <v>Pass</v>
      </c>
      <c r="T880" t="s">
        <v>39</v>
      </c>
      <c r="U880">
        <f>IF(Table2[[#This Row],[Completed]]="Yes",1,0)</f>
        <v>1</v>
      </c>
      <c r="V880" t="s">
        <v>39</v>
      </c>
      <c r="W880" t="s">
        <v>39</v>
      </c>
      <c r="X880" s="4">
        <v>45838</v>
      </c>
    </row>
    <row r="881" spans="1:24" x14ac:dyDescent="0.3">
      <c r="A881">
        <v>880</v>
      </c>
      <c r="B881" s="8">
        <v>294</v>
      </c>
      <c r="C881">
        <v>1</v>
      </c>
      <c r="D881" t="s">
        <v>19</v>
      </c>
      <c r="E881" t="s">
        <v>22</v>
      </c>
      <c r="F881">
        <v>20</v>
      </c>
      <c r="G881" t="str">
        <f>IF(Table2[[#This Row],[Age]]&gt;=30,"Experienced",IF(Table2[[#This Row],[Age]]&gt;=25,"Mid Level", "Entry Level"))</f>
        <v>Entry Level</v>
      </c>
      <c r="H881" t="s">
        <v>29</v>
      </c>
      <c r="I881" t="s">
        <v>44</v>
      </c>
      <c r="J881" s="4">
        <v>45742</v>
      </c>
      <c r="K881" s="4" t="str">
        <f>TEXT(Table2[[#This Row],[Enrollment_date]],"Mmm")</f>
        <v>Mar</v>
      </c>
      <c r="L881" s="4" t="str">
        <f>TEXT(Table2[[#This Row],[Enrollment_date]],"Ddd")</f>
        <v>Wed</v>
      </c>
      <c r="M881" s="4" t="s">
        <v>34</v>
      </c>
      <c r="N881" t="s">
        <v>35</v>
      </c>
      <c r="O881" t="s">
        <v>38</v>
      </c>
      <c r="P881" s="8">
        <v>4</v>
      </c>
      <c r="Q881" s="6">
        <v>0.875</v>
      </c>
      <c r="R881" s="6">
        <v>82</v>
      </c>
      <c r="S881" s="6" t="str">
        <f>IF(Table2[[#This Row],[Avg_score]]&gt;=79,"Distinction",IF(Table2[[#This Row],[Avg_score]]&gt;=60,"Pass","Fail"))</f>
        <v>Distinction</v>
      </c>
      <c r="T881" t="s">
        <v>39</v>
      </c>
      <c r="U881">
        <f>IF(Table2[[#This Row],[Completed]]="Yes",1,0)</f>
        <v>1</v>
      </c>
      <c r="V881" t="s">
        <v>39</v>
      </c>
      <c r="W881" t="s">
        <v>40</v>
      </c>
      <c r="X881" s="4">
        <v>45838</v>
      </c>
    </row>
    <row r="882" spans="1:24" x14ac:dyDescent="0.3">
      <c r="A882">
        <v>881</v>
      </c>
      <c r="B882" s="8">
        <v>294</v>
      </c>
      <c r="C882">
        <v>2</v>
      </c>
      <c r="D882" t="s">
        <v>19</v>
      </c>
      <c r="E882" t="s">
        <v>22</v>
      </c>
      <c r="F882">
        <v>20</v>
      </c>
      <c r="G882" t="str">
        <f>IF(Table2[[#This Row],[Age]]&gt;=30,"Experienced",IF(Table2[[#This Row],[Age]]&gt;=25,"Mid Level", "Entry Level"))</f>
        <v>Entry Level</v>
      </c>
      <c r="H882" t="s">
        <v>29</v>
      </c>
      <c r="I882" t="s">
        <v>44</v>
      </c>
      <c r="J882" s="4">
        <v>45742</v>
      </c>
      <c r="K882" s="4" t="str">
        <f>TEXT(Table2[[#This Row],[Enrollment_date]],"Mmm")</f>
        <v>Mar</v>
      </c>
      <c r="L882" s="4" t="str">
        <f>TEXT(Table2[[#This Row],[Enrollment_date]],"Ddd")</f>
        <v>Wed</v>
      </c>
      <c r="M882" s="4" t="s">
        <v>34</v>
      </c>
      <c r="N882" t="s">
        <v>36</v>
      </c>
      <c r="O882" t="s">
        <v>38</v>
      </c>
      <c r="P882" s="8">
        <v>4</v>
      </c>
      <c r="Q882" s="6">
        <v>0.875</v>
      </c>
      <c r="R882" s="6">
        <v>86.5</v>
      </c>
      <c r="S882" s="6" t="str">
        <f>IF(Table2[[#This Row],[Avg_score]]&gt;=79,"Distinction",IF(Table2[[#This Row],[Avg_score]]&gt;=60,"Pass","Fail"))</f>
        <v>Distinction</v>
      </c>
      <c r="T882" t="s">
        <v>39</v>
      </c>
      <c r="U882">
        <f>IF(Table2[[#This Row],[Completed]]="Yes",1,0)</f>
        <v>1</v>
      </c>
      <c r="V882" t="s">
        <v>39</v>
      </c>
      <c r="W882" t="s">
        <v>40</v>
      </c>
      <c r="X882" s="4">
        <v>45838</v>
      </c>
    </row>
    <row r="883" spans="1:24" x14ac:dyDescent="0.3">
      <c r="A883">
        <v>882</v>
      </c>
      <c r="B883" s="8">
        <v>294</v>
      </c>
      <c r="C883">
        <v>3</v>
      </c>
      <c r="D883" t="s">
        <v>19</v>
      </c>
      <c r="E883" t="s">
        <v>22</v>
      </c>
      <c r="F883">
        <v>20</v>
      </c>
      <c r="G883" t="str">
        <f>IF(Table2[[#This Row],[Age]]&gt;=30,"Experienced",IF(Table2[[#This Row],[Age]]&gt;=25,"Mid Level", "Entry Level"))</f>
        <v>Entry Level</v>
      </c>
      <c r="H883" t="s">
        <v>29</v>
      </c>
      <c r="I883" t="s">
        <v>44</v>
      </c>
      <c r="J883" s="4">
        <v>45742</v>
      </c>
      <c r="K883" s="4" t="str">
        <f>TEXT(Table2[[#This Row],[Enrollment_date]],"Mmm")</f>
        <v>Mar</v>
      </c>
      <c r="L883" s="4" t="str">
        <f>TEXT(Table2[[#This Row],[Enrollment_date]],"Ddd")</f>
        <v>Wed</v>
      </c>
      <c r="M883" s="4" t="s">
        <v>34</v>
      </c>
      <c r="N883" t="s">
        <v>37</v>
      </c>
      <c r="O883" t="s">
        <v>38</v>
      </c>
      <c r="P883" s="8">
        <v>4</v>
      </c>
      <c r="Q883" s="6">
        <v>0.83333333333333337</v>
      </c>
      <c r="R883" s="6">
        <v>69.5</v>
      </c>
      <c r="S883" s="6" t="str">
        <f>IF(Table2[[#This Row],[Avg_score]]&gt;=79,"Distinction",IF(Table2[[#This Row],[Avg_score]]&gt;=60,"Pass","Fail"))</f>
        <v>Pass</v>
      </c>
      <c r="T883" t="s">
        <v>39</v>
      </c>
      <c r="U883">
        <f>IF(Table2[[#This Row],[Completed]]="Yes",1,0)</f>
        <v>1</v>
      </c>
      <c r="V883" t="s">
        <v>39</v>
      </c>
      <c r="W883" t="s">
        <v>40</v>
      </c>
      <c r="X883" s="4">
        <v>45838</v>
      </c>
    </row>
    <row r="884" spans="1:24" x14ac:dyDescent="0.3">
      <c r="A884">
        <v>883</v>
      </c>
      <c r="B884" s="8">
        <v>295</v>
      </c>
      <c r="C884">
        <v>1</v>
      </c>
      <c r="D884" t="s">
        <v>19</v>
      </c>
      <c r="E884" t="s">
        <v>22</v>
      </c>
      <c r="F884">
        <v>34</v>
      </c>
      <c r="G884" t="str">
        <f>IF(Table2[[#This Row],[Age]]&gt;=30,"Experienced",IF(Table2[[#This Row],[Age]]&gt;=25,"Mid Level", "Entry Level"))</f>
        <v>Experienced</v>
      </c>
      <c r="H884" t="s">
        <v>25</v>
      </c>
      <c r="I884" t="s">
        <v>44</v>
      </c>
      <c r="J884" s="4">
        <v>45788</v>
      </c>
      <c r="K884" s="4" t="str">
        <f>TEXT(Table2[[#This Row],[Enrollment_date]],"Mmm")</f>
        <v>May</v>
      </c>
      <c r="L884" s="4" t="str">
        <f>TEXT(Table2[[#This Row],[Enrollment_date]],"Ddd")</f>
        <v>Sun</v>
      </c>
      <c r="M884" s="4" t="s">
        <v>34</v>
      </c>
      <c r="N884" t="s">
        <v>35</v>
      </c>
      <c r="O884" t="s">
        <v>38</v>
      </c>
      <c r="P884" s="8">
        <v>4</v>
      </c>
      <c r="Q884" s="6">
        <v>0.85416666666666663</v>
      </c>
      <c r="R884" s="6">
        <v>84.5</v>
      </c>
      <c r="S884" s="6" t="str">
        <f>IF(Table2[[#This Row],[Avg_score]]&gt;=79,"Distinction",IF(Table2[[#This Row],[Avg_score]]&gt;=60,"Pass","Fail"))</f>
        <v>Distinction</v>
      </c>
      <c r="T884" t="s">
        <v>39</v>
      </c>
      <c r="U884">
        <f>IF(Table2[[#This Row],[Completed]]="Yes",1,0)</f>
        <v>1</v>
      </c>
      <c r="V884" t="s">
        <v>40</v>
      </c>
      <c r="W884" t="s">
        <v>40</v>
      </c>
      <c r="X884" s="4">
        <v>45838</v>
      </c>
    </row>
    <row r="885" spans="1:24" x14ac:dyDescent="0.3">
      <c r="A885">
        <v>884</v>
      </c>
      <c r="B885" s="8">
        <v>295</v>
      </c>
      <c r="C885">
        <v>2</v>
      </c>
      <c r="D885" t="s">
        <v>21</v>
      </c>
      <c r="E885" t="s">
        <v>22</v>
      </c>
      <c r="F885">
        <v>34</v>
      </c>
      <c r="G885" t="str">
        <f>IF(Table2[[#This Row],[Age]]&gt;=30,"Experienced",IF(Table2[[#This Row],[Age]]&gt;=25,"Mid Level", "Entry Level"))</f>
        <v>Experienced</v>
      </c>
      <c r="H885" t="s">
        <v>25</v>
      </c>
      <c r="I885" t="s">
        <v>44</v>
      </c>
      <c r="J885" s="4">
        <v>45788</v>
      </c>
      <c r="K885" s="4" t="str">
        <f>TEXT(Table2[[#This Row],[Enrollment_date]],"Mmm")</f>
        <v>May</v>
      </c>
      <c r="L885" s="4" t="str">
        <f>TEXT(Table2[[#This Row],[Enrollment_date]],"Ddd")</f>
        <v>Sun</v>
      </c>
      <c r="M885" s="4" t="s">
        <v>34</v>
      </c>
      <c r="N885" t="s">
        <v>36</v>
      </c>
      <c r="O885" t="s">
        <v>38</v>
      </c>
      <c r="P885" s="8">
        <v>4</v>
      </c>
      <c r="Q885" s="6">
        <v>0.83333333333333337</v>
      </c>
      <c r="R885" s="6">
        <v>72</v>
      </c>
      <c r="S885" s="6" t="str">
        <f>IF(Table2[[#This Row],[Avg_score]]&gt;=79,"Distinction",IF(Table2[[#This Row],[Avg_score]]&gt;=60,"Pass","Fail"))</f>
        <v>Pass</v>
      </c>
      <c r="T885" t="s">
        <v>39</v>
      </c>
      <c r="U885">
        <f>IF(Table2[[#This Row],[Completed]]="Yes",1,0)</f>
        <v>1</v>
      </c>
      <c r="V885" t="s">
        <v>40</v>
      </c>
      <c r="W885" t="s">
        <v>40</v>
      </c>
      <c r="X885" s="4">
        <v>45838</v>
      </c>
    </row>
    <row r="886" spans="1:24" x14ac:dyDescent="0.3">
      <c r="A886">
        <v>885</v>
      </c>
      <c r="B886" s="8">
        <v>295</v>
      </c>
      <c r="C886">
        <v>3</v>
      </c>
      <c r="D886" t="s">
        <v>19</v>
      </c>
      <c r="E886" t="s">
        <v>22</v>
      </c>
      <c r="F886">
        <v>34</v>
      </c>
      <c r="G886" t="str">
        <f>IF(Table2[[#This Row],[Age]]&gt;=30,"Experienced",IF(Table2[[#This Row],[Age]]&gt;=25,"Mid Level", "Entry Level"))</f>
        <v>Experienced</v>
      </c>
      <c r="H886" t="s">
        <v>25</v>
      </c>
      <c r="I886" t="s">
        <v>44</v>
      </c>
      <c r="J886" s="4">
        <v>45788</v>
      </c>
      <c r="K886" s="4" t="str">
        <f>TEXT(Table2[[#This Row],[Enrollment_date]],"Mmm")</f>
        <v>May</v>
      </c>
      <c r="L886" s="4" t="str">
        <f>TEXT(Table2[[#This Row],[Enrollment_date]],"Ddd")</f>
        <v>Sun</v>
      </c>
      <c r="M886" s="4" t="s">
        <v>34</v>
      </c>
      <c r="N886" t="s">
        <v>37</v>
      </c>
      <c r="O886" t="s">
        <v>38</v>
      </c>
      <c r="P886" s="8">
        <v>4</v>
      </c>
      <c r="Q886" s="6">
        <v>0.91666666666666663</v>
      </c>
      <c r="R886" s="6">
        <v>71.5</v>
      </c>
      <c r="S886" s="6" t="str">
        <f>IF(Table2[[#This Row],[Avg_score]]&gt;=79,"Distinction",IF(Table2[[#This Row],[Avg_score]]&gt;=60,"Pass","Fail"))</f>
        <v>Pass</v>
      </c>
      <c r="T886" t="s">
        <v>39</v>
      </c>
      <c r="U886">
        <f>IF(Table2[[#This Row],[Completed]]="Yes",1,0)</f>
        <v>1</v>
      </c>
      <c r="V886" t="s">
        <v>40</v>
      </c>
      <c r="W886" t="s">
        <v>40</v>
      </c>
      <c r="X886" s="4">
        <v>45838</v>
      </c>
    </row>
    <row r="887" spans="1:24" x14ac:dyDescent="0.3">
      <c r="A887">
        <v>886</v>
      </c>
      <c r="B887" s="8">
        <v>296</v>
      </c>
      <c r="C887">
        <v>1</v>
      </c>
      <c r="D887" t="s">
        <v>19</v>
      </c>
      <c r="E887" t="s">
        <v>23</v>
      </c>
      <c r="F887">
        <v>18</v>
      </c>
      <c r="G887" t="str">
        <f>IF(Table2[[#This Row],[Age]]&gt;=30,"Experienced",IF(Table2[[#This Row],[Age]]&gt;=25,"Mid Level", "Entry Level"))</f>
        <v>Entry Level</v>
      </c>
      <c r="H887" t="s">
        <v>29</v>
      </c>
      <c r="I887" t="s">
        <v>30</v>
      </c>
      <c r="J887" s="4">
        <v>45704</v>
      </c>
      <c r="K887" s="4" t="str">
        <f>TEXT(Table2[[#This Row],[Enrollment_date]],"Mmm")</f>
        <v>Feb</v>
      </c>
      <c r="L887" s="4" t="str">
        <f>TEXT(Table2[[#This Row],[Enrollment_date]],"Ddd")</f>
        <v>Sun</v>
      </c>
      <c r="M887" s="4" t="s">
        <v>34</v>
      </c>
      <c r="N887" t="s">
        <v>35</v>
      </c>
      <c r="O887" t="s">
        <v>38</v>
      </c>
      <c r="P887" s="8">
        <v>4</v>
      </c>
      <c r="Q887" s="6">
        <v>0.85416666666666663</v>
      </c>
      <c r="R887" s="6">
        <v>64.5</v>
      </c>
      <c r="S887" s="6" t="str">
        <f>IF(Table2[[#This Row],[Avg_score]]&gt;=79,"Distinction",IF(Table2[[#This Row],[Avg_score]]&gt;=60,"Pass","Fail"))</f>
        <v>Pass</v>
      </c>
      <c r="T887" t="s">
        <v>39</v>
      </c>
      <c r="U887">
        <f>IF(Table2[[#This Row],[Completed]]="Yes",1,0)</f>
        <v>1</v>
      </c>
      <c r="V887" t="s">
        <v>40</v>
      </c>
      <c r="W887" t="s">
        <v>40</v>
      </c>
      <c r="X887" s="4">
        <v>45838</v>
      </c>
    </row>
    <row r="888" spans="1:24" x14ac:dyDescent="0.3">
      <c r="A888">
        <v>887</v>
      </c>
      <c r="B888" s="8">
        <v>296</v>
      </c>
      <c r="C888">
        <v>2</v>
      </c>
      <c r="D888" t="s">
        <v>19</v>
      </c>
      <c r="E888" t="s">
        <v>23</v>
      </c>
      <c r="F888">
        <v>18</v>
      </c>
      <c r="G888" t="str">
        <f>IF(Table2[[#This Row],[Age]]&gt;=30,"Experienced",IF(Table2[[#This Row],[Age]]&gt;=25,"Mid Level", "Entry Level"))</f>
        <v>Entry Level</v>
      </c>
      <c r="H888" t="s">
        <v>29</v>
      </c>
      <c r="I888" t="s">
        <v>30</v>
      </c>
      <c r="J888" s="4">
        <v>45704</v>
      </c>
      <c r="K888" s="4" t="str">
        <f>TEXT(Table2[[#This Row],[Enrollment_date]],"Mmm")</f>
        <v>Feb</v>
      </c>
      <c r="L888" s="4" t="str">
        <f>TEXT(Table2[[#This Row],[Enrollment_date]],"Ddd")</f>
        <v>Sun</v>
      </c>
      <c r="M888" s="4" t="s">
        <v>34</v>
      </c>
      <c r="N888" t="s">
        <v>36</v>
      </c>
      <c r="O888" t="s">
        <v>38</v>
      </c>
      <c r="P888" s="8">
        <v>4</v>
      </c>
      <c r="Q888" s="6">
        <v>0.83333333333333337</v>
      </c>
      <c r="R888" s="6">
        <v>64</v>
      </c>
      <c r="S888" s="6" t="str">
        <f>IF(Table2[[#This Row],[Avg_score]]&gt;=79,"Distinction",IF(Table2[[#This Row],[Avg_score]]&gt;=60,"Pass","Fail"))</f>
        <v>Pass</v>
      </c>
      <c r="T888" t="s">
        <v>39</v>
      </c>
      <c r="U888">
        <f>IF(Table2[[#This Row],[Completed]]="Yes",1,0)</f>
        <v>1</v>
      </c>
      <c r="V888" t="s">
        <v>40</v>
      </c>
      <c r="W888" t="s">
        <v>40</v>
      </c>
      <c r="X888" s="4">
        <v>45838</v>
      </c>
    </row>
    <row r="889" spans="1:24" x14ac:dyDescent="0.3">
      <c r="A889">
        <v>888</v>
      </c>
      <c r="B889" s="8">
        <v>296</v>
      </c>
      <c r="C889">
        <v>3</v>
      </c>
      <c r="D889" t="s">
        <v>21</v>
      </c>
      <c r="E889" t="s">
        <v>23</v>
      </c>
      <c r="F889">
        <v>18</v>
      </c>
      <c r="G889" t="str">
        <f>IF(Table2[[#This Row],[Age]]&gt;=30,"Experienced",IF(Table2[[#This Row],[Age]]&gt;=25,"Mid Level", "Entry Level"))</f>
        <v>Entry Level</v>
      </c>
      <c r="H889" t="s">
        <v>29</v>
      </c>
      <c r="I889" t="s">
        <v>30</v>
      </c>
      <c r="J889" s="4">
        <v>45704</v>
      </c>
      <c r="K889" s="4" t="str">
        <f>TEXT(Table2[[#This Row],[Enrollment_date]],"Mmm")</f>
        <v>Feb</v>
      </c>
      <c r="L889" s="4" t="str">
        <f>TEXT(Table2[[#This Row],[Enrollment_date]],"Ddd")</f>
        <v>Sun</v>
      </c>
      <c r="M889" s="4" t="s">
        <v>34</v>
      </c>
      <c r="N889" t="s">
        <v>37</v>
      </c>
      <c r="O889" t="s">
        <v>38</v>
      </c>
      <c r="P889" s="8">
        <v>4</v>
      </c>
      <c r="Q889" s="6">
        <v>0.89583333333333337</v>
      </c>
      <c r="R889" s="6">
        <v>84.5</v>
      </c>
      <c r="S889" s="6" t="str">
        <f>IF(Table2[[#This Row],[Avg_score]]&gt;=79,"Distinction",IF(Table2[[#This Row],[Avg_score]]&gt;=60,"Pass","Fail"))</f>
        <v>Distinction</v>
      </c>
      <c r="T889" t="s">
        <v>39</v>
      </c>
      <c r="U889">
        <f>IF(Table2[[#This Row],[Completed]]="Yes",1,0)</f>
        <v>1</v>
      </c>
      <c r="V889" t="s">
        <v>40</v>
      </c>
      <c r="W889" t="s">
        <v>40</v>
      </c>
      <c r="X889" s="4">
        <v>45838</v>
      </c>
    </row>
    <row r="890" spans="1:24" x14ac:dyDescent="0.3">
      <c r="A890">
        <v>889</v>
      </c>
      <c r="B890" s="8">
        <v>297</v>
      </c>
      <c r="C890">
        <v>1</v>
      </c>
      <c r="D890" t="s">
        <v>21</v>
      </c>
      <c r="E890" t="s">
        <v>22</v>
      </c>
      <c r="F890">
        <v>28</v>
      </c>
      <c r="G890" t="str">
        <f>IF(Table2[[#This Row],[Age]]&gt;=30,"Experienced",IF(Table2[[#This Row],[Age]]&gt;=25,"Mid Level", "Entry Level"))</f>
        <v>Mid Level</v>
      </c>
      <c r="H890" t="s">
        <v>27</v>
      </c>
      <c r="I890" t="s">
        <v>32</v>
      </c>
      <c r="J890" s="4">
        <v>45715</v>
      </c>
      <c r="K890" s="4" t="str">
        <f>TEXT(Table2[[#This Row],[Enrollment_date]],"Mmm")</f>
        <v>Feb</v>
      </c>
      <c r="L890" s="4" t="str">
        <f>TEXT(Table2[[#This Row],[Enrollment_date]],"Ddd")</f>
        <v>Thu</v>
      </c>
      <c r="M890" s="4" t="s">
        <v>34</v>
      </c>
      <c r="N890" t="s">
        <v>35</v>
      </c>
      <c r="O890" t="s">
        <v>38</v>
      </c>
      <c r="P890" s="8">
        <v>4</v>
      </c>
      <c r="Q890" s="6">
        <v>0.89583333333333337</v>
      </c>
      <c r="R890" s="6">
        <v>68.5</v>
      </c>
      <c r="S890" s="6" t="str">
        <f>IF(Table2[[#This Row],[Avg_score]]&gt;=79,"Distinction",IF(Table2[[#This Row],[Avg_score]]&gt;=60,"Pass","Fail"))</f>
        <v>Pass</v>
      </c>
      <c r="T890" t="s">
        <v>39</v>
      </c>
      <c r="U890">
        <f>IF(Table2[[#This Row],[Completed]]="Yes",1,0)</f>
        <v>1</v>
      </c>
      <c r="V890" t="s">
        <v>39</v>
      </c>
      <c r="W890" t="s">
        <v>39</v>
      </c>
      <c r="X890" s="4">
        <v>45838</v>
      </c>
    </row>
    <row r="891" spans="1:24" x14ac:dyDescent="0.3">
      <c r="A891">
        <v>890</v>
      </c>
      <c r="B891" s="8">
        <v>297</v>
      </c>
      <c r="C891">
        <v>2</v>
      </c>
      <c r="D891" t="s">
        <v>19</v>
      </c>
      <c r="E891" t="s">
        <v>22</v>
      </c>
      <c r="F891">
        <v>28</v>
      </c>
      <c r="G891" t="str">
        <f>IF(Table2[[#This Row],[Age]]&gt;=30,"Experienced",IF(Table2[[#This Row],[Age]]&gt;=25,"Mid Level", "Entry Level"))</f>
        <v>Mid Level</v>
      </c>
      <c r="H891" t="s">
        <v>27</v>
      </c>
      <c r="I891" t="s">
        <v>32</v>
      </c>
      <c r="J891" s="4">
        <v>45715</v>
      </c>
      <c r="K891" s="4" t="str">
        <f>TEXT(Table2[[#This Row],[Enrollment_date]],"Mmm")</f>
        <v>Feb</v>
      </c>
      <c r="L891" s="4" t="str">
        <f>TEXT(Table2[[#This Row],[Enrollment_date]],"Ddd")</f>
        <v>Thu</v>
      </c>
      <c r="M891" s="4" t="s">
        <v>34</v>
      </c>
      <c r="N891" t="s">
        <v>36</v>
      </c>
      <c r="O891" t="s">
        <v>38</v>
      </c>
      <c r="P891" s="8">
        <v>4</v>
      </c>
      <c r="Q891" s="6">
        <v>0.875</v>
      </c>
      <c r="R891" s="6">
        <v>69</v>
      </c>
      <c r="S891" s="6" t="str">
        <f>IF(Table2[[#This Row],[Avg_score]]&gt;=79,"Distinction",IF(Table2[[#This Row],[Avg_score]]&gt;=60,"Pass","Fail"))</f>
        <v>Pass</v>
      </c>
      <c r="T891" t="s">
        <v>39</v>
      </c>
      <c r="U891">
        <f>IF(Table2[[#This Row],[Completed]]="Yes",1,0)</f>
        <v>1</v>
      </c>
      <c r="V891" t="s">
        <v>39</v>
      </c>
      <c r="W891" t="s">
        <v>39</v>
      </c>
      <c r="X891" s="4">
        <v>45838</v>
      </c>
    </row>
    <row r="892" spans="1:24" x14ac:dyDescent="0.3">
      <c r="A892">
        <v>891</v>
      </c>
      <c r="B892" s="8">
        <v>297</v>
      </c>
      <c r="C892">
        <v>3</v>
      </c>
      <c r="D892" t="s">
        <v>21</v>
      </c>
      <c r="E892" t="s">
        <v>22</v>
      </c>
      <c r="F892">
        <v>28</v>
      </c>
      <c r="G892" t="str">
        <f>IF(Table2[[#This Row],[Age]]&gt;=30,"Experienced",IF(Table2[[#This Row],[Age]]&gt;=25,"Mid Level", "Entry Level"))</f>
        <v>Mid Level</v>
      </c>
      <c r="H892" t="s">
        <v>27</v>
      </c>
      <c r="I892" t="s">
        <v>32</v>
      </c>
      <c r="J892" s="4">
        <v>45715</v>
      </c>
      <c r="K892" s="4" t="str">
        <f>TEXT(Table2[[#This Row],[Enrollment_date]],"Mmm")</f>
        <v>Feb</v>
      </c>
      <c r="L892" s="4" t="str">
        <f>TEXT(Table2[[#This Row],[Enrollment_date]],"Ddd")</f>
        <v>Thu</v>
      </c>
      <c r="M892" s="4" t="s">
        <v>34</v>
      </c>
      <c r="N892" t="s">
        <v>37</v>
      </c>
      <c r="O892" t="s">
        <v>38</v>
      </c>
      <c r="P892" s="8">
        <v>4</v>
      </c>
      <c r="Q892" s="6">
        <v>0.70833333333333337</v>
      </c>
      <c r="R892" s="6">
        <v>88</v>
      </c>
      <c r="S892" s="6" t="str">
        <f>IF(Table2[[#This Row],[Avg_score]]&gt;=79,"Distinction",IF(Table2[[#This Row],[Avg_score]]&gt;=60,"Pass","Fail"))</f>
        <v>Distinction</v>
      </c>
      <c r="T892" t="s">
        <v>39</v>
      </c>
      <c r="U892">
        <f>IF(Table2[[#This Row],[Completed]]="Yes",1,0)</f>
        <v>1</v>
      </c>
      <c r="V892" t="s">
        <v>39</v>
      </c>
      <c r="W892" t="s">
        <v>39</v>
      </c>
      <c r="X892" s="4">
        <v>45838</v>
      </c>
    </row>
    <row r="893" spans="1:24" x14ac:dyDescent="0.3">
      <c r="A893">
        <v>892</v>
      </c>
      <c r="B893" s="8">
        <v>298</v>
      </c>
      <c r="C893">
        <v>1</v>
      </c>
      <c r="D893" t="s">
        <v>21</v>
      </c>
      <c r="E893" t="s">
        <v>22</v>
      </c>
      <c r="F893">
        <v>22</v>
      </c>
      <c r="G893" t="str">
        <f>IF(Table2[[#This Row],[Age]]&gt;=30,"Experienced",IF(Table2[[#This Row],[Age]]&gt;=25,"Mid Level", "Entry Level"))</f>
        <v>Entry Level</v>
      </c>
      <c r="H893" t="s">
        <v>25</v>
      </c>
      <c r="I893" t="s">
        <v>30</v>
      </c>
      <c r="J893" s="4">
        <v>45683</v>
      </c>
      <c r="K893" s="4" t="str">
        <f>TEXT(Table2[[#This Row],[Enrollment_date]],"Mmm")</f>
        <v>Jan</v>
      </c>
      <c r="L893" s="4" t="str">
        <f>TEXT(Table2[[#This Row],[Enrollment_date]],"Ddd")</f>
        <v>Sun</v>
      </c>
      <c r="M893" s="4" t="s">
        <v>34</v>
      </c>
      <c r="N893" t="s">
        <v>35</v>
      </c>
      <c r="O893" t="s">
        <v>38</v>
      </c>
      <c r="P893" s="8">
        <v>4</v>
      </c>
      <c r="Q893" s="6">
        <v>0.85416666666666663</v>
      </c>
      <c r="R893" s="6">
        <v>62.5</v>
      </c>
      <c r="S893" s="6" t="str">
        <f>IF(Table2[[#This Row],[Avg_score]]&gt;=79,"Distinction",IF(Table2[[#This Row],[Avg_score]]&gt;=60,"Pass","Fail"))</f>
        <v>Pass</v>
      </c>
      <c r="T893" t="s">
        <v>39</v>
      </c>
      <c r="U893">
        <f>IF(Table2[[#This Row],[Completed]]="Yes",1,0)</f>
        <v>1</v>
      </c>
      <c r="V893" t="s">
        <v>39</v>
      </c>
      <c r="W893" t="s">
        <v>39</v>
      </c>
      <c r="X893" s="4">
        <v>45838</v>
      </c>
    </row>
    <row r="894" spans="1:24" x14ac:dyDescent="0.3">
      <c r="A894">
        <v>893</v>
      </c>
      <c r="B894" s="8">
        <v>298</v>
      </c>
      <c r="C894">
        <v>2</v>
      </c>
      <c r="D894" t="s">
        <v>21</v>
      </c>
      <c r="E894" t="s">
        <v>22</v>
      </c>
      <c r="F894">
        <v>22</v>
      </c>
      <c r="G894" t="str">
        <f>IF(Table2[[#This Row],[Age]]&gt;=30,"Experienced",IF(Table2[[#This Row],[Age]]&gt;=25,"Mid Level", "Entry Level"))</f>
        <v>Entry Level</v>
      </c>
      <c r="H894" t="s">
        <v>25</v>
      </c>
      <c r="I894" t="s">
        <v>30</v>
      </c>
      <c r="J894" s="4">
        <v>45683</v>
      </c>
      <c r="K894" s="4" t="str">
        <f>TEXT(Table2[[#This Row],[Enrollment_date]],"Mmm")</f>
        <v>Jan</v>
      </c>
      <c r="L894" s="4" t="str">
        <f>TEXT(Table2[[#This Row],[Enrollment_date]],"Ddd")</f>
        <v>Sun</v>
      </c>
      <c r="M894" s="4" t="s">
        <v>34</v>
      </c>
      <c r="N894" t="s">
        <v>36</v>
      </c>
      <c r="O894" t="s">
        <v>38</v>
      </c>
      <c r="P894" s="8">
        <v>4</v>
      </c>
      <c r="Q894" s="6">
        <v>0.79166666666666663</v>
      </c>
      <c r="R894" s="6">
        <v>86.5</v>
      </c>
      <c r="S894" s="6" t="str">
        <f>IF(Table2[[#This Row],[Avg_score]]&gt;=79,"Distinction",IF(Table2[[#This Row],[Avg_score]]&gt;=60,"Pass","Fail"))</f>
        <v>Distinction</v>
      </c>
      <c r="T894" t="s">
        <v>39</v>
      </c>
      <c r="U894">
        <f>IF(Table2[[#This Row],[Completed]]="Yes",1,0)</f>
        <v>1</v>
      </c>
      <c r="V894" t="s">
        <v>39</v>
      </c>
      <c r="W894" t="s">
        <v>39</v>
      </c>
      <c r="X894" s="4">
        <v>45838</v>
      </c>
    </row>
    <row r="895" spans="1:24" x14ac:dyDescent="0.3">
      <c r="A895">
        <v>894</v>
      </c>
      <c r="B895" s="8">
        <v>298</v>
      </c>
      <c r="C895">
        <v>3</v>
      </c>
      <c r="D895" t="s">
        <v>19</v>
      </c>
      <c r="E895" t="s">
        <v>22</v>
      </c>
      <c r="F895">
        <v>22</v>
      </c>
      <c r="G895" t="str">
        <f>IF(Table2[[#This Row],[Age]]&gt;=30,"Experienced",IF(Table2[[#This Row],[Age]]&gt;=25,"Mid Level", "Entry Level"))</f>
        <v>Entry Level</v>
      </c>
      <c r="H895" t="s">
        <v>25</v>
      </c>
      <c r="I895" t="s">
        <v>30</v>
      </c>
      <c r="J895" s="4">
        <v>45683</v>
      </c>
      <c r="K895" s="4" t="str">
        <f>TEXT(Table2[[#This Row],[Enrollment_date]],"Mmm")</f>
        <v>Jan</v>
      </c>
      <c r="L895" s="4" t="str">
        <f>TEXT(Table2[[#This Row],[Enrollment_date]],"Ddd")</f>
        <v>Sun</v>
      </c>
      <c r="M895" s="4" t="s">
        <v>34</v>
      </c>
      <c r="N895" t="s">
        <v>37</v>
      </c>
      <c r="O895" t="s">
        <v>38</v>
      </c>
      <c r="P895" s="8">
        <v>4</v>
      </c>
      <c r="Q895" s="6">
        <v>0.875</v>
      </c>
      <c r="R895" s="6">
        <v>80.5</v>
      </c>
      <c r="S895" s="6" t="str">
        <f>IF(Table2[[#This Row],[Avg_score]]&gt;=79,"Distinction",IF(Table2[[#This Row],[Avg_score]]&gt;=60,"Pass","Fail"))</f>
        <v>Distinction</v>
      </c>
      <c r="T895" t="s">
        <v>39</v>
      </c>
      <c r="U895">
        <f>IF(Table2[[#This Row],[Completed]]="Yes",1,0)</f>
        <v>1</v>
      </c>
      <c r="V895" t="s">
        <v>39</v>
      </c>
      <c r="W895" t="s">
        <v>39</v>
      </c>
      <c r="X895" s="4">
        <v>45838</v>
      </c>
    </row>
    <row r="896" spans="1:24" x14ac:dyDescent="0.3">
      <c r="A896">
        <v>895</v>
      </c>
      <c r="B896" s="8">
        <v>299</v>
      </c>
      <c r="C896">
        <v>1</v>
      </c>
      <c r="D896" t="s">
        <v>19</v>
      </c>
      <c r="E896" t="s">
        <v>22</v>
      </c>
      <c r="F896">
        <v>28</v>
      </c>
      <c r="G896" t="str">
        <f>IF(Table2[[#This Row],[Age]]&gt;=30,"Experienced",IF(Table2[[#This Row],[Age]]&gt;=25,"Mid Level", "Entry Level"))</f>
        <v>Mid Level</v>
      </c>
      <c r="H896" t="s">
        <v>26</v>
      </c>
      <c r="I896" t="s">
        <v>32</v>
      </c>
      <c r="J896" s="4">
        <v>45754</v>
      </c>
      <c r="K896" s="4" t="str">
        <f>TEXT(Table2[[#This Row],[Enrollment_date]],"Mmm")</f>
        <v>Apr</v>
      </c>
      <c r="L896" s="4" t="str">
        <f>TEXT(Table2[[#This Row],[Enrollment_date]],"Ddd")</f>
        <v>Mon</v>
      </c>
      <c r="M896" s="4" t="s">
        <v>34</v>
      </c>
      <c r="N896" t="s">
        <v>35</v>
      </c>
      <c r="O896" t="s">
        <v>38</v>
      </c>
      <c r="P896" s="8">
        <v>4</v>
      </c>
      <c r="Q896" s="6">
        <v>0.83333333333333337</v>
      </c>
      <c r="R896" s="6">
        <v>65</v>
      </c>
      <c r="S896" s="6" t="str">
        <f>IF(Table2[[#This Row],[Avg_score]]&gt;=79,"Distinction",IF(Table2[[#This Row],[Avg_score]]&gt;=60,"Pass","Fail"))</f>
        <v>Pass</v>
      </c>
      <c r="T896" t="s">
        <v>40</v>
      </c>
      <c r="U896">
        <f>IF(Table2[[#This Row],[Completed]]="Yes",1,0)</f>
        <v>0</v>
      </c>
      <c r="V896" t="s">
        <v>40</v>
      </c>
      <c r="W896" t="s">
        <v>40</v>
      </c>
      <c r="X896" s="4">
        <v>45838</v>
      </c>
    </row>
    <row r="897" spans="1:24" x14ac:dyDescent="0.3">
      <c r="A897">
        <v>896</v>
      </c>
      <c r="B897" s="8">
        <v>299</v>
      </c>
      <c r="C897">
        <v>2</v>
      </c>
      <c r="D897" t="s">
        <v>19</v>
      </c>
      <c r="E897" t="s">
        <v>22</v>
      </c>
      <c r="F897">
        <v>28</v>
      </c>
      <c r="G897" t="str">
        <f>IF(Table2[[#This Row],[Age]]&gt;=30,"Experienced",IF(Table2[[#This Row],[Age]]&gt;=25,"Mid Level", "Entry Level"))</f>
        <v>Mid Level</v>
      </c>
      <c r="H897" t="s">
        <v>26</v>
      </c>
      <c r="I897" t="s">
        <v>32</v>
      </c>
      <c r="J897" s="4">
        <v>45754</v>
      </c>
      <c r="K897" s="4" t="str">
        <f>TEXT(Table2[[#This Row],[Enrollment_date]],"Mmm")</f>
        <v>Apr</v>
      </c>
      <c r="L897" s="4" t="str">
        <f>TEXT(Table2[[#This Row],[Enrollment_date]],"Ddd")</f>
        <v>Mon</v>
      </c>
      <c r="M897" s="4" t="s">
        <v>34</v>
      </c>
      <c r="N897" t="s">
        <v>36</v>
      </c>
      <c r="O897" t="s">
        <v>38</v>
      </c>
      <c r="P897" s="8">
        <v>4</v>
      </c>
      <c r="Q897" s="6">
        <v>0.875</v>
      </c>
      <c r="R897" s="6">
        <v>84</v>
      </c>
      <c r="S897" s="6" t="str">
        <f>IF(Table2[[#This Row],[Avg_score]]&gt;=79,"Distinction",IF(Table2[[#This Row],[Avg_score]]&gt;=60,"Pass","Fail"))</f>
        <v>Distinction</v>
      </c>
      <c r="T897" t="s">
        <v>40</v>
      </c>
      <c r="U897">
        <f>IF(Table2[[#This Row],[Completed]]="Yes",1,0)</f>
        <v>0</v>
      </c>
      <c r="V897" t="s">
        <v>40</v>
      </c>
      <c r="W897" t="s">
        <v>40</v>
      </c>
      <c r="X897" s="4">
        <v>45838</v>
      </c>
    </row>
    <row r="898" spans="1:24" x14ac:dyDescent="0.3">
      <c r="A898">
        <v>897</v>
      </c>
      <c r="B898" s="8">
        <v>299</v>
      </c>
      <c r="C898">
        <v>3</v>
      </c>
      <c r="D898" t="s">
        <v>19</v>
      </c>
      <c r="E898" t="s">
        <v>22</v>
      </c>
      <c r="F898">
        <v>28</v>
      </c>
      <c r="G898" t="str">
        <f>IF(Table2[[#This Row],[Age]]&gt;=30,"Experienced",IF(Table2[[#This Row],[Age]]&gt;=25,"Mid Level", "Entry Level"))</f>
        <v>Mid Level</v>
      </c>
      <c r="H898" t="s">
        <v>26</v>
      </c>
      <c r="I898" t="s">
        <v>32</v>
      </c>
      <c r="J898" s="4">
        <v>45754</v>
      </c>
      <c r="K898" s="4" t="str">
        <f>TEXT(Table2[[#This Row],[Enrollment_date]],"Mmm")</f>
        <v>Apr</v>
      </c>
      <c r="L898" s="4" t="str">
        <f>TEXT(Table2[[#This Row],[Enrollment_date]],"Ddd")</f>
        <v>Mon</v>
      </c>
      <c r="M898" s="4" t="s">
        <v>34</v>
      </c>
      <c r="N898" t="s">
        <v>37</v>
      </c>
      <c r="O898" t="s">
        <v>38</v>
      </c>
      <c r="P898" s="8">
        <v>4</v>
      </c>
      <c r="Q898" s="6">
        <v>0.77083333333333337</v>
      </c>
      <c r="R898" s="6">
        <v>61</v>
      </c>
      <c r="S898" s="6" t="str">
        <f>IF(Table2[[#This Row],[Avg_score]]&gt;=79,"Distinction",IF(Table2[[#This Row],[Avg_score]]&gt;=60,"Pass","Fail"))</f>
        <v>Pass</v>
      </c>
      <c r="T898" t="s">
        <v>40</v>
      </c>
      <c r="U898">
        <f>IF(Table2[[#This Row],[Completed]]="Yes",1,0)</f>
        <v>0</v>
      </c>
      <c r="V898" t="s">
        <v>40</v>
      </c>
      <c r="W898" t="s">
        <v>40</v>
      </c>
      <c r="X898" s="4">
        <v>45838</v>
      </c>
    </row>
    <row r="899" spans="1:24" x14ac:dyDescent="0.3">
      <c r="A899">
        <v>898</v>
      </c>
      <c r="B899" s="8">
        <v>300</v>
      </c>
      <c r="C899">
        <v>1</v>
      </c>
      <c r="D899" t="s">
        <v>19</v>
      </c>
      <c r="E899" t="s">
        <v>22</v>
      </c>
      <c r="F899">
        <v>23</v>
      </c>
      <c r="G899" t="str">
        <f>IF(Table2[[#This Row],[Age]]&gt;=30,"Experienced",IF(Table2[[#This Row],[Age]]&gt;=25,"Mid Level", "Entry Level"))</f>
        <v>Entry Level</v>
      </c>
      <c r="H899" t="s">
        <v>28</v>
      </c>
      <c r="I899" t="s">
        <v>32</v>
      </c>
      <c r="J899" s="4">
        <v>45770</v>
      </c>
      <c r="K899" s="4" t="str">
        <f>TEXT(Table2[[#This Row],[Enrollment_date]],"Mmm")</f>
        <v>Apr</v>
      </c>
      <c r="L899" s="4" t="str">
        <f>TEXT(Table2[[#This Row],[Enrollment_date]],"Ddd")</f>
        <v>Wed</v>
      </c>
      <c r="M899" s="4" t="s">
        <v>34</v>
      </c>
      <c r="N899" t="s">
        <v>35</v>
      </c>
      <c r="O899" t="s">
        <v>38</v>
      </c>
      <c r="P899" s="8">
        <v>4</v>
      </c>
      <c r="Q899" s="6">
        <v>0.83333333333333337</v>
      </c>
      <c r="R899" s="6">
        <v>65.5</v>
      </c>
      <c r="S899" s="6" t="str">
        <f>IF(Table2[[#This Row],[Avg_score]]&gt;=79,"Distinction",IF(Table2[[#This Row],[Avg_score]]&gt;=60,"Pass","Fail"))</f>
        <v>Pass</v>
      </c>
      <c r="T899" t="s">
        <v>39</v>
      </c>
      <c r="U899">
        <f>IF(Table2[[#This Row],[Completed]]="Yes",1,0)</f>
        <v>1</v>
      </c>
      <c r="V899" t="s">
        <v>39</v>
      </c>
      <c r="W899" t="s">
        <v>40</v>
      </c>
      <c r="X899" s="4">
        <v>45838</v>
      </c>
    </row>
    <row r="900" spans="1:24" x14ac:dyDescent="0.3">
      <c r="A900">
        <v>899</v>
      </c>
      <c r="B900" s="8">
        <v>300</v>
      </c>
      <c r="C900">
        <v>2</v>
      </c>
      <c r="D900" t="s">
        <v>19</v>
      </c>
      <c r="E900" t="s">
        <v>22</v>
      </c>
      <c r="F900">
        <v>23</v>
      </c>
      <c r="G900" t="str">
        <f>IF(Table2[[#This Row],[Age]]&gt;=30,"Experienced",IF(Table2[[#This Row],[Age]]&gt;=25,"Mid Level", "Entry Level"))</f>
        <v>Entry Level</v>
      </c>
      <c r="H900" t="s">
        <v>28</v>
      </c>
      <c r="I900" t="s">
        <v>32</v>
      </c>
      <c r="J900" s="4">
        <v>45770</v>
      </c>
      <c r="K900" s="4" t="str">
        <f>TEXT(Table2[[#This Row],[Enrollment_date]],"Mmm")</f>
        <v>Apr</v>
      </c>
      <c r="L900" s="4" t="str">
        <f>TEXT(Table2[[#This Row],[Enrollment_date]],"Ddd")</f>
        <v>Wed</v>
      </c>
      <c r="M900" s="4" t="s">
        <v>34</v>
      </c>
      <c r="N900" t="s">
        <v>36</v>
      </c>
      <c r="O900" t="s">
        <v>38</v>
      </c>
      <c r="P900" s="8">
        <v>4</v>
      </c>
      <c r="Q900" s="6">
        <v>0.85416666666666663</v>
      </c>
      <c r="R900" s="6">
        <v>62</v>
      </c>
      <c r="S900" s="6" t="str">
        <f>IF(Table2[[#This Row],[Avg_score]]&gt;=79,"Distinction",IF(Table2[[#This Row],[Avg_score]]&gt;=60,"Pass","Fail"))</f>
        <v>Pass</v>
      </c>
      <c r="T900" t="s">
        <v>39</v>
      </c>
      <c r="U900">
        <f>IF(Table2[[#This Row],[Completed]]="Yes",1,0)</f>
        <v>1</v>
      </c>
      <c r="V900" t="s">
        <v>39</v>
      </c>
      <c r="W900" t="s">
        <v>40</v>
      </c>
      <c r="X900" s="4">
        <v>45838</v>
      </c>
    </row>
    <row r="901" spans="1:24" x14ac:dyDescent="0.3">
      <c r="A901">
        <v>900</v>
      </c>
      <c r="B901" s="8">
        <v>300</v>
      </c>
      <c r="C901">
        <v>3</v>
      </c>
      <c r="D901" t="s">
        <v>21</v>
      </c>
      <c r="E901" t="s">
        <v>22</v>
      </c>
      <c r="F901">
        <v>23</v>
      </c>
      <c r="G901" t="str">
        <f>IF(Table2[[#This Row],[Age]]&gt;=30,"Experienced",IF(Table2[[#This Row],[Age]]&gt;=25,"Mid Level", "Entry Level"))</f>
        <v>Entry Level</v>
      </c>
      <c r="H901" t="s">
        <v>28</v>
      </c>
      <c r="I901" t="s">
        <v>32</v>
      </c>
      <c r="J901" s="4">
        <v>45770</v>
      </c>
      <c r="K901" s="4" t="str">
        <f>TEXT(Table2[[#This Row],[Enrollment_date]],"Mmm")</f>
        <v>Apr</v>
      </c>
      <c r="L901" s="4" t="str">
        <f>TEXT(Table2[[#This Row],[Enrollment_date]],"Ddd")</f>
        <v>Wed</v>
      </c>
      <c r="M901" s="4" t="s">
        <v>34</v>
      </c>
      <c r="N901" t="s">
        <v>37</v>
      </c>
      <c r="O901" t="s">
        <v>38</v>
      </c>
      <c r="P901" s="8">
        <v>4</v>
      </c>
      <c r="Q901" s="6">
        <v>0.9375</v>
      </c>
      <c r="R901" s="6">
        <v>65</v>
      </c>
      <c r="S901" s="6" t="str">
        <f>IF(Table2[[#This Row],[Avg_score]]&gt;=79,"Distinction",IF(Table2[[#This Row],[Avg_score]]&gt;=60,"Pass","Fail"))</f>
        <v>Pass</v>
      </c>
      <c r="T901" t="s">
        <v>39</v>
      </c>
      <c r="U901">
        <f>IF(Table2[[#This Row],[Completed]]="Yes",1,0)</f>
        <v>1</v>
      </c>
      <c r="V901" t="s">
        <v>39</v>
      </c>
      <c r="W901" t="s">
        <v>40</v>
      </c>
      <c r="X901" s="4">
        <v>45838</v>
      </c>
    </row>
    <row r="902" spans="1:24" x14ac:dyDescent="0.3">
      <c r="A902">
        <v>901</v>
      </c>
      <c r="B902" s="8">
        <v>301</v>
      </c>
      <c r="C902">
        <v>1</v>
      </c>
      <c r="D902" t="s">
        <v>21</v>
      </c>
      <c r="E902" t="s">
        <v>22</v>
      </c>
      <c r="F902">
        <v>31</v>
      </c>
      <c r="G902" t="str">
        <f>IF(Table2[[#This Row],[Age]]&gt;=30,"Experienced",IF(Table2[[#This Row],[Age]]&gt;=25,"Mid Level", "Entry Level"))</f>
        <v>Experienced</v>
      </c>
      <c r="H902" t="s">
        <v>29</v>
      </c>
      <c r="I902" t="s">
        <v>32</v>
      </c>
      <c r="J902" s="4">
        <v>45771</v>
      </c>
      <c r="K902" s="4" t="str">
        <f>TEXT(Table2[[#This Row],[Enrollment_date]],"Mmm")</f>
        <v>Apr</v>
      </c>
      <c r="L902" s="4" t="str">
        <f>TEXT(Table2[[#This Row],[Enrollment_date]],"Ddd")</f>
        <v>Thu</v>
      </c>
      <c r="M902" s="4" t="s">
        <v>34</v>
      </c>
      <c r="N902" t="s">
        <v>35</v>
      </c>
      <c r="O902" t="s">
        <v>38</v>
      </c>
      <c r="P902" s="8">
        <v>4</v>
      </c>
      <c r="Q902" s="6">
        <v>0.875</v>
      </c>
      <c r="R902" s="6">
        <v>52.5</v>
      </c>
      <c r="S902" s="6" t="str">
        <f>IF(Table2[[#This Row],[Avg_score]]&gt;=79,"Distinction",IF(Table2[[#This Row],[Avg_score]]&gt;=60,"Pass","Fail"))</f>
        <v>Fail</v>
      </c>
      <c r="T902" t="s">
        <v>40</v>
      </c>
      <c r="U902">
        <f>IF(Table2[[#This Row],[Completed]]="Yes",1,0)</f>
        <v>0</v>
      </c>
      <c r="V902" t="s">
        <v>40</v>
      </c>
      <c r="W902" t="s">
        <v>40</v>
      </c>
      <c r="X902" s="4">
        <v>45838</v>
      </c>
    </row>
    <row r="903" spans="1:24" x14ac:dyDescent="0.3">
      <c r="A903">
        <v>902</v>
      </c>
      <c r="B903" s="8">
        <v>301</v>
      </c>
      <c r="C903">
        <v>2</v>
      </c>
      <c r="D903" t="s">
        <v>19</v>
      </c>
      <c r="E903" t="s">
        <v>22</v>
      </c>
      <c r="F903">
        <v>31</v>
      </c>
      <c r="G903" t="str">
        <f>IF(Table2[[#This Row],[Age]]&gt;=30,"Experienced",IF(Table2[[#This Row],[Age]]&gt;=25,"Mid Level", "Entry Level"))</f>
        <v>Experienced</v>
      </c>
      <c r="H903" t="s">
        <v>29</v>
      </c>
      <c r="I903" t="s">
        <v>32</v>
      </c>
      <c r="J903" s="4">
        <v>45771</v>
      </c>
      <c r="K903" s="4" t="str">
        <f>TEXT(Table2[[#This Row],[Enrollment_date]],"Mmm")</f>
        <v>Apr</v>
      </c>
      <c r="L903" s="4" t="str">
        <f>TEXT(Table2[[#This Row],[Enrollment_date]],"Ddd")</f>
        <v>Thu</v>
      </c>
      <c r="M903" s="4" t="s">
        <v>34</v>
      </c>
      <c r="N903" t="s">
        <v>36</v>
      </c>
      <c r="O903" t="s">
        <v>38</v>
      </c>
      <c r="P903" s="8">
        <v>4</v>
      </c>
      <c r="Q903" s="6">
        <v>0.8125</v>
      </c>
      <c r="R903" s="6">
        <v>73</v>
      </c>
      <c r="S903" s="6" t="str">
        <f>IF(Table2[[#This Row],[Avg_score]]&gt;=79,"Distinction",IF(Table2[[#This Row],[Avg_score]]&gt;=60,"Pass","Fail"))</f>
        <v>Pass</v>
      </c>
      <c r="T903" t="s">
        <v>40</v>
      </c>
      <c r="U903">
        <f>IF(Table2[[#This Row],[Completed]]="Yes",1,0)</f>
        <v>0</v>
      </c>
      <c r="V903" t="s">
        <v>40</v>
      </c>
      <c r="W903" t="s">
        <v>40</v>
      </c>
      <c r="X903" s="4">
        <v>45838</v>
      </c>
    </row>
    <row r="904" spans="1:24" x14ac:dyDescent="0.3">
      <c r="A904">
        <v>903</v>
      </c>
      <c r="B904" s="8">
        <v>301</v>
      </c>
      <c r="C904">
        <v>3</v>
      </c>
      <c r="D904" t="s">
        <v>21</v>
      </c>
      <c r="E904" t="s">
        <v>22</v>
      </c>
      <c r="F904">
        <v>31</v>
      </c>
      <c r="G904" t="str">
        <f>IF(Table2[[#This Row],[Age]]&gt;=30,"Experienced",IF(Table2[[#This Row],[Age]]&gt;=25,"Mid Level", "Entry Level"))</f>
        <v>Experienced</v>
      </c>
      <c r="H904" t="s">
        <v>29</v>
      </c>
      <c r="I904" t="s">
        <v>32</v>
      </c>
      <c r="J904" s="4">
        <v>45771</v>
      </c>
      <c r="K904" s="4" t="str">
        <f>TEXT(Table2[[#This Row],[Enrollment_date]],"Mmm")</f>
        <v>Apr</v>
      </c>
      <c r="L904" s="4" t="str">
        <f>TEXT(Table2[[#This Row],[Enrollment_date]],"Ddd")</f>
        <v>Thu</v>
      </c>
      <c r="M904" s="4" t="s">
        <v>34</v>
      </c>
      <c r="N904" t="s">
        <v>37</v>
      </c>
      <c r="O904" t="s">
        <v>38</v>
      </c>
      <c r="P904" s="8">
        <v>4</v>
      </c>
      <c r="Q904" s="6">
        <v>0.875</v>
      </c>
      <c r="R904" s="6">
        <v>62.5</v>
      </c>
      <c r="S904" s="6" t="str">
        <f>IF(Table2[[#This Row],[Avg_score]]&gt;=79,"Distinction",IF(Table2[[#This Row],[Avg_score]]&gt;=60,"Pass","Fail"))</f>
        <v>Pass</v>
      </c>
      <c r="T904" t="s">
        <v>40</v>
      </c>
      <c r="U904">
        <f>IF(Table2[[#This Row],[Completed]]="Yes",1,0)</f>
        <v>0</v>
      </c>
      <c r="V904" t="s">
        <v>40</v>
      </c>
      <c r="W904" t="s">
        <v>40</v>
      </c>
      <c r="X904" s="4">
        <v>45838</v>
      </c>
    </row>
    <row r="905" spans="1:24" x14ac:dyDescent="0.3">
      <c r="A905">
        <v>904</v>
      </c>
      <c r="B905" s="8">
        <v>302</v>
      </c>
      <c r="C905">
        <v>1</v>
      </c>
      <c r="D905" t="s">
        <v>21</v>
      </c>
      <c r="E905" t="s">
        <v>23</v>
      </c>
      <c r="F905">
        <v>32</v>
      </c>
      <c r="G905" t="str">
        <f>IF(Table2[[#This Row],[Age]]&gt;=30,"Experienced",IF(Table2[[#This Row],[Age]]&gt;=25,"Mid Level", "Entry Level"))</f>
        <v>Experienced</v>
      </c>
      <c r="H905" t="s">
        <v>28</v>
      </c>
      <c r="I905" t="s">
        <v>32</v>
      </c>
      <c r="J905" s="4">
        <v>45737</v>
      </c>
      <c r="K905" s="4" t="str">
        <f>TEXT(Table2[[#This Row],[Enrollment_date]],"Mmm")</f>
        <v>Mar</v>
      </c>
      <c r="L905" s="4" t="str">
        <f>TEXT(Table2[[#This Row],[Enrollment_date]],"Ddd")</f>
        <v>Fri</v>
      </c>
      <c r="M905" s="4" t="s">
        <v>34</v>
      </c>
      <c r="N905" t="s">
        <v>35</v>
      </c>
      <c r="O905" t="s">
        <v>38</v>
      </c>
      <c r="P905" s="8">
        <v>4</v>
      </c>
      <c r="Q905" s="6">
        <v>0.8125</v>
      </c>
      <c r="R905" s="6">
        <v>85.5</v>
      </c>
      <c r="S905" s="6" t="str">
        <f>IF(Table2[[#This Row],[Avg_score]]&gt;=79,"Distinction",IF(Table2[[#This Row],[Avg_score]]&gt;=60,"Pass","Fail"))</f>
        <v>Distinction</v>
      </c>
      <c r="T905" t="s">
        <v>39</v>
      </c>
      <c r="U905">
        <f>IF(Table2[[#This Row],[Completed]]="Yes",1,0)</f>
        <v>1</v>
      </c>
      <c r="V905" t="s">
        <v>39</v>
      </c>
      <c r="W905" t="s">
        <v>40</v>
      </c>
      <c r="X905" s="4">
        <v>45838</v>
      </c>
    </row>
    <row r="906" spans="1:24" x14ac:dyDescent="0.3">
      <c r="A906">
        <v>905</v>
      </c>
      <c r="B906" s="8">
        <v>302</v>
      </c>
      <c r="C906">
        <v>2</v>
      </c>
      <c r="D906" t="s">
        <v>19</v>
      </c>
      <c r="E906" t="s">
        <v>23</v>
      </c>
      <c r="F906">
        <v>32</v>
      </c>
      <c r="G906" t="str">
        <f>IF(Table2[[#This Row],[Age]]&gt;=30,"Experienced",IF(Table2[[#This Row],[Age]]&gt;=25,"Mid Level", "Entry Level"))</f>
        <v>Experienced</v>
      </c>
      <c r="H906" t="s">
        <v>28</v>
      </c>
      <c r="I906" t="s">
        <v>32</v>
      </c>
      <c r="J906" s="4">
        <v>45737</v>
      </c>
      <c r="K906" s="4" t="str">
        <f>TEXT(Table2[[#This Row],[Enrollment_date]],"Mmm")</f>
        <v>Mar</v>
      </c>
      <c r="L906" s="4" t="str">
        <f>TEXT(Table2[[#This Row],[Enrollment_date]],"Ddd")</f>
        <v>Fri</v>
      </c>
      <c r="M906" s="4" t="s">
        <v>34</v>
      </c>
      <c r="N906" t="s">
        <v>36</v>
      </c>
      <c r="O906" t="s">
        <v>38</v>
      </c>
      <c r="P906" s="8">
        <v>4</v>
      </c>
      <c r="Q906" s="6">
        <v>0.83333333333333337</v>
      </c>
      <c r="R906" s="6">
        <v>85.5</v>
      </c>
      <c r="S906" s="6" t="str">
        <f>IF(Table2[[#This Row],[Avg_score]]&gt;=79,"Distinction",IF(Table2[[#This Row],[Avg_score]]&gt;=60,"Pass","Fail"))</f>
        <v>Distinction</v>
      </c>
      <c r="T906" t="s">
        <v>39</v>
      </c>
      <c r="U906">
        <f>IF(Table2[[#This Row],[Completed]]="Yes",1,0)</f>
        <v>1</v>
      </c>
      <c r="V906" t="s">
        <v>39</v>
      </c>
      <c r="W906" t="s">
        <v>40</v>
      </c>
      <c r="X906" s="4">
        <v>45838</v>
      </c>
    </row>
    <row r="907" spans="1:24" x14ac:dyDescent="0.3">
      <c r="A907">
        <v>906</v>
      </c>
      <c r="B907" s="8">
        <v>302</v>
      </c>
      <c r="C907">
        <v>3</v>
      </c>
      <c r="D907" t="s">
        <v>20</v>
      </c>
      <c r="E907" t="s">
        <v>23</v>
      </c>
      <c r="F907">
        <v>32</v>
      </c>
      <c r="G907" t="str">
        <f>IF(Table2[[#This Row],[Age]]&gt;=30,"Experienced",IF(Table2[[#This Row],[Age]]&gt;=25,"Mid Level", "Entry Level"))</f>
        <v>Experienced</v>
      </c>
      <c r="H907" t="s">
        <v>28</v>
      </c>
      <c r="I907" t="s">
        <v>32</v>
      </c>
      <c r="J907" s="4">
        <v>45737</v>
      </c>
      <c r="K907" s="4" t="str">
        <f>TEXT(Table2[[#This Row],[Enrollment_date]],"Mmm")</f>
        <v>Mar</v>
      </c>
      <c r="L907" s="4" t="str">
        <f>TEXT(Table2[[#This Row],[Enrollment_date]],"Ddd")</f>
        <v>Fri</v>
      </c>
      <c r="M907" s="4" t="s">
        <v>34</v>
      </c>
      <c r="N907" t="s">
        <v>37</v>
      </c>
      <c r="O907" t="s">
        <v>38</v>
      </c>
      <c r="P907" s="8">
        <v>4</v>
      </c>
      <c r="Q907" s="6">
        <v>0.85416666666666663</v>
      </c>
      <c r="R907" s="6">
        <v>85.5</v>
      </c>
      <c r="S907" s="6" t="str">
        <f>IF(Table2[[#This Row],[Avg_score]]&gt;=79,"Distinction",IF(Table2[[#This Row],[Avg_score]]&gt;=60,"Pass","Fail"))</f>
        <v>Distinction</v>
      </c>
      <c r="T907" t="s">
        <v>39</v>
      </c>
      <c r="U907">
        <f>IF(Table2[[#This Row],[Completed]]="Yes",1,0)</f>
        <v>1</v>
      </c>
      <c r="V907" t="s">
        <v>39</v>
      </c>
      <c r="W907" t="s">
        <v>40</v>
      </c>
      <c r="X907" s="4">
        <v>45838</v>
      </c>
    </row>
    <row r="908" spans="1:24" x14ac:dyDescent="0.3">
      <c r="A908">
        <v>907</v>
      </c>
      <c r="B908" s="8">
        <v>303</v>
      </c>
      <c r="C908">
        <v>1</v>
      </c>
      <c r="D908" t="s">
        <v>19</v>
      </c>
      <c r="E908" t="s">
        <v>23</v>
      </c>
      <c r="F908">
        <v>24</v>
      </c>
      <c r="G908" t="str">
        <f>IF(Table2[[#This Row],[Age]]&gt;=30,"Experienced",IF(Table2[[#This Row],[Age]]&gt;=25,"Mid Level", "Entry Level"))</f>
        <v>Entry Level</v>
      </c>
      <c r="H908" t="s">
        <v>29</v>
      </c>
      <c r="I908" t="s">
        <v>44</v>
      </c>
      <c r="J908" s="4">
        <v>45776</v>
      </c>
      <c r="K908" s="4" t="str">
        <f>TEXT(Table2[[#This Row],[Enrollment_date]],"Mmm")</f>
        <v>Apr</v>
      </c>
      <c r="L908" s="4" t="str">
        <f>TEXT(Table2[[#This Row],[Enrollment_date]],"Ddd")</f>
        <v>Tue</v>
      </c>
      <c r="M908" s="4" t="s">
        <v>34</v>
      </c>
      <c r="N908" t="s">
        <v>35</v>
      </c>
      <c r="O908" t="s">
        <v>38</v>
      </c>
      <c r="P908" s="8">
        <v>4</v>
      </c>
      <c r="Q908" s="6">
        <v>0.83333333333333337</v>
      </c>
      <c r="R908" s="6">
        <v>74.5</v>
      </c>
      <c r="S908" s="6" t="str">
        <f>IF(Table2[[#This Row],[Avg_score]]&gt;=79,"Distinction",IF(Table2[[#This Row],[Avg_score]]&gt;=60,"Pass","Fail"))</f>
        <v>Pass</v>
      </c>
      <c r="T908" t="s">
        <v>39</v>
      </c>
      <c r="U908">
        <f>IF(Table2[[#This Row],[Completed]]="Yes",1,0)</f>
        <v>1</v>
      </c>
      <c r="V908" t="s">
        <v>39</v>
      </c>
      <c r="W908" t="s">
        <v>40</v>
      </c>
      <c r="X908" s="4">
        <v>45838</v>
      </c>
    </row>
    <row r="909" spans="1:24" x14ac:dyDescent="0.3">
      <c r="A909">
        <v>908</v>
      </c>
      <c r="B909" s="8">
        <v>303</v>
      </c>
      <c r="C909">
        <v>2</v>
      </c>
      <c r="D909" t="s">
        <v>21</v>
      </c>
      <c r="E909" t="s">
        <v>23</v>
      </c>
      <c r="F909">
        <v>24</v>
      </c>
      <c r="G909" t="str">
        <f>IF(Table2[[#This Row],[Age]]&gt;=30,"Experienced",IF(Table2[[#This Row],[Age]]&gt;=25,"Mid Level", "Entry Level"))</f>
        <v>Entry Level</v>
      </c>
      <c r="H909" t="s">
        <v>29</v>
      </c>
      <c r="I909" t="s">
        <v>44</v>
      </c>
      <c r="J909" s="4">
        <v>45776</v>
      </c>
      <c r="K909" s="4" t="str">
        <f>TEXT(Table2[[#This Row],[Enrollment_date]],"Mmm")</f>
        <v>Apr</v>
      </c>
      <c r="L909" s="4" t="str">
        <f>TEXT(Table2[[#This Row],[Enrollment_date]],"Ddd")</f>
        <v>Tue</v>
      </c>
      <c r="M909" s="4" t="s">
        <v>34</v>
      </c>
      <c r="N909" t="s">
        <v>36</v>
      </c>
      <c r="O909" t="s">
        <v>38</v>
      </c>
      <c r="P909" s="8">
        <v>4</v>
      </c>
      <c r="Q909" s="6">
        <v>0.85416666666666663</v>
      </c>
      <c r="R909" s="6">
        <v>86.5</v>
      </c>
      <c r="S909" s="6" t="str">
        <f>IF(Table2[[#This Row],[Avg_score]]&gt;=79,"Distinction",IF(Table2[[#This Row],[Avg_score]]&gt;=60,"Pass","Fail"))</f>
        <v>Distinction</v>
      </c>
      <c r="T909" t="s">
        <v>39</v>
      </c>
      <c r="U909">
        <f>IF(Table2[[#This Row],[Completed]]="Yes",1,0)</f>
        <v>1</v>
      </c>
      <c r="V909" t="s">
        <v>39</v>
      </c>
      <c r="W909" t="s">
        <v>40</v>
      </c>
      <c r="X909" s="4">
        <v>45838</v>
      </c>
    </row>
    <row r="910" spans="1:24" x14ac:dyDescent="0.3">
      <c r="A910">
        <v>909</v>
      </c>
      <c r="B910" s="8">
        <v>303</v>
      </c>
      <c r="C910">
        <v>3</v>
      </c>
      <c r="D910" t="s">
        <v>21</v>
      </c>
      <c r="E910" t="s">
        <v>23</v>
      </c>
      <c r="F910">
        <v>24</v>
      </c>
      <c r="G910" t="str">
        <f>IF(Table2[[#This Row],[Age]]&gt;=30,"Experienced",IF(Table2[[#This Row],[Age]]&gt;=25,"Mid Level", "Entry Level"))</f>
        <v>Entry Level</v>
      </c>
      <c r="H910" t="s">
        <v>29</v>
      </c>
      <c r="I910" t="s">
        <v>44</v>
      </c>
      <c r="J910" s="4">
        <v>45776</v>
      </c>
      <c r="K910" s="4" t="str">
        <f>TEXT(Table2[[#This Row],[Enrollment_date]],"Mmm")</f>
        <v>Apr</v>
      </c>
      <c r="L910" s="4" t="str">
        <f>TEXT(Table2[[#This Row],[Enrollment_date]],"Ddd")</f>
        <v>Tue</v>
      </c>
      <c r="M910" s="4" t="s">
        <v>34</v>
      </c>
      <c r="N910" t="s">
        <v>37</v>
      </c>
      <c r="O910" t="s">
        <v>38</v>
      </c>
      <c r="P910" s="8">
        <v>4</v>
      </c>
      <c r="Q910" s="6">
        <v>0.8125</v>
      </c>
      <c r="R910" s="6">
        <v>71</v>
      </c>
      <c r="S910" s="6" t="str">
        <f>IF(Table2[[#This Row],[Avg_score]]&gt;=79,"Distinction",IF(Table2[[#This Row],[Avg_score]]&gt;=60,"Pass","Fail"))</f>
        <v>Pass</v>
      </c>
      <c r="T910" t="s">
        <v>39</v>
      </c>
      <c r="U910">
        <f>IF(Table2[[#This Row],[Completed]]="Yes",1,0)</f>
        <v>1</v>
      </c>
      <c r="V910" t="s">
        <v>39</v>
      </c>
      <c r="W910" t="s">
        <v>40</v>
      </c>
      <c r="X910" s="4">
        <v>45838</v>
      </c>
    </row>
    <row r="911" spans="1:24" x14ac:dyDescent="0.3">
      <c r="A911">
        <v>910</v>
      </c>
      <c r="B911" s="8">
        <v>304</v>
      </c>
      <c r="C911">
        <v>1</v>
      </c>
      <c r="D911" t="s">
        <v>19</v>
      </c>
      <c r="E911" t="s">
        <v>23</v>
      </c>
      <c r="F911">
        <v>30</v>
      </c>
      <c r="G911" t="str">
        <f>IF(Table2[[#This Row],[Age]]&gt;=30,"Experienced",IF(Table2[[#This Row],[Age]]&gt;=25,"Mid Level", "Entry Level"))</f>
        <v>Experienced</v>
      </c>
      <c r="H911" t="s">
        <v>26</v>
      </c>
      <c r="I911" t="s">
        <v>44</v>
      </c>
      <c r="J911" s="4">
        <v>45699</v>
      </c>
      <c r="K911" s="4" t="str">
        <f>TEXT(Table2[[#This Row],[Enrollment_date]],"Mmm")</f>
        <v>Feb</v>
      </c>
      <c r="L911" s="4" t="str">
        <f>TEXT(Table2[[#This Row],[Enrollment_date]],"Ddd")</f>
        <v>Tue</v>
      </c>
      <c r="M911" s="4" t="s">
        <v>34</v>
      </c>
      <c r="N911" t="s">
        <v>35</v>
      </c>
      <c r="O911" t="s">
        <v>38</v>
      </c>
      <c r="P911" s="8">
        <v>4</v>
      </c>
      <c r="Q911" s="6">
        <v>0.75</v>
      </c>
      <c r="R911" s="6">
        <v>60</v>
      </c>
      <c r="S911" s="6" t="str">
        <f>IF(Table2[[#This Row],[Avg_score]]&gt;=79,"Distinction",IF(Table2[[#This Row],[Avg_score]]&gt;=60,"Pass","Fail"))</f>
        <v>Pass</v>
      </c>
      <c r="T911" t="s">
        <v>40</v>
      </c>
      <c r="U911">
        <f>IF(Table2[[#This Row],[Completed]]="Yes",1,0)</f>
        <v>0</v>
      </c>
      <c r="V911" t="s">
        <v>40</v>
      </c>
      <c r="W911" t="s">
        <v>40</v>
      </c>
      <c r="X911" s="4">
        <v>45838</v>
      </c>
    </row>
    <row r="912" spans="1:24" x14ac:dyDescent="0.3">
      <c r="A912">
        <v>911</v>
      </c>
      <c r="B912" s="8">
        <v>304</v>
      </c>
      <c r="C912">
        <v>2</v>
      </c>
      <c r="D912" t="s">
        <v>19</v>
      </c>
      <c r="E912" t="s">
        <v>23</v>
      </c>
      <c r="F912">
        <v>30</v>
      </c>
      <c r="G912" t="str">
        <f>IF(Table2[[#This Row],[Age]]&gt;=30,"Experienced",IF(Table2[[#This Row],[Age]]&gt;=25,"Mid Level", "Entry Level"))</f>
        <v>Experienced</v>
      </c>
      <c r="H912" t="s">
        <v>26</v>
      </c>
      <c r="I912" t="s">
        <v>44</v>
      </c>
      <c r="J912" s="4">
        <v>45699</v>
      </c>
      <c r="K912" s="4" t="str">
        <f>TEXT(Table2[[#This Row],[Enrollment_date]],"Mmm")</f>
        <v>Feb</v>
      </c>
      <c r="L912" s="4" t="str">
        <f>TEXT(Table2[[#This Row],[Enrollment_date]],"Ddd")</f>
        <v>Tue</v>
      </c>
      <c r="M912" s="4" t="s">
        <v>34</v>
      </c>
      <c r="N912" t="s">
        <v>36</v>
      </c>
      <c r="O912" t="s">
        <v>38</v>
      </c>
      <c r="P912" s="8">
        <v>4</v>
      </c>
      <c r="Q912" s="6">
        <v>0.79166666666666663</v>
      </c>
      <c r="R912" s="6">
        <v>70</v>
      </c>
      <c r="S912" s="6" t="str">
        <f>IF(Table2[[#This Row],[Avg_score]]&gt;=79,"Distinction",IF(Table2[[#This Row],[Avg_score]]&gt;=60,"Pass","Fail"))</f>
        <v>Pass</v>
      </c>
      <c r="T912" t="s">
        <v>40</v>
      </c>
      <c r="U912">
        <f>IF(Table2[[#This Row],[Completed]]="Yes",1,0)</f>
        <v>0</v>
      </c>
      <c r="V912" t="s">
        <v>40</v>
      </c>
      <c r="W912" t="s">
        <v>40</v>
      </c>
      <c r="X912" s="4">
        <v>45838</v>
      </c>
    </row>
    <row r="913" spans="1:24" x14ac:dyDescent="0.3">
      <c r="A913">
        <v>912</v>
      </c>
      <c r="B913" s="8">
        <v>304</v>
      </c>
      <c r="C913">
        <v>3</v>
      </c>
      <c r="D913" t="s">
        <v>21</v>
      </c>
      <c r="E913" t="s">
        <v>23</v>
      </c>
      <c r="F913">
        <v>30</v>
      </c>
      <c r="G913" t="str">
        <f>IF(Table2[[#This Row],[Age]]&gt;=30,"Experienced",IF(Table2[[#This Row],[Age]]&gt;=25,"Mid Level", "Entry Level"))</f>
        <v>Experienced</v>
      </c>
      <c r="H913" t="s">
        <v>26</v>
      </c>
      <c r="I913" t="s">
        <v>44</v>
      </c>
      <c r="J913" s="4">
        <v>45699</v>
      </c>
      <c r="K913" s="4" t="str">
        <f>TEXT(Table2[[#This Row],[Enrollment_date]],"Mmm")</f>
        <v>Feb</v>
      </c>
      <c r="L913" s="4" t="str">
        <f>TEXT(Table2[[#This Row],[Enrollment_date]],"Ddd")</f>
        <v>Tue</v>
      </c>
      <c r="M913" s="4" t="s">
        <v>34</v>
      </c>
      <c r="N913" t="s">
        <v>37</v>
      </c>
      <c r="O913" t="s">
        <v>38</v>
      </c>
      <c r="P913" s="8">
        <v>4</v>
      </c>
      <c r="Q913" s="6">
        <v>0.83333333333333337</v>
      </c>
      <c r="R913" s="6">
        <v>65.5</v>
      </c>
      <c r="S913" s="6" t="str">
        <f>IF(Table2[[#This Row],[Avg_score]]&gt;=79,"Distinction",IF(Table2[[#This Row],[Avg_score]]&gt;=60,"Pass","Fail"))</f>
        <v>Pass</v>
      </c>
      <c r="T913" t="s">
        <v>40</v>
      </c>
      <c r="U913">
        <f>IF(Table2[[#This Row],[Completed]]="Yes",1,0)</f>
        <v>0</v>
      </c>
      <c r="V913" t="s">
        <v>40</v>
      </c>
      <c r="W913" t="s">
        <v>40</v>
      </c>
      <c r="X913" s="4">
        <v>45838</v>
      </c>
    </row>
    <row r="914" spans="1:24" x14ac:dyDescent="0.3">
      <c r="A914">
        <v>913</v>
      </c>
      <c r="B914" s="8">
        <v>305</v>
      </c>
      <c r="C914">
        <v>1</v>
      </c>
      <c r="D914" t="s">
        <v>19</v>
      </c>
      <c r="E914" t="s">
        <v>22</v>
      </c>
      <c r="F914">
        <v>22</v>
      </c>
      <c r="G914" t="str">
        <f>IF(Table2[[#This Row],[Age]]&gt;=30,"Experienced",IF(Table2[[#This Row],[Age]]&gt;=25,"Mid Level", "Entry Level"))</f>
        <v>Entry Level</v>
      </c>
      <c r="H914" t="s">
        <v>29</v>
      </c>
      <c r="I914" t="s">
        <v>68</v>
      </c>
      <c r="J914" s="4">
        <v>45781</v>
      </c>
      <c r="K914" s="4" t="str">
        <f>TEXT(Table2[[#This Row],[Enrollment_date]],"Mmm")</f>
        <v>May</v>
      </c>
      <c r="L914" s="4" t="str">
        <f>TEXT(Table2[[#This Row],[Enrollment_date]],"Ddd")</f>
        <v>Sun</v>
      </c>
      <c r="M914" s="4" t="s">
        <v>34</v>
      </c>
      <c r="N914" t="s">
        <v>35</v>
      </c>
      <c r="O914" t="s">
        <v>38</v>
      </c>
      <c r="P914" s="8">
        <v>4</v>
      </c>
      <c r="Q914" s="6">
        <v>0.91666666666666663</v>
      </c>
      <c r="R914" s="6">
        <v>84.5</v>
      </c>
      <c r="S914" s="6" t="str">
        <f>IF(Table2[[#This Row],[Avg_score]]&gt;=79,"Distinction",IF(Table2[[#This Row],[Avg_score]]&gt;=60,"Pass","Fail"))</f>
        <v>Distinction</v>
      </c>
      <c r="T914" t="s">
        <v>40</v>
      </c>
      <c r="U914">
        <f>IF(Table2[[#This Row],[Completed]]="Yes",1,0)</f>
        <v>0</v>
      </c>
      <c r="V914" t="s">
        <v>40</v>
      </c>
      <c r="W914" t="s">
        <v>40</v>
      </c>
      <c r="X914" s="4">
        <v>45838</v>
      </c>
    </row>
    <row r="915" spans="1:24" x14ac:dyDescent="0.3">
      <c r="A915">
        <v>914</v>
      </c>
      <c r="B915" s="8">
        <v>305</v>
      </c>
      <c r="C915">
        <v>2</v>
      </c>
      <c r="D915" t="s">
        <v>20</v>
      </c>
      <c r="E915" t="s">
        <v>22</v>
      </c>
      <c r="F915">
        <v>22</v>
      </c>
      <c r="G915" t="str">
        <f>IF(Table2[[#This Row],[Age]]&gt;=30,"Experienced",IF(Table2[[#This Row],[Age]]&gt;=25,"Mid Level", "Entry Level"))</f>
        <v>Entry Level</v>
      </c>
      <c r="H915" t="s">
        <v>29</v>
      </c>
      <c r="I915" t="s">
        <v>68</v>
      </c>
      <c r="J915" s="4">
        <v>45781</v>
      </c>
      <c r="K915" s="4" t="str">
        <f>TEXT(Table2[[#This Row],[Enrollment_date]],"Mmm")</f>
        <v>May</v>
      </c>
      <c r="L915" s="4" t="str">
        <f>TEXT(Table2[[#This Row],[Enrollment_date]],"Ddd")</f>
        <v>Sun</v>
      </c>
      <c r="M915" s="4" t="s">
        <v>34</v>
      </c>
      <c r="N915" t="s">
        <v>36</v>
      </c>
      <c r="O915" t="s">
        <v>38</v>
      </c>
      <c r="P915" s="8">
        <v>4</v>
      </c>
      <c r="Q915" s="6">
        <v>0.85416666666666663</v>
      </c>
      <c r="R915" s="6">
        <v>70</v>
      </c>
      <c r="S915" s="6" t="str">
        <f>IF(Table2[[#This Row],[Avg_score]]&gt;=79,"Distinction",IF(Table2[[#This Row],[Avg_score]]&gt;=60,"Pass","Fail"))</f>
        <v>Pass</v>
      </c>
      <c r="T915" t="s">
        <v>40</v>
      </c>
      <c r="U915">
        <f>IF(Table2[[#This Row],[Completed]]="Yes",1,0)</f>
        <v>0</v>
      </c>
      <c r="V915" t="s">
        <v>40</v>
      </c>
      <c r="W915" t="s">
        <v>40</v>
      </c>
      <c r="X915" s="4">
        <v>45838</v>
      </c>
    </row>
    <row r="916" spans="1:24" x14ac:dyDescent="0.3">
      <c r="A916">
        <v>915</v>
      </c>
      <c r="B916" s="8">
        <v>305</v>
      </c>
      <c r="C916">
        <v>3</v>
      </c>
      <c r="D916" t="s">
        <v>21</v>
      </c>
      <c r="E916" t="s">
        <v>22</v>
      </c>
      <c r="F916">
        <v>22</v>
      </c>
      <c r="G916" t="str">
        <f>IF(Table2[[#This Row],[Age]]&gt;=30,"Experienced",IF(Table2[[#This Row],[Age]]&gt;=25,"Mid Level", "Entry Level"))</f>
        <v>Entry Level</v>
      </c>
      <c r="H916" t="s">
        <v>29</v>
      </c>
      <c r="I916" t="s">
        <v>68</v>
      </c>
      <c r="J916" s="4">
        <v>45781</v>
      </c>
      <c r="K916" s="4" t="str">
        <f>TEXT(Table2[[#This Row],[Enrollment_date]],"Mmm")</f>
        <v>May</v>
      </c>
      <c r="L916" s="4" t="str">
        <f>TEXT(Table2[[#This Row],[Enrollment_date]],"Ddd")</f>
        <v>Sun</v>
      </c>
      <c r="M916" s="4" t="s">
        <v>34</v>
      </c>
      <c r="N916" t="s">
        <v>37</v>
      </c>
      <c r="O916" t="s">
        <v>38</v>
      </c>
      <c r="P916" s="8">
        <v>4</v>
      </c>
      <c r="Q916" s="6">
        <v>0.8125</v>
      </c>
      <c r="R916" s="6">
        <v>72</v>
      </c>
      <c r="S916" s="6" t="str">
        <f>IF(Table2[[#This Row],[Avg_score]]&gt;=79,"Distinction",IF(Table2[[#This Row],[Avg_score]]&gt;=60,"Pass","Fail"))</f>
        <v>Pass</v>
      </c>
      <c r="T916" t="s">
        <v>40</v>
      </c>
      <c r="U916">
        <f>IF(Table2[[#This Row],[Completed]]="Yes",1,0)</f>
        <v>0</v>
      </c>
      <c r="V916" t="s">
        <v>40</v>
      </c>
      <c r="W916" t="s">
        <v>40</v>
      </c>
      <c r="X916" s="4">
        <v>45838</v>
      </c>
    </row>
    <row r="917" spans="1:24" x14ac:dyDescent="0.3">
      <c r="A917">
        <v>916</v>
      </c>
      <c r="B917" s="8">
        <v>306</v>
      </c>
      <c r="C917">
        <v>1</v>
      </c>
      <c r="D917" t="s">
        <v>19</v>
      </c>
      <c r="E917" t="s">
        <v>23</v>
      </c>
      <c r="F917">
        <v>35</v>
      </c>
      <c r="G917" t="str">
        <f>IF(Table2[[#This Row],[Age]]&gt;=30,"Experienced",IF(Table2[[#This Row],[Age]]&gt;=25,"Mid Level", "Entry Level"))</f>
        <v>Experienced</v>
      </c>
      <c r="H917" t="s">
        <v>25</v>
      </c>
      <c r="I917" t="s">
        <v>68</v>
      </c>
      <c r="J917" s="4">
        <v>45730</v>
      </c>
      <c r="K917" s="4" t="str">
        <f>TEXT(Table2[[#This Row],[Enrollment_date]],"Mmm")</f>
        <v>Mar</v>
      </c>
      <c r="L917" s="4" t="str">
        <f>TEXT(Table2[[#This Row],[Enrollment_date]],"Ddd")</f>
        <v>Fri</v>
      </c>
      <c r="M917" s="4" t="s">
        <v>34</v>
      </c>
      <c r="N917" t="s">
        <v>35</v>
      </c>
      <c r="O917" t="s">
        <v>38</v>
      </c>
      <c r="P917" s="8">
        <v>4</v>
      </c>
      <c r="Q917" s="6">
        <v>0.79166666666666663</v>
      </c>
      <c r="R917" s="6">
        <v>83</v>
      </c>
      <c r="S917" s="6" t="str">
        <f>IF(Table2[[#This Row],[Avg_score]]&gt;=79,"Distinction",IF(Table2[[#This Row],[Avg_score]]&gt;=60,"Pass","Fail"))</f>
        <v>Distinction</v>
      </c>
      <c r="T917" t="s">
        <v>39</v>
      </c>
      <c r="U917">
        <f>IF(Table2[[#This Row],[Completed]]="Yes",1,0)</f>
        <v>1</v>
      </c>
      <c r="V917" t="s">
        <v>39</v>
      </c>
      <c r="W917" t="s">
        <v>39</v>
      </c>
      <c r="X917" s="4">
        <v>45838</v>
      </c>
    </row>
    <row r="918" spans="1:24" x14ac:dyDescent="0.3">
      <c r="A918">
        <v>917</v>
      </c>
      <c r="B918" s="8">
        <v>306</v>
      </c>
      <c r="C918">
        <v>2</v>
      </c>
      <c r="D918" t="s">
        <v>21</v>
      </c>
      <c r="E918" t="s">
        <v>23</v>
      </c>
      <c r="F918">
        <v>35</v>
      </c>
      <c r="G918" t="str">
        <f>IF(Table2[[#This Row],[Age]]&gt;=30,"Experienced",IF(Table2[[#This Row],[Age]]&gt;=25,"Mid Level", "Entry Level"))</f>
        <v>Experienced</v>
      </c>
      <c r="H918" t="s">
        <v>25</v>
      </c>
      <c r="I918" t="s">
        <v>68</v>
      </c>
      <c r="J918" s="4">
        <v>45730</v>
      </c>
      <c r="K918" s="4" t="str">
        <f>TEXT(Table2[[#This Row],[Enrollment_date]],"Mmm")</f>
        <v>Mar</v>
      </c>
      <c r="L918" s="4" t="str">
        <f>TEXT(Table2[[#This Row],[Enrollment_date]],"Ddd")</f>
        <v>Fri</v>
      </c>
      <c r="M918" s="4" t="s">
        <v>34</v>
      </c>
      <c r="N918" t="s">
        <v>36</v>
      </c>
      <c r="O918" t="s">
        <v>38</v>
      </c>
      <c r="P918" s="8">
        <v>4</v>
      </c>
      <c r="Q918" s="6">
        <v>0.8125</v>
      </c>
      <c r="R918" s="6">
        <v>65</v>
      </c>
      <c r="S918" s="6" t="str">
        <f>IF(Table2[[#This Row],[Avg_score]]&gt;=79,"Distinction",IF(Table2[[#This Row],[Avg_score]]&gt;=60,"Pass","Fail"))</f>
        <v>Pass</v>
      </c>
      <c r="T918" t="s">
        <v>39</v>
      </c>
      <c r="U918">
        <f>IF(Table2[[#This Row],[Completed]]="Yes",1,0)</f>
        <v>1</v>
      </c>
      <c r="V918" t="s">
        <v>39</v>
      </c>
      <c r="W918" t="s">
        <v>39</v>
      </c>
      <c r="X918" s="4">
        <v>45838</v>
      </c>
    </row>
    <row r="919" spans="1:24" x14ac:dyDescent="0.3">
      <c r="A919">
        <v>918</v>
      </c>
      <c r="B919" s="8">
        <v>306</v>
      </c>
      <c r="C919">
        <v>3</v>
      </c>
      <c r="D919" t="s">
        <v>19</v>
      </c>
      <c r="E919" t="s">
        <v>23</v>
      </c>
      <c r="F919">
        <v>35</v>
      </c>
      <c r="G919" t="str">
        <f>IF(Table2[[#This Row],[Age]]&gt;=30,"Experienced",IF(Table2[[#This Row],[Age]]&gt;=25,"Mid Level", "Entry Level"))</f>
        <v>Experienced</v>
      </c>
      <c r="H919" t="s">
        <v>25</v>
      </c>
      <c r="I919" t="s">
        <v>68</v>
      </c>
      <c r="J919" s="4">
        <v>45730</v>
      </c>
      <c r="K919" s="4" t="str">
        <f>TEXT(Table2[[#This Row],[Enrollment_date]],"Mmm")</f>
        <v>Mar</v>
      </c>
      <c r="L919" s="4" t="str">
        <f>TEXT(Table2[[#This Row],[Enrollment_date]],"Ddd")</f>
        <v>Fri</v>
      </c>
      <c r="M919" s="4" t="s">
        <v>34</v>
      </c>
      <c r="N919" t="s">
        <v>37</v>
      </c>
      <c r="O919" t="s">
        <v>38</v>
      </c>
      <c r="P919" s="8">
        <v>4</v>
      </c>
      <c r="Q919" s="6">
        <v>0.875</v>
      </c>
      <c r="R919" s="6">
        <v>71</v>
      </c>
      <c r="S919" s="6" t="str">
        <f>IF(Table2[[#This Row],[Avg_score]]&gt;=79,"Distinction",IF(Table2[[#This Row],[Avg_score]]&gt;=60,"Pass","Fail"))</f>
        <v>Pass</v>
      </c>
      <c r="T919" t="s">
        <v>39</v>
      </c>
      <c r="U919">
        <f>IF(Table2[[#This Row],[Completed]]="Yes",1,0)</f>
        <v>1</v>
      </c>
      <c r="V919" t="s">
        <v>39</v>
      </c>
      <c r="W919" t="s">
        <v>39</v>
      </c>
      <c r="X919" s="4">
        <v>45838</v>
      </c>
    </row>
    <row r="920" spans="1:24" x14ac:dyDescent="0.3">
      <c r="A920">
        <v>919</v>
      </c>
      <c r="B920" s="8">
        <v>307</v>
      </c>
      <c r="C920">
        <v>1</v>
      </c>
      <c r="D920" t="s">
        <v>19</v>
      </c>
      <c r="E920" t="s">
        <v>22</v>
      </c>
      <c r="F920">
        <v>23</v>
      </c>
      <c r="G920" t="str">
        <f>IF(Table2[[#This Row],[Age]]&gt;=30,"Experienced",IF(Table2[[#This Row],[Age]]&gt;=25,"Mid Level", "Entry Level"))</f>
        <v>Entry Level</v>
      </c>
      <c r="H920" t="s">
        <v>29</v>
      </c>
      <c r="I920" t="s">
        <v>44</v>
      </c>
      <c r="J920" s="4">
        <v>45789</v>
      </c>
      <c r="K920" s="4" t="str">
        <f>TEXT(Table2[[#This Row],[Enrollment_date]],"Mmm")</f>
        <v>May</v>
      </c>
      <c r="L920" s="4" t="str">
        <f>TEXT(Table2[[#This Row],[Enrollment_date]],"Ddd")</f>
        <v>Mon</v>
      </c>
      <c r="M920" s="4" t="s">
        <v>34</v>
      </c>
      <c r="N920" t="s">
        <v>35</v>
      </c>
      <c r="O920" t="s">
        <v>38</v>
      </c>
      <c r="P920" s="8">
        <v>4</v>
      </c>
      <c r="Q920" s="6">
        <v>0.77083333333333337</v>
      </c>
      <c r="R920" s="6">
        <v>83.5</v>
      </c>
      <c r="S920" s="6" t="str">
        <f>IF(Table2[[#This Row],[Avg_score]]&gt;=79,"Distinction",IF(Table2[[#This Row],[Avg_score]]&gt;=60,"Pass","Fail"))</f>
        <v>Distinction</v>
      </c>
      <c r="T920" t="s">
        <v>40</v>
      </c>
      <c r="U920">
        <f>IF(Table2[[#This Row],[Completed]]="Yes",1,0)</f>
        <v>0</v>
      </c>
      <c r="V920" t="s">
        <v>40</v>
      </c>
      <c r="W920" t="s">
        <v>40</v>
      </c>
      <c r="X920" s="4">
        <v>45838</v>
      </c>
    </row>
    <row r="921" spans="1:24" x14ac:dyDescent="0.3">
      <c r="A921">
        <v>920</v>
      </c>
      <c r="B921" s="8">
        <v>307</v>
      </c>
      <c r="C921">
        <v>2</v>
      </c>
      <c r="D921" t="s">
        <v>21</v>
      </c>
      <c r="E921" t="s">
        <v>22</v>
      </c>
      <c r="F921">
        <v>23</v>
      </c>
      <c r="G921" t="str">
        <f>IF(Table2[[#This Row],[Age]]&gt;=30,"Experienced",IF(Table2[[#This Row],[Age]]&gt;=25,"Mid Level", "Entry Level"))</f>
        <v>Entry Level</v>
      </c>
      <c r="H921" t="s">
        <v>29</v>
      </c>
      <c r="I921" t="s">
        <v>44</v>
      </c>
      <c r="J921" s="4">
        <v>45789</v>
      </c>
      <c r="K921" s="4" t="str">
        <f>TEXT(Table2[[#This Row],[Enrollment_date]],"Mmm")</f>
        <v>May</v>
      </c>
      <c r="L921" s="4" t="str">
        <f>TEXT(Table2[[#This Row],[Enrollment_date]],"Ddd")</f>
        <v>Mon</v>
      </c>
      <c r="M921" s="4" t="s">
        <v>34</v>
      </c>
      <c r="N921" t="s">
        <v>36</v>
      </c>
      <c r="O921" t="s">
        <v>38</v>
      </c>
      <c r="P921" s="8">
        <v>4</v>
      </c>
      <c r="Q921" s="6">
        <v>0.875</v>
      </c>
      <c r="R921" s="6">
        <v>53.5</v>
      </c>
      <c r="S921" s="6" t="str">
        <f>IF(Table2[[#This Row],[Avg_score]]&gt;=79,"Distinction",IF(Table2[[#This Row],[Avg_score]]&gt;=60,"Pass","Fail"))</f>
        <v>Fail</v>
      </c>
      <c r="T921" t="s">
        <v>40</v>
      </c>
      <c r="U921">
        <f>IF(Table2[[#This Row],[Completed]]="Yes",1,0)</f>
        <v>0</v>
      </c>
      <c r="V921" t="s">
        <v>40</v>
      </c>
      <c r="W921" t="s">
        <v>40</v>
      </c>
      <c r="X921" s="4">
        <v>45838</v>
      </c>
    </row>
    <row r="922" spans="1:24" x14ac:dyDescent="0.3">
      <c r="A922">
        <v>921</v>
      </c>
      <c r="B922" s="8">
        <v>307</v>
      </c>
      <c r="C922">
        <v>3</v>
      </c>
      <c r="D922" t="s">
        <v>19</v>
      </c>
      <c r="E922" t="s">
        <v>22</v>
      </c>
      <c r="F922">
        <v>23</v>
      </c>
      <c r="G922" t="str">
        <f>IF(Table2[[#This Row],[Age]]&gt;=30,"Experienced",IF(Table2[[#This Row],[Age]]&gt;=25,"Mid Level", "Entry Level"))</f>
        <v>Entry Level</v>
      </c>
      <c r="H922" t="s">
        <v>29</v>
      </c>
      <c r="I922" t="s">
        <v>44</v>
      </c>
      <c r="J922" s="4">
        <v>45789</v>
      </c>
      <c r="K922" s="4" t="str">
        <f>TEXT(Table2[[#This Row],[Enrollment_date]],"Mmm")</f>
        <v>May</v>
      </c>
      <c r="L922" s="4" t="str">
        <f>TEXT(Table2[[#This Row],[Enrollment_date]],"Ddd")</f>
        <v>Mon</v>
      </c>
      <c r="M922" s="4" t="s">
        <v>34</v>
      </c>
      <c r="N922" t="s">
        <v>37</v>
      </c>
      <c r="O922" t="s">
        <v>38</v>
      </c>
      <c r="P922" s="8">
        <v>4</v>
      </c>
      <c r="Q922" s="6">
        <v>0.77083333333333337</v>
      </c>
      <c r="R922" s="6">
        <v>81.5</v>
      </c>
      <c r="S922" s="6" t="str">
        <f>IF(Table2[[#This Row],[Avg_score]]&gt;=79,"Distinction",IF(Table2[[#This Row],[Avg_score]]&gt;=60,"Pass","Fail"))</f>
        <v>Distinction</v>
      </c>
      <c r="T922" t="s">
        <v>40</v>
      </c>
      <c r="U922">
        <f>IF(Table2[[#This Row],[Completed]]="Yes",1,0)</f>
        <v>0</v>
      </c>
      <c r="V922" t="s">
        <v>40</v>
      </c>
      <c r="W922" t="s">
        <v>40</v>
      </c>
      <c r="X922" s="4">
        <v>45838</v>
      </c>
    </row>
    <row r="923" spans="1:24" x14ac:dyDescent="0.3">
      <c r="A923">
        <v>922</v>
      </c>
      <c r="B923" s="8">
        <v>308</v>
      </c>
      <c r="C923">
        <v>1</v>
      </c>
      <c r="D923" t="s">
        <v>19</v>
      </c>
      <c r="E923" t="s">
        <v>22</v>
      </c>
      <c r="F923">
        <v>31</v>
      </c>
      <c r="G923" t="str">
        <f>IF(Table2[[#This Row],[Age]]&gt;=30,"Experienced",IF(Table2[[#This Row],[Age]]&gt;=25,"Mid Level", "Entry Level"))</f>
        <v>Experienced</v>
      </c>
      <c r="H923" t="s">
        <v>25</v>
      </c>
      <c r="I923" t="s">
        <v>32</v>
      </c>
      <c r="J923" s="4">
        <v>45773</v>
      </c>
      <c r="K923" s="4" t="str">
        <f>TEXT(Table2[[#This Row],[Enrollment_date]],"Mmm")</f>
        <v>Apr</v>
      </c>
      <c r="L923" s="4" t="str">
        <f>TEXT(Table2[[#This Row],[Enrollment_date]],"Ddd")</f>
        <v>Sat</v>
      </c>
      <c r="M923" s="4" t="s">
        <v>34</v>
      </c>
      <c r="N923" t="s">
        <v>35</v>
      </c>
      <c r="O923" t="s">
        <v>38</v>
      </c>
      <c r="P923" s="8">
        <v>4</v>
      </c>
      <c r="Q923" s="6">
        <v>0.89583333333333337</v>
      </c>
      <c r="R923" s="6">
        <v>68</v>
      </c>
      <c r="S923" s="6" t="str">
        <f>IF(Table2[[#This Row],[Avg_score]]&gt;=79,"Distinction",IF(Table2[[#This Row],[Avg_score]]&gt;=60,"Pass","Fail"))</f>
        <v>Pass</v>
      </c>
      <c r="T923" t="s">
        <v>39</v>
      </c>
      <c r="U923">
        <f>IF(Table2[[#This Row],[Completed]]="Yes",1,0)</f>
        <v>1</v>
      </c>
      <c r="V923" t="s">
        <v>39</v>
      </c>
      <c r="W923" t="s">
        <v>40</v>
      </c>
      <c r="X923" s="4">
        <v>45838</v>
      </c>
    </row>
    <row r="924" spans="1:24" x14ac:dyDescent="0.3">
      <c r="A924">
        <v>923</v>
      </c>
      <c r="B924" s="8">
        <v>308</v>
      </c>
      <c r="C924">
        <v>2</v>
      </c>
      <c r="D924" t="s">
        <v>19</v>
      </c>
      <c r="E924" t="s">
        <v>22</v>
      </c>
      <c r="F924">
        <v>31</v>
      </c>
      <c r="G924" t="str">
        <f>IF(Table2[[#This Row],[Age]]&gt;=30,"Experienced",IF(Table2[[#This Row],[Age]]&gt;=25,"Mid Level", "Entry Level"))</f>
        <v>Experienced</v>
      </c>
      <c r="H924" t="s">
        <v>25</v>
      </c>
      <c r="I924" t="s">
        <v>32</v>
      </c>
      <c r="J924" s="4">
        <v>45773</v>
      </c>
      <c r="K924" s="4" t="str">
        <f>TEXT(Table2[[#This Row],[Enrollment_date]],"Mmm")</f>
        <v>Apr</v>
      </c>
      <c r="L924" s="4" t="str">
        <f>TEXT(Table2[[#This Row],[Enrollment_date]],"Ddd")</f>
        <v>Sat</v>
      </c>
      <c r="M924" s="4" t="s">
        <v>34</v>
      </c>
      <c r="N924" t="s">
        <v>36</v>
      </c>
      <c r="O924" t="s">
        <v>38</v>
      </c>
      <c r="P924" s="8">
        <v>4</v>
      </c>
      <c r="Q924" s="6">
        <v>0.8125</v>
      </c>
      <c r="R924" s="6">
        <v>48</v>
      </c>
      <c r="S924" s="6" t="str">
        <f>IF(Table2[[#This Row],[Avg_score]]&gt;=79,"Distinction",IF(Table2[[#This Row],[Avg_score]]&gt;=60,"Pass","Fail"))</f>
        <v>Fail</v>
      </c>
      <c r="T924" t="s">
        <v>39</v>
      </c>
      <c r="U924">
        <f>IF(Table2[[#This Row],[Completed]]="Yes",1,0)</f>
        <v>1</v>
      </c>
      <c r="V924" t="s">
        <v>39</v>
      </c>
      <c r="W924" t="s">
        <v>40</v>
      </c>
      <c r="X924" s="4">
        <v>45838</v>
      </c>
    </row>
    <row r="925" spans="1:24" x14ac:dyDescent="0.3">
      <c r="A925">
        <v>924</v>
      </c>
      <c r="B925" s="8">
        <v>308</v>
      </c>
      <c r="C925">
        <v>3</v>
      </c>
      <c r="D925" t="s">
        <v>19</v>
      </c>
      <c r="E925" t="s">
        <v>22</v>
      </c>
      <c r="F925">
        <v>31</v>
      </c>
      <c r="G925" t="str">
        <f>IF(Table2[[#This Row],[Age]]&gt;=30,"Experienced",IF(Table2[[#This Row],[Age]]&gt;=25,"Mid Level", "Entry Level"))</f>
        <v>Experienced</v>
      </c>
      <c r="H925" t="s">
        <v>25</v>
      </c>
      <c r="I925" t="s">
        <v>32</v>
      </c>
      <c r="J925" s="4">
        <v>45773</v>
      </c>
      <c r="K925" s="4" t="str">
        <f>TEXT(Table2[[#This Row],[Enrollment_date]],"Mmm")</f>
        <v>Apr</v>
      </c>
      <c r="L925" s="4" t="str">
        <f>TEXT(Table2[[#This Row],[Enrollment_date]],"Ddd")</f>
        <v>Sat</v>
      </c>
      <c r="M925" s="4" t="s">
        <v>34</v>
      </c>
      <c r="N925" t="s">
        <v>37</v>
      </c>
      <c r="O925" t="s">
        <v>38</v>
      </c>
      <c r="P925" s="8">
        <v>4</v>
      </c>
      <c r="Q925" s="6">
        <v>0.85416666666666663</v>
      </c>
      <c r="R925" s="6">
        <v>62</v>
      </c>
      <c r="S925" s="6" t="str">
        <f>IF(Table2[[#This Row],[Avg_score]]&gt;=79,"Distinction",IF(Table2[[#This Row],[Avg_score]]&gt;=60,"Pass","Fail"))</f>
        <v>Pass</v>
      </c>
      <c r="T925" t="s">
        <v>39</v>
      </c>
      <c r="U925">
        <f>IF(Table2[[#This Row],[Completed]]="Yes",1,0)</f>
        <v>1</v>
      </c>
      <c r="V925" t="s">
        <v>39</v>
      </c>
      <c r="W925" t="s">
        <v>40</v>
      </c>
      <c r="X925" s="4">
        <v>45838</v>
      </c>
    </row>
    <row r="926" spans="1:24" x14ac:dyDescent="0.3">
      <c r="A926">
        <v>925</v>
      </c>
      <c r="B926" s="8">
        <v>309</v>
      </c>
      <c r="C926">
        <v>1</v>
      </c>
      <c r="D926" t="s">
        <v>19</v>
      </c>
      <c r="E926" t="s">
        <v>23</v>
      </c>
      <c r="F926">
        <v>18</v>
      </c>
      <c r="G926" t="str">
        <f>IF(Table2[[#This Row],[Age]]&gt;=30,"Experienced",IF(Table2[[#This Row],[Age]]&gt;=25,"Mid Level", "Entry Level"))</f>
        <v>Entry Level</v>
      </c>
      <c r="H926" t="s">
        <v>27</v>
      </c>
      <c r="I926" t="s">
        <v>68</v>
      </c>
      <c r="J926" s="4">
        <v>45759</v>
      </c>
      <c r="K926" s="4" t="str">
        <f>TEXT(Table2[[#This Row],[Enrollment_date]],"Mmm")</f>
        <v>Apr</v>
      </c>
      <c r="L926" s="4" t="str">
        <f>TEXT(Table2[[#This Row],[Enrollment_date]],"Ddd")</f>
        <v>Sat</v>
      </c>
      <c r="M926" s="4" t="s">
        <v>34</v>
      </c>
      <c r="N926" t="s">
        <v>35</v>
      </c>
      <c r="O926" t="s">
        <v>38</v>
      </c>
      <c r="P926" s="8">
        <v>4</v>
      </c>
      <c r="Q926" s="6">
        <v>0.8125</v>
      </c>
      <c r="R926" s="6">
        <v>69.5</v>
      </c>
      <c r="S926" s="6" t="str">
        <f>IF(Table2[[#This Row],[Avg_score]]&gt;=79,"Distinction",IF(Table2[[#This Row],[Avg_score]]&gt;=60,"Pass","Fail"))</f>
        <v>Pass</v>
      </c>
      <c r="T926" t="s">
        <v>39</v>
      </c>
      <c r="U926">
        <f>IF(Table2[[#This Row],[Completed]]="Yes",1,0)</f>
        <v>1</v>
      </c>
      <c r="V926" t="s">
        <v>39</v>
      </c>
      <c r="W926" t="s">
        <v>40</v>
      </c>
      <c r="X926" s="4">
        <v>45838</v>
      </c>
    </row>
    <row r="927" spans="1:24" x14ac:dyDescent="0.3">
      <c r="A927">
        <v>926</v>
      </c>
      <c r="B927" s="8">
        <v>309</v>
      </c>
      <c r="C927">
        <v>2</v>
      </c>
      <c r="D927" t="s">
        <v>19</v>
      </c>
      <c r="E927" t="s">
        <v>23</v>
      </c>
      <c r="F927">
        <v>18</v>
      </c>
      <c r="G927" t="str">
        <f>IF(Table2[[#This Row],[Age]]&gt;=30,"Experienced",IF(Table2[[#This Row],[Age]]&gt;=25,"Mid Level", "Entry Level"))</f>
        <v>Entry Level</v>
      </c>
      <c r="H927" t="s">
        <v>27</v>
      </c>
      <c r="I927" t="s">
        <v>68</v>
      </c>
      <c r="J927" s="4">
        <v>45759</v>
      </c>
      <c r="K927" s="4" t="str">
        <f>TEXT(Table2[[#This Row],[Enrollment_date]],"Mmm")</f>
        <v>Apr</v>
      </c>
      <c r="L927" s="4" t="str">
        <f>TEXT(Table2[[#This Row],[Enrollment_date]],"Ddd")</f>
        <v>Sat</v>
      </c>
      <c r="M927" s="4" t="s">
        <v>34</v>
      </c>
      <c r="N927" t="s">
        <v>36</v>
      </c>
      <c r="O927" t="s">
        <v>38</v>
      </c>
      <c r="P927" s="8">
        <v>4</v>
      </c>
      <c r="Q927" s="6">
        <v>0.75</v>
      </c>
      <c r="R927" s="6">
        <v>62</v>
      </c>
      <c r="S927" s="6" t="str">
        <f>IF(Table2[[#This Row],[Avg_score]]&gt;=79,"Distinction",IF(Table2[[#This Row],[Avg_score]]&gt;=60,"Pass","Fail"))</f>
        <v>Pass</v>
      </c>
      <c r="T927" t="s">
        <v>39</v>
      </c>
      <c r="U927">
        <f>IF(Table2[[#This Row],[Completed]]="Yes",1,0)</f>
        <v>1</v>
      </c>
      <c r="V927" t="s">
        <v>39</v>
      </c>
      <c r="W927" t="s">
        <v>40</v>
      </c>
      <c r="X927" s="4">
        <v>45838</v>
      </c>
    </row>
    <row r="928" spans="1:24" x14ac:dyDescent="0.3">
      <c r="A928">
        <v>927</v>
      </c>
      <c r="B928" s="8">
        <v>309</v>
      </c>
      <c r="C928">
        <v>3</v>
      </c>
      <c r="D928" t="s">
        <v>19</v>
      </c>
      <c r="E928" t="s">
        <v>23</v>
      </c>
      <c r="F928">
        <v>18</v>
      </c>
      <c r="G928" t="str">
        <f>IF(Table2[[#This Row],[Age]]&gt;=30,"Experienced",IF(Table2[[#This Row],[Age]]&gt;=25,"Mid Level", "Entry Level"))</f>
        <v>Entry Level</v>
      </c>
      <c r="H928" t="s">
        <v>27</v>
      </c>
      <c r="I928" t="s">
        <v>68</v>
      </c>
      <c r="J928" s="4">
        <v>45759</v>
      </c>
      <c r="K928" s="4" t="str">
        <f>TEXT(Table2[[#This Row],[Enrollment_date]],"Mmm")</f>
        <v>Apr</v>
      </c>
      <c r="L928" s="4" t="str">
        <f>TEXT(Table2[[#This Row],[Enrollment_date]],"Ddd")</f>
        <v>Sat</v>
      </c>
      <c r="M928" s="4" t="s">
        <v>34</v>
      </c>
      <c r="N928" t="s">
        <v>37</v>
      </c>
      <c r="O928" t="s">
        <v>38</v>
      </c>
      <c r="P928" s="8">
        <v>4</v>
      </c>
      <c r="Q928" s="6">
        <v>0.875</v>
      </c>
      <c r="R928" s="6">
        <v>60.5</v>
      </c>
      <c r="S928" s="6" t="str">
        <f>IF(Table2[[#This Row],[Avg_score]]&gt;=79,"Distinction",IF(Table2[[#This Row],[Avg_score]]&gt;=60,"Pass","Fail"))</f>
        <v>Pass</v>
      </c>
      <c r="T928" t="s">
        <v>39</v>
      </c>
      <c r="U928">
        <f>IF(Table2[[#This Row],[Completed]]="Yes",1,0)</f>
        <v>1</v>
      </c>
      <c r="V928" t="s">
        <v>39</v>
      </c>
      <c r="W928" t="s">
        <v>40</v>
      </c>
      <c r="X928" s="4">
        <v>45838</v>
      </c>
    </row>
    <row r="929" spans="1:24" x14ac:dyDescent="0.3">
      <c r="A929">
        <v>928</v>
      </c>
      <c r="B929" s="8">
        <v>310</v>
      </c>
      <c r="C929">
        <v>1</v>
      </c>
      <c r="D929" t="s">
        <v>19</v>
      </c>
      <c r="E929" t="s">
        <v>23</v>
      </c>
      <c r="F929">
        <v>25</v>
      </c>
      <c r="G929" t="str">
        <f>IF(Table2[[#This Row],[Age]]&gt;=30,"Experienced",IF(Table2[[#This Row],[Age]]&gt;=25,"Mid Level", "Entry Level"))</f>
        <v>Mid Level</v>
      </c>
      <c r="H929" t="s">
        <v>27</v>
      </c>
      <c r="I929" t="s">
        <v>68</v>
      </c>
      <c r="J929" s="4">
        <v>45753</v>
      </c>
      <c r="K929" s="4" t="str">
        <f>TEXT(Table2[[#This Row],[Enrollment_date]],"Mmm")</f>
        <v>Apr</v>
      </c>
      <c r="L929" s="4" t="str">
        <f>TEXT(Table2[[#This Row],[Enrollment_date]],"Ddd")</f>
        <v>Sun</v>
      </c>
      <c r="M929" s="4" t="s">
        <v>34</v>
      </c>
      <c r="N929" t="s">
        <v>35</v>
      </c>
      <c r="O929" t="s">
        <v>38</v>
      </c>
      <c r="P929" s="8">
        <v>4</v>
      </c>
      <c r="Q929" s="6">
        <v>0.8125</v>
      </c>
      <c r="R929" s="6">
        <v>60</v>
      </c>
      <c r="S929" s="6" t="str">
        <f>IF(Table2[[#This Row],[Avg_score]]&gt;=79,"Distinction",IF(Table2[[#This Row],[Avg_score]]&gt;=60,"Pass","Fail"))</f>
        <v>Pass</v>
      </c>
      <c r="T929" t="s">
        <v>40</v>
      </c>
      <c r="U929">
        <f>IF(Table2[[#This Row],[Completed]]="Yes",1,0)</f>
        <v>0</v>
      </c>
      <c r="V929" t="s">
        <v>40</v>
      </c>
      <c r="W929" t="s">
        <v>40</v>
      </c>
      <c r="X929" s="4">
        <v>45838</v>
      </c>
    </row>
    <row r="930" spans="1:24" x14ac:dyDescent="0.3">
      <c r="A930">
        <v>929</v>
      </c>
      <c r="B930" s="8">
        <v>310</v>
      </c>
      <c r="C930">
        <v>2</v>
      </c>
      <c r="D930" t="s">
        <v>19</v>
      </c>
      <c r="E930" t="s">
        <v>23</v>
      </c>
      <c r="F930">
        <v>25</v>
      </c>
      <c r="G930" t="str">
        <f>IF(Table2[[#This Row],[Age]]&gt;=30,"Experienced",IF(Table2[[#This Row],[Age]]&gt;=25,"Mid Level", "Entry Level"))</f>
        <v>Mid Level</v>
      </c>
      <c r="H930" t="s">
        <v>27</v>
      </c>
      <c r="I930" t="s">
        <v>68</v>
      </c>
      <c r="J930" s="4">
        <v>45753</v>
      </c>
      <c r="K930" s="4" t="str">
        <f>TEXT(Table2[[#This Row],[Enrollment_date]],"Mmm")</f>
        <v>Apr</v>
      </c>
      <c r="L930" s="4" t="str">
        <f>TEXT(Table2[[#This Row],[Enrollment_date]],"Ddd")</f>
        <v>Sun</v>
      </c>
      <c r="M930" s="4" t="s">
        <v>34</v>
      </c>
      <c r="N930" t="s">
        <v>36</v>
      </c>
      <c r="O930" t="s">
        <v>38</v>
      </c>
      <c r="P930" s="8">
        <v>4</v>
      </c>
      <c r="Q930" s="6">
        <v>0.8125</v>
      </c>
      <c r="R930" s="6">
        <v>80.5</v>
      </c>
      <c r="S930" s="6" t="str">
        <f>IF(Table2[[#This Row],[Avg_score]]&gt;=79,"Distinction",IF(Table2[[#This Row],[Avg_score]]&gt;=60,"Pass","Fail"))</f>
        <v>Distinction</v>
      </c>
      <c r="T930" t="s">
        <v>40</v>
      </c>
      <c r="U930">
        <f>IF(Table2[[#This Row],[Completed]]="Yes",1,0)</f>
        <v>0</v>
      </c>
      <c r="V930" t="s">
        <v>40</v>
      </c>
      <c r="W930" t="s">
        <v>40</v>
      </c>
      <c r="X930" s="4">
        <v>45838</v>
      </c>
    </row>
    <row r="931" spans="1:24" x14ac:dyDescent="0.3">
      <c r="A931">
        <v>930</v>
      </c>
      <c r="B931" s="8">
        <v>310</v>
      </c>
      <c r="C931">
        <v>3</v>
      </c>
      <c r="D931" t="s">
        <v>19</v>
      </c>
      <c r="E931" t="s">
        <v>23</v>
      </c>
      <c r="F931">
        <v>25</v>
      </c>
      <c r="G931" t="str">
        <f>IF(Table2[[#This Row],[Age]]&gt;=30,"Experienced",IF(Table2[[#This Row],[Age]]&gt;=25,"Mid Level", "Entry Level"))</f>
        <v>Mid Level</v>
      </c>
      <c r="H931" t="s">
        <v>27</v>
      </c>
      <c r="I931" t="s">
        <v>68</v>
      </c>
      <c r="J931" s="4">
        <v>45753</v>
      </c>
      <c r="K931" s="4" t="str">
        <f>TEXT(Table2[[#This Row],[Enrollment_date]],"Mmm")</f>
        <v>Apr</v>
      </c>
      <c r="L931" s="4" t="str">
        <f>TEXT(Table2[[#This Row],[Enrollment_date]],"Ddd")</f>
        <v>Sun</v>
      </c>
      <c r="M931" s="4" t="s">
        <v>34</v>
      </c>
      <c r="N931" t="s">
        <v>37</v>
      </c>
      <c r="O931" t="s">
        <v>38</v>
      </c>
      <c r="P931" s="8">
        <v>4</v>
      </c>
      <c r="Q931" s="6">
        <v>0.8125</v>
      </c>
      <c r="R931" s="6">
        <v>69</v>
      </c>
      <c r="S931" s="6" t="str">
        <f>IF(Table2[[#This Row],[Avg_score]]&gt;=79,"Distinction",IF(Table2[[#This Row],[Avg_score]]&gt;=60,"Pass","Fail"))</f>
        <v>Pass</v>
      </c>
      <c r="T931" t="s">
        <v>40</v>
      </c>
      <c r="U931">
        <f>IF(Table2[[#This Row],[Completed]]="Yes",1,0)</f>
        <v>0</v>
      </c>
      <c r="V931" t="s">
        <v>40</v>
      </c>
      <c r="W931" t="s">
        <v>40</v>
      </c>
      <c r="X931" s="4">
        <v>45838</v>
      </c>
    </row>
    <row r="932" spans="1:24" x14ac:dyDescent="0.3">
      <c r="A932">
        <v>931</v>
      </c>
      <c r="B932" s="8">
        <v>311</v>
      </c>
      <c r="C932">
        <v>1</v>
      </c>
      <c r="D932" t="s">
        <v>21</v>
      </c>
      <c r="E932" t="s">
        <v>22</v>
      </c>
      <c r="F932">
        <v>18</v>
      </c>
      <c r="G932" t="str">
        <f>IF(Table2[[#This Row],[Age]]&gt;=30,"Experienced",IF(Table2[[#This Row],[Age]]&gt;=25,"Mid Level", "Entry Level"))</f>
        <v>Entry Level</v>
      </c>
      <c r="H932" t="s">
        <v>29</v>
      </c>
      <c r="I932" t="s">
        <v>68</v>
      </c>
      <c r="J932" s="4">
        <v>45743</v>
      </c>
      <c r="K932" s="4" t="str">
        <f>TEXT(Table2[[#This Row],[Enrollment_date]],"Mmm")</f>
        <v>Mar</v>
      </c>
      <c r="L932" s="4" t="str">
        <f>TEXT(Table2[[#This Row],[Enrollment_date]],"Ddd")</f>
        <v>Thu</v>
      </c>
      <c r="M932" s="4" t="s">
        <v>34</v>
      </c>
      <c r="N932" t="s">
        <v>35</v>
      </c>
      <c r="O932" t="s">
        <v>38</v>
      </c>
      <c r="P932" s="8">
        <v>4</v>
      </c>
      <c r="Q932" s="6">
        <v>0.77083333333333337</v>
      </c>
      <c r="R932" s="6">
        <v>61.5</v>
      </c>
      <c r="S932" s="6" t="str">
        <f>IF(Table2[[#This Row],[Avg_score]]&gt;=79,"Distinction",IF(Table2[[#This Row],[Avg_score]]&gt;=60,"Pass","Fail"))</f>
        <v>Pass</v>
      </c>
      <c r="T932" t="s">
        <v>39</v>
      </c>
      <c r="U932">
        <f>IF(Table2[[#This Row],[Completed]]="Yes",1,0)</f>
        <v>1</v>
      </c>
      <c r="V932" t="s">
        <v>39</v>
      </c>
      <c r="W932" t="s">
        <v>40</v>
      </c>
      <c r="X932" s="4">
        <v>45838</v>
      </c>
    </row>
    <row r="933" spans="1:24" x14ac:dyDescent="0.3">
      <c r="A933">
        <v>932</v>
      </c>
      <c r="B933" s="8">
        <v>311</v>
      </c>
      <c r="C933">
        <v>2</v>
      </c>
      <c r="D933" t="s">
        <v>19</v>
      </c>
      <c r="E933" t="s">
        <v>22</v>
      </c>
      <c r="F933">
        <v>18</v>
      </c>
      <c r="G933" t="str">
        <f>IF(Table2[[#This Row],[Age]]&gt;=30,"Experienced",IF(Table2[[#This Row],[Age]]&gt;=25,"Mid Level", "Entry Level"))</f>
        <v>Entry Level</v>
      </c>
      <c r="H933" t="s">
        <v>29</v>
      </c>
      <c r="I933" t="s">
        <v>68</v>
      </c>
      <c r="J933" s="4">
        <v>45743</v>
      </c>
      <c r="K933" s="4" t="str">
        <f>TEXT(Table2[[#This Row],[Enrollment_date]],"Mmm")</f>
        <v>Mar</v>
      </c>
      <c r="L933" s="4" t="str">
        <f>TEXT(Table2[[#This Row],[Enrollment_date]],"Ddd")</f>
        <v>Thu</v>
      </c>
      <c r="M933" s="4" t="s">
        <v>34</v>
      </c>
      <c r="N933" t="s">
        <v>36</v>
      </c>
      <c r="O933" t="s">
        <v>38</v>
      </c>
      <c r="P933" s="8">
        <v>4</v>
      </c>
      <c r="Q933" s="6">
        <v>0.79166666666666663</v>
      </c>
      <c r="R933" s="6">
        <v>72.5</v>
      </c>
      <c r="S933" s="6" t="str">
        <f>IF(Table2[[#This Row],[Avg_score]]&gt;=79,"Distinction",IF(Table2[[#This Row],[Avg_score]]&gt;=60,"Pass","Fail"))</f>
        <v>Pass</v>
      </c>
      <c r="T933" t="s">
        <v>39</v>
      </c>
      <c r="U933">
        <f>IF(Table2[[#This Row],[Completed]]="Yes",1,0)</f>
        <v>1</v>
      </c>
      <c r="V933" t="s">
        <v>39</v>
      </c>
      <c r="W933" t="s">
        <v>40</v>
      </c>
      <c r="X933" s="4">
        <v>45838</v>
      </c>
    </row>
    <row r="934" spans="1:24" x14ac:dyDescent="0.3">
      <c r="A934">
        <v>933</v>
      </c>
      <c r="B934" s="8">
        <v>311</v>
      </c>
      <c r="C934">
        <v>3</v>
      </c>
      <c r="D934" t="s">
        <v>19</v>
      </c>
      <c r="E934" t="s">
        <v>22</v>
      </c>
      <c r="F934">
        <v>18</v>
      </c>
      <c r="G934" t="str">
        <f>IF(Table2[[#This Row],[Age]]&gt;=30,"Experienced",IF(Table2[[#This Row],[Age]]&gt;=25,"Mid Level", "Entry Level"))</f>
        <v>Entry Level</v>
      </c>
      <c r="H934" t="s">
        <v>29</v>
      </c>
      <c r="I934" t="s">
        <v>68</v>
      </c>
      <c r="J934" s="4">
        <v>45743</v>
      </c>
      <c r="K934" s="4" t="str">
        <f>TEXT(Table2[[#This Row],[Enrollment_date]],"Mmm")</f>
        <v>Mar</v>
      </c>
      <c r="L934" s="4" t="str">
        <f>TEXT(Table2[[#This Row],[Enrollment_date]],"Ddd")</f>
        <v>Thu</v>
      </c>
      <c r="M934" s="4" t="s">
        <v>34</v>
      </c>
      <c r="N934" t="s">
        <v>37</v>
      </c>
      <c r="O934" t="s">
        <v>38</v>
      </c>
      <c r="P934" s="8">
        <v>4</v>
      </c>
      <c r="Q934" s="6">
        <v>0.77083333333333337</v>
      </c>
      <c r="R934" s="6">
        <v>72</v>
      </c>
      <c r="S934" s="6" t="str">
        <f>IF(Table2[[#This Row],[Avg_score]]&gt;=79,"Distinction",IF(Table2[[#This Row],[Avg_score]]&gt;=60,"Pass","Fail"))</f>
        <v>Pass</v>
      </c>
      <c r="T934" t="s">
        <v>39</v>
      </c>
      <c r="U934">
        <f>IF(Table2[[#This Row],[Completed]]="Yes",1,0)</f>
        <v>1</v>
      </c>
      <c r="V934" t="s">
        <v>39</v>
      </c>
      <c r="W934" t="s">
        <v>40</v>
      </c>
      <c r="X934" s="4">
        <v>45838</v>
      </c>
    </row>
    <row r="935" spans="1:24" x14ac:dyDescent="0.3">
      <c r="A935">
        <v>934</v>
      </c>
      <c r="B935" s="8">
        <v>312</v>
      </c>
      <c r="C935">
        <v>1</v>
      </c>
      <c r="D935" t="s">
        <v>19</v>
      </c>
      <c r="E935" t="s">
        <v>22</v>
      </c>
      <c r="F935">
        <v>22</v>
      </c>
      <c r="G935" t="str">
        <f>IF(Table2[[#This Row],[Age]]&gt;=30,"Experienced",IF(Table2[[#This Row],[Age]]&gt;=25,"Mid Level", "Entry Level"))</f>
        <v>Entry Level</v>
      </c>
      <c r="H935" t="s">
        <v>25</v>
      </c>
      <c r="I935" t="s">
        <v>30</v>
      </c>
      <c r="J935" s="4">
        <v>45778</v>
      </c>
      <c r="K935" s="4" t="str">
        <f>TEXT(Table2[[#This Row],[Enrollment_date]],"Mmm")</f>
        <v>May</v>
      </c>
      <c r="L935" s="4" t="str">
        <f>TEXT(Table2[[#This Row],[Enrollment_date]],"Ddd")</f>
        <v>Thu</v>
      </c>
      <c r="M935" s="4" t="s">
        <v>34</v>
      </c>
      <c r="N935" t="s">
        <v>35</v>
      </c>
      <c r="O935" t="s">
        <v>38</v>
      </c>
      <c r="P935" s="8">
        <v>4</v>
      </c>
      <c r="Q935" s="6">
        <v>0.79166666666666663</v>
      </c>
      <c r="R935" s="6">
        <v>62.5</v>
      </c>
      <c r="S935" s="6" t="str">
        <f>IF(Table2[[#This Row],[Avg_score]]&gt;=79,"Distinction",IF(Table2[[#This Row],[Avg_score]]&gt;=60,"Pass","Fail"))</f>
        <v>Pass</v>
      </c>
      <c r="T935" t="s">
        <v>40</v>
      </c>
      <c r="U935">
        <f>IF(Table2[[#This Row],[Completed]]="Yes",1,0)</f>
        <v>0</v>
      </c>
      <c r="V935" t="s">
        <v>40</v>
      </c>
      <c r="W935" t="s">
        <v>40</v>
      </c>
      <c r="X935" s="4">
        <v>45838</v>
      </c>
    </row>
    <row r="936" spans="1:24" x14ac:dyDescent="0.3">
      <c r="A936">
        <v>935</v>
      </c>
      <c r="B936" s="8">
        <v>312</v>
      </c>
      <c r="C936">
        <v>2</v>
      </c>
      <c r="D936" t="s">
        <v>21</v>
      </c>
      <c r="E936" t="s">
        <v>22</v>
      </c>
      <c r="F936">
        <v>22</v>
      </c>
      <c r="G936" t="str">
        <f>IF(Table2[[#This Row],[Age]]&gt;=30,"Experienced",IF(Table2[[#This Row],[Age]]&gt;=25,"Mid Level", "Entry Level"))</f>
        <v>Entry Level</v>
      </c>
      <c r="H936" t="s">
        <v>25</v>
      </c>
      <c r="I936" t="s">
        <v>30</v>
      </c>
      <c r="J936" s="4">
        <v>45778</v>
      </c>
      <c r="K936" s="4" t="str">
        <f>TEXT(Table2[[#This Row],[Enrollment_date]],"Mmm")</f>
        <v>May</v>
      </c>
      <c r="L936" s="4" t="str">
        <f>TEXT(Table2[[#This Row],[Enrollment_date]],"Ddd")</f>
        <v>Thu</v>
      </c>
      <c r="M936" s="4" t="s">
        <v>34</v>
      </c>
      <c r="N936" t="s">
        <v>36</v>
      </c>
      <c r="O936" t="s">
        <v>38</v>
      </c>
      <c r="P936" s="8">
        <v>4</v>
      </c>
      <c r="Q936" s="6">
        <v>0.83333333333333337</v>
      </c>
      <c r="R936" s="6">
        <v>66.5</v>
      </c>
      <c r="S936" s="6" t="str">
        <f>IF(Table2[[#This Row],[Avg_score]]&gt;=79,"Distinction",IF(Table2[[#This Row],[Avg_score]]&gt;=60,"Pass","Fail"))</f>
        <v>Pass</v>
      </c>
      <c r="T936" t="s">
        <v>40</v>
      </c>
      <c r="U936">
        <f>IF(Table2[[#This Row],[Completed]]="Yes",1,0)</f>
        <v>0</v>
      </c>
      <c r="V936" t="s">
        <v>40</v>
      </c>
      <c r="W936" t="s">
        <v>40</v>
      </c>
      <c r="X936" s="4">
        <v>45838</v>
      </c>
    </row>
    <row r="937" spans="1:24" x14ac:dyDescent="0.3">
      <c r="A937">
        <v>936</v>
      </c>
      <c r="B937" s="8">
        <v>312</v>
      </c>
      <c r="C937">
        <v>3</v>
      </c>
      <c r="D937" t="s">
        <v>19</v>
      </c>
      <c r="E937" t="s">
        <v>22</v>
      </c>
      <c r="F937">
        <v>22</v>
      </c>
      <c r="G937" t="str">
        <f>IF(Table2[[#This Row],[Age]]&gt;=30,"Experienced",IF(Table2[[#This Row],[Age]]&gt;=25,"Mid Level", "Entry Level"))</f>
        <v>Entry Level</v>
      </c>
      <c r="H937" t="s">
        <v>25</v>
      </c>
      <c r="I937" t="s">
        <v>30</v>
      </c>
      <c r="J937" s="4">
        <v>45778</v>
      </c>
      <c r="K937" s="4" t="str">
        <f>TEXT(Table2[[#This Row],[Enrollment_date]],"Mmm")</f>
        <v>May</v>
      </c>
      <c r="L937" s="4" t="str">
        <f>TEXT(Table2[[#This Row],[Enrollment_date]],"Ddd")</f>
        <v>Thu</v>
      </c>
      <c r="M937" s="4" t="s">
        <v>34</v>
      </c>
      <c r="N937" t="s">
        <v>37</v>
      </c>
      <c r="O937" t="s">
        <v>38</v>
      </c>
      <c r="P937" s="8">
        <v>4</v>
      </c>
      <c r="Q937" s="6">
        <v>0.77083333333333337</v>
      </c>
      <c r="R937" s="6">
        <v>94</v>
      </c>
      <c r="S937" s="6" t="str">
        <f>IF(Table2[[#This Row],[Avg_score]]&gt;=79,"Distinction",IF(Table2[[#This Row],[Avg_score]]&gt;=60,"Pass","Fail"))</f>
        <v>Distinction</v>
      </c>
      <c r="T937" t="s">
        <v>40</v>
      </c>
      <c r="U937">
        <f>IF(Table2[[#This Row],[Completed]]="Yes",1,0)</f>
        <v>0</v>
      </c>
      <c r="V937" t="s">
        <v>40</v>
      </c>
      <c r="W937" t="s">
        <v>40</v>
      </c>
      <c r="X937" s="4">
        <v>45838</v>
      </c>
    </row>
    <row r="938" spans="1:24" x14ac:dyDescent="0.3">
      <c r="A938">
        <v>937</v>
      </c>
      <c r="B938" s="8">
        <v>313</v>
      </c>
      <c r="C938">
        <v>1</v>
      </c>
      <c r="D938" t="s">
        <v>19</v>
      </c>
      <c r="E938" t="s">
        <v>22</v>
      </c>
      <c r="F938">
        <v>33</v>
      </c>
      <c r="G938" t="str">
        <f>IF(Table2[[#This Row],[Age]]&gt;=30,"Experienced",IF(Table2[[#This Row],[Age]]&gt;=25,"Mid Level", "Entry Level"))</f>
        <v>Experienced</v>
      </c>
      <c r="H938" t="s">
        <v>27</v>
      </c>
      <c r="I938" t="s">
        <v>68</v>
      </c>
      <c r="J938" s="4">
        <v>45678</v>
      </c>
      <c r="K938" s="4" t="str">
        <f>TEXT(Table2[[#This Row],[Enrollment_date]],"Mmm")</f>
        <v>Jan</v>
      </c>
      <c r="L938" s="4" t="str">
        <f>TEXT(Table2[[#This Row],[Enrollment_date]],"Ddd")</f>
        <v>Tue</v>
      </c>
      <c r="M938" s="4" t="s">
        <v>34</v>
      </c>
      <c r="N938" t="s">
        <v>35</v>
      </c>
      <c r="O938" t="s">
        <v>38</v>
      </c>
      <c r="P938" s="8">
        <v>4</v>
      </c>
      <c r="Q938" s="6">
        <v>0.89583333333333337</v>
      </c>
      <c r="R938" s="6">
        <v>78</v>
      </c>
      <c r="S938" s="6" t="str">
        <f>IF(Table2[[#This Row],[Avg_score]]&gt;=79,"Distinction",IF(Table2[[#This Row],[Avg_score]]&gt;=60,"Pass","Fail"))</f>
        <v>Pass</v>
      </c>
      <c r="T938" t="s">
        <v>39</v>
      </c>
      <c r="U938">
        <f>IF(Table2[[#This Row],[Completed]]="Yes",1,0)</f>
        <v>1</v>
      </c>
      <c r="V938" t="s">
        <v>39</v>
      </c>
      <c r="W938" t="s">
        <v>40</v>
      </c>
      <c r="X938" s="4">
        <v>45838</v>
      </c>
    </row>
    <row r="939" spans="1:24" x14ac:dyDescent="0.3">
      <c r="A939">
        <v>938</v>
      </c>
      <c r="B939" s="8">
        <v>313</v>
      </c>
      <c r="C939">
        <v>2</v>
      </c>
      <c r="D939" t="s">
        <v>19</v>
      </c>
      <c r="E939" t="s">
        <v>22</v>
      </c>
      <c r="F939">
        <v>33</v>
      </c>
      <c r="G939" t="str">
        <f>IF(Table2[[#This Row],[Age]]&gt;=30,"Experienced",IF(Table2[[#This Row],[Age]]&gt;=25,"Mid Level", "Entry Level"))</f>
        <v>Experienced</v>
      </c>
      <c r="H939" t="s">
        <v>27</v>
      </c>
      <c r="I939" t="s">
        <v>68</v>
      </c>
      <c r="J939" s="4">
        <v>45678</v>
      </c>
      <c r="K939" s="4" t="str">
        <f>TEXT(Table2[[#This Row],[Enrollment_date]],"Mmm")</f>
        <v>Jan</v>
      </c>
      <c r="L939" s="4" t="str">
        <f>TEXT(Table2[[#This Row],[Enrollment_date]],"Ddd")</f>
        <v>Tue</v>
      </c>
      <c r="M939" s="4" t="s">
        <v>34</v>
      </c>
      <c r="N939" t="s">
        <v>36</v>
      </c>
      <c r="O939" t="s">
        <v>38</v>
      </c>
      <c r="P939" s="8">
        <v>4</v>
      </c>
      <c r="Q939" s="6">
        <v>0.91666666666666663</v>
      </c>
      <c r="R939" s="6">
        <v>80</v>
      </c>
      <c r="S939" s="6" t="str">
        <f>IF(Table2[[#This Row],[Avg_score]]&gt;=79,"Distinction",IF(Table2[[#This Row],[Avg_score]]&gt;=60,"Pass","Fail"))</f>
        <v>Distinction</v>
      </c>
      <c r="T939" t="s">
        <v>39</v>
      </c>
      <c r="U939">
        <f>IF(Table2[[#This Row],[Completed]]="Yes",1,0)</f>
        <v>1</v>
      </c>
      <c r="V939" t="s">
        <v>39</v>
      </c>
      <c r="W939" t="s">
        <v>40</v>
      </c>
      <c r="X939" s="4">
        <v>45838</v>
      </c>
    </row>
    <row r="940" spans="1:24" x14ac:dyDescent="0.3">
      <c r="A940">
        <v>939</v>
      </c>
      <c r="B940" s="8">
        <v>313</v>
      </c>
      <c r="C940">
        <v>3</v>
      </c>
      <c r="D940" t="s">
        <v>19</v>
      </c>
      <c r="E940" t="s">
        <v>22</v>
      </c>
      <c r="F940">
        <v>33</v>
      </c>
      <c r="G940" t="str">
        <f>IF(Table2[[#This Row],[Age]]&gt;=30,"Experienced",IF(Table2[[#This Row],[Age]]&gt;=25,"Mid Level", "Entry Level"))</f>
        <v>Experienced</v>
      </c>
      <c r="H940" t="s">
        <v>27</v>
      </c>
      <c r="I940" t="s">
        <v>68</v>
      </c>
      <c r="J940" s="4">
        <v>45678</v>
      </c>
      <c r="K940" s="4" t="str">
        <f>TEXT(Table2[[#This Row],[Enrollment_date]],"Mmm")</f>
        <v>Jan</v>
      </c>
      <c r="L940" s="4" t="str">
        <f>TEXT(Table2[[#This Row],[Enrollment_date]],"Ddd")</f>
        <v>Tue</v>
      </c>
      <c r="M940" s="4" t="s">
        <v>34</v>
      </c>
      <c r="N940" t="s">
        <v>37</v>
      </c>
      <c r="O940" t="s">
        <v>38</v>
      </c>
      <c r="P940" s="8">
        <v>4</v>
      </c>
      <c r="Q940" s="6">
        <v>0.83333333333333337</v>
      </c>
      <c r="R940" s="6">
        <v>62</v>
      </c>
      <c r="S940" s="6" t="str">
        <f>IF(Table2[[#This Row],[Avg_score]]&gt;=79,"Distinction",IF(Table2[[#This Row],[Avg_score]]&gt;=60,"Pass","Fail"))</f>
        <v>Pass</v>
      </c>
      <c r="T940" t="s">
        <v>39</v>
      </c>
      <c r="U940">
        <f>IF(Table2[[#This Row],[Completed]]="Yes",1,0)</f>
        <v>1</v>
      </c>
      <c r="V940" t="s">
        <v>39</v>
      </c>
      <c r="W940" t="s">
        <v>40</v>
      </c>
      <c r="X940" s="4">
        <v>45838</v>
      </c>
    </row>
    <row r="941" spans="1:24" x14ac:dyDescent="0.3">
      <c r="A941">
        <v>940</v>
      </c>
      <c r="B941" s="8">
        <v>314</v>
      </c>
      <c r="C941">
        <v>1</v>
      </c>
      <c r="D941" t="s">
        <v>20</v>
      </c>
      <c r="E941" t="s">
        <v>22</v>
      </c>
      <c r="F941">
        <v>26</v>
      </c>
      <c r="G941" t="str">
        <f>IF(Table2[[#This Row],[Age]]&gt;=30,"Experienced",IF(Table2[[#This Row],[Age]]&gt;=25,"Mid Level", "Entry Level"))</f>
        <v>Mid Level</v>
      </c>
      <c r="H941" t="s">
        <v>28</v>
      </c>
      <c r="I941" t="s">
        <v>32</v>
      </c>
      <c r="J941" s="4">
        <v>45798</v>
      </c>
      <c r="K941" s="4" t="str">
        <f>TEXT(Table2[[#This Row],[Enrollment_date]],"Mmm")</f>
        <v>May</v>
      </c>
      <c r="L941" s="4" t="str">
        <f>TEXT(Table2[[#This Row],[Enrollment_date]],"Ddd")</f>
        <v>Wed</v>
      </c>
      <c r="M941" s="4" t="s">
        <v>34</v>
      </c>
      <c r="N941" t="s">
        <v>35</v>
      </c>
      <c r="O941" t="s">
        <v>38</v>
      </c>
      <c r="P941" s="8">
        <v>4</v>
      </c>
      <c r="Q941" s="6">
        <v>0.9375</v>
      </c>
      <c r="R941" s="6">
        <v>62</v>
      </c>
      <c r="S941" s="6" t="str">
        <f>IF(Table2[[#This Row],[Avg_score]]&gt;=79,"Distinction",IF(Table2[[#This Row],[Avg_score]]&gt;=60,"Pass","Fail"))</f>
        <v>Pass</v>
      </c>
      <c r="T941" t="s">
        <v>40</v>
      </c>
      <c r="U941">
        <f>IF(Table2[[#This Row],[Completed]]="Yes",1,0)</f>
        <v>0</v>
      </c>
      <c r="V941" t="s">
        <v>40</v>
      </c>
      <c r="W941" t="s">
        <v>40</v>
      </c>
      <c r="X941" s="4">
        <v>45838</v>
      </c>
    </row>
    <row r="942" spans="1:24" x14ac:dyDescent="0.3">
      <c r="A942">
        <v>941</v>
      </c>
      <c r="B942" s="8">
        <v>314</v>
      </c>
      <c r="C942">
        <v>2</v>
      </c>
      <c r="D942" t="s">
        <v>21</v>
      </c>
      <c r="E942" t="s">
        <v>22</v>
      </c>
      <c r="F942">
        <v>26</v>
      </c>
      <c r="G942" t="str">
        <f>IF(Table2[[#This Row],[Age]]&gt;=30,"Experienced",IF(Table2[[#This Row],[Age]]&gt;=25,"Mid Level", "Entry Level"))</f>
        <v>Mid Level</v>
      </c>
      <c r="H942" t="s">
        <v>28</v>
      </c>
      <c r="I942" t="s">
        <v>32</v>
      </c>
      <c r="J942" s="4">
        <v>45798</v>
      </c>
      <c r="K942" s="4" t="str">
        <f>TEXT(Table2[[#This Row],[Enrollment_date]],"Mmm")</f>
        <v>May</v>
      </c>
      <c r="L942" s="4" t="str">
        <f>TEXT(Table2[[#This Row],[Enrollment_date]],"Ddd")</f>
        <v>Wed</v>
      </c>
      <c r="M942" s="4" t="s">
        <v>34</v>
      </c>
      <c r="N942" t="s">
        <v>36</v>
      </c>
      <c r="O942" t="s">
        <v>38</v>
      </c>
      <c r="P942" s="8">
        <v>4</v>
      </c>
      <c r="Q942" s="6">
        <v>0.83333333333333337</v>
      </c>
      <c r="R942" s="6">
        <v>50.5</v>
      </c>
      <c r="S942" s="6" t="str">
        <f>IF(Table2[[#This Row],[Avg_score]]&gt;=79,"Distinction",IF(Table2[[#This Row],[Avg_score]]&gt;=60,"Pass","Fail"))</f>
        <v>Fail</v>
      </c>
      <c r="T942" t="s">
        <v>40</v>
      </c>
      <c r="U942">
        <f>IF(Table2[[#This Row],[Completed]]="Yes",1,0)</f>
        <v>0</v>
      </c>
      <c r="V942" t="s">
        <v>40</v>
      </c>
      <c r="W942" t="s">
        <v>40</v>
      </c>
      <c r="X942" s="4">
        <v>45838</v>
      </c>
    </row>
    <row r="943" spans="1:24" x14ac:dyDescent="0.3">
      <c r="A943">
        <v>942</v>
      </c>
      <c r="B943" s="8">
        <v>314</v>
      </c>
      <c r="C943">
        <v>3</v>
      </c>
      <c r="D943" t="s">
        <v>19</v>
      </c>
      <c r="E943" t="s">
        <v>22</v>
      </c>
      <c r="F943">
        <v>26</v>
      </c>
      <c r="G943" t="str">
        <f>IF(Table2[[#This Row],[Age]]&gt;=30,"Experienced",IF(Table2[[#This Row],[Age]]&gt;=25,"Mid Level", "Entry Level"))</f>
        <v>Mid Level</v>
      </c>
      <c r="H943" t="s">
        <v>28</v>
      </c>
      <c r="I943" t="s">
        <v>32</v>
      </c>
      <c r="J943" s="4">
        <v>45798</v>
      </c>
      <c r="K943" s="4" t="str">
        <f>TEXT(Table2[[#This Row],[Enrollment_date]],"Mmm")</f>
        <v>May</v>
      </c>
      <c r="L943" s="4" t="str">
        <f>TEXT(Table2[[#This Row],[Enrollment_date]],"Ddd")</f>
        <v>Wed</v>
      </c>
      <c r="M943" s="4" t="s">
        <v>34</v>
      </c>
      <c r="N943" t="s">
        <v>37</v>
      </c>
      <c r="O943" t="s">
        <v>38</v>
      </c>
      <c r="P943" s="8">
        <v>4</v>
      </c>
      <c r="Q943" s="6">
        <v>0.75</v>
      </c>
      <c r="R943" s="6">
        <v>72</v>
      </c>
      <c r="S943" s="6" t="str">
        <f>IF(Table2[[#This Row],[Avg_score]]&gt;=79,"Distinction",IF(Table2[[#This Row],[Avg_score]]&gt;=60,"Pass","Fail"))</f>
        <v>Pass</v>
      </c>
      <c r="T943" t="s">
        <v>40</v>
      </c>
      <c r="U943">
        <f>IF(Table2[[#This Row],[Completed]]="Yes",1,0)</f>
        <v>0</v>
      </c>
      <c r="V943" t="s">
        <v>40</v>
      </c>
      <c r="W943" t="s">
        <v>40</v>
      </c>
      <c r="X943" s="4">
        <v>45838</v>
      </c>
    </row>
    <row r="944" spans="1:24" x14ac:dyDescent="0.3">
      <c r="A944">
        <v>943</v>
      </c>
      <c r="B944" s="8">
        <v>315</v>
      </c>
      <c r="C944">
        <v>1</v>
      </c>
      <c r="D944" t="s">
        <v>20</v>
      </c>
      <c r="E944" t="s">
        <v>23</v>
      </c>
      <c r="F944">
        <v>21</v>
      </c>
      <c r="G944" t="str">
        <f>IF(Table2[[#This Row],[Age]]&gt;=30,"Experienced",IF(Table2[[#This Row],[Age]]&gt;=25,"Mid Level", "Entry Level"))</f>
        <v>Entry Level</v>
      </c>
      <c r="H944" t="s">
        <v>29</v>
      </c>
      <c r="I944" t="s">
        <v>32</v>
      </c>
      <c r="J944" s="4">
        <v>45735</v>
      </c>
      <c r="K944" s="4" t="str">
        <f>TEXT(Table2[[#This Row],[Enrollment_date]],"Mmm")</f>
        <v>Mar</v>
      </c>
      <c r="L944" s="4" t="str">
        <f>TEXT(Table2[[#This Row],[Enrollment_date]],"Ddd")</f>
        <v>Wed</v>
      </c>
      <c r="M944" s="4" t="s">
        <v>34</v>
      </c>
      <c r="N944" t="s">
        <v>35</v>
      </c>
      <c r="O944" t="s">
        <v>38</v>
      </c>
      <c r="P944" s="8">
        <v>4</v>
      </c>
      <c r="Q944" s="6">
        <v>0.875</v>
      </c>
      <c r="R944" s="6">
        <v>66</v>
      </c>
      <c r="S944" s="6" t="str">
        <f>IF(Table2[[#This Row],[Avg_score]]&gt;=79,"Distinction",IF(Table2[[#This Row],[Avg_score]]&gt;=60,"Pass","Fail"))</f>
        <v>Pass</v>
      </c>
      <c r="T944" t="s">
        <v>39</v>
      </c>
      <c r="U944">
        <f>IF(Table2[[#This Row],[Completed]]="Yes",1,0)</f>
        <v>1</v>
      </c>
      <c r="V944" t="s">
        <v>39</v>
      </c>
      <c r="W944" t="s">
        <v>40</v>
      </c>
      <c r="X944" s="4">
        <v>45838</v>
      </c>
    </row>
    <row r="945" spans="1:24" x14ac:dyDescent="0.3">
      <c r="A945">
        <v>944</v>
      </c>
      <c r="B945" s="8">
        <v>315</v>
      </c>
      <c r="C945">
        <v>2</v>
      </c>
      <c r="D945" t="s">
        <v>21</v>
      </c>
      <c r="E945" t="s">
        <v>23</v>
      </c>
      <c r="F945">
        <v>21</v>
      </c>
      <c r="G945" t="str">
        <f>IF(Table2[[#This Row],[Age]]&gt;=30,"Experienced",IF(Table2[[#This Row],[Age]]&gt;=25,"Mid Level", "Entry Level"))</f>
        <v>Entry Level</v>
      </c>
      <c r="H945" t="s">
        <v>29</v>
      </c>
      <c r="I945" t="s">
        <v>32</v>
      </c>
      <c r="J945" s="4">
        <v>45735</v>
      </c>
      <c r="K945" s="4" t="str">
        <f>TEXT(Table2[[#This Row],[Enrollment_date]],"Mmm")</f>
        <v>Mar</v>
      </c>
      <c r="L945" s="4" t="str">
        <f>TEXT(Table2[[#This Row],[Enrollment_date]],"Ddd")</f>
        <v>Wed</v>
      </c>
      <c r="M945" s="4" t="s">
        <v>34</v>
      </c>
      <c r="N945" t="s">
        <v>36</v>
      </c>
      <c r="O945" t="s">
        <v>38</v>
      </c>
      <c r="P945" s="8">
        <v>4</v>
      </c>
      <c r="Q945" s="6">
        <v>0.875</v>
      </c>
      <c r="R945" s="6">
        <v>77.5</v>
      </c>
      <c r="S945" s="6" t="str">
        <f>IF(Table2[[#This Row],[Avg_score]]&gt;=79,"Distinction",IF(Table2[[#This Row],[Avg_score]]&gt;=60,"Pass","Fail"))</f>
        <v>Pass</v>
      </c>
      <c r="T945" t="s">
        <v>39</v>
      </c>
      <c r="U945">
        <f>IF(Table2[[#This Row],[Completed]]="Yes",1,0)</f>
        <v>1</v>
      </c>
      <c r="V945" t="s">
        <v>39</v>
      </c>
      <c r="W945" t="s">
        <v>40</v>
      </c>
      <c r="X945" s="4">
        <v>45838</v>
      </c>
    </row>
    <row r="946" spans="1:24" x14ac:dyDescent="0.3">
      <c r="A946">
        <v>945</v>
      </c>
      <c r="B946" s="8">
        <v>315</v>
      </c>
      <c r="C946">
        <v>3</v>
      </c>
      <c r="D946" t="s">
        <v>19</v>
      </c>
      <c r="E946" t="s">
        <v>23</v>
      </c>
      <c r="F946">
        <v>21</v>
      </c>
      <c r="G946" t="str">
        <f>IF(Table2[[#This Row],[Age]]&gt;=30,"Experienced",IF(Table2[[#This Row],[Age]]&gt;=25,"Mid Level", "Entry Level"))</f>
        <v>Entry Level</v>
      </c>
      <c r="H946" t="s">
        <v>29</v>
      </c>
      <c r="I946" t="s">
        <v>32</v>
      </c>
      <c r="J946" s="4">
        <v>45735</v>
      </c>
      <c r="K946" s="4" t="str">
        <f>TEXT(Table2[[#This Row],[Enrollment_date]],"Mmm")</f>
        <v>Mar</v>
      </c>
      <c r="L946" s="4" t="str">
        <f>TEXT(Table2[[#This Row],[Enrollment_date]],"Ddd")</f>
        <v>Wed</v>
      </c>
      <c r="M946" s="4" t="s">
        <v>34</v>
      </c>
      <c r="N946" t="s">
        <v>37</v>
      </c>
      <c r="O946" t="s">
        <v>38</v>
      </c>
      <c r="P946" s="8">
        <v>4</v>
      </c>
      <c r="Q946" s="6">
        <v>0.72916666666666663</v>
      </c>
      <c r="R946" s="6">
        <v>86.5</v>
      </c>
      <c r="S946" s="6" t="str">
        <f>IF(Table2[[#This Row],[Avg_score]]&gt;=79,"Distinction",IF(Table2[[#This Row],[Avg_score]]&gt;=60,"Pass","Fail"))</f>
        <v>Distinction</v>
      </c>
      <c r="T946" t="s">
        <v>39</v>
      </c>
      <c r="U946">
        <f>IF(Table2[[#This Row],[Completed]]="Yes",1,0)</f>
        <v>1</v>
      </c>
      <c r="V946" t="s">
        <v>39</v>
      </c>
      <c r="W946" t="s">
        <v>40</v>
      </c>
      <c r="X946" s="4">
        <v>45838</v>
      </c>
    </row>
    <row r="947" spans="1:24" x14ac:dyDescent="0.3">
      <c r="A947">
        <v>946</v>
      </c>
      <c r="B947" s="8">
        <v>316</v>
      </c>
      <c r="C947">
        <v>1</v>
      </c>
      <c r="D947" t="s">
        <v>19</v>
      </c>
      <c r="E947" t="s">
        <v>22</v>
      </c>
      <c r="F947">
        <v>19</v>
      </c>
      <c r="G947" t="str">
        <f>IF(Table2[[#This Row],[Age]]&gt;=30,"Experienced",IF(Table2[[#This Row],[Age]]&gt;=25,"Mid Level", "Entry Level"))</f>
        <v>Entry Level</v>
      </c>
      <c r="H947" t="s">
        <v>28</v>
      </c>
      <c r="I947" t="s">
        <v>44</v>
      </c>
      <c r="J947" s="4">
        <v>45775</v>
      </c>
      <c r="K947" s="4" t="str">
        <f>TEXT(Table2[[#This Row],[Enrollment_date]],"Mmm")</f>
        <v>Apr</v>
      </c>
      <c r="L947" s="4" t="str">
        <f>TEXT(Table2[[#This Row],[Enrollment_date]],"Ddd")</f>
        <v>Mon</v>
      </c>
      <c r="M947" s="4" t="s">
        <v>34</v>
      </c>
      <c r="N947" t="s">
        <v>35</v>
      </c>
      <c r="O947" t="s">
        <v>38</v>
      </c>
      <c r="P947" s="8">
        <v>4</v>
      </c>
      <c r="Q947" s="6">
        <v>0.77083333333333337</v>
      </c>
      <c r="R947" s="6">
        <v>88.5</v>
      </c>
      <c r="S947" s="6" t="str">
        <f>IF(Table2[[#This Row],[Avg_score]]&gt;=79,"Distinction",IF(Table2[[#This Row],[Avg_score]]&gt;=60,"Pass","Fail"))</f>
        <v>Distinction</v>
      </c>
      <c r="T947" t="s">
        <v>39</v>
      </c>
      <c r="U947">
        <f>IF(Table2[[#This Row],[Completed]]="Yes",1,0)</f>
        <v>1</v>
      </c>
      <c r="V947" t="s">
        <v>39</v>
      </c>
      <c r="W947" t="s">
        <v>40</v>
      </c>
      <c r="X947" s="4">
        <v>45838</v>
      </c>
    </row>
    <row r="948" spans="1:24" x14ac:dyDescent="0.3">
      <c r="A948">
        <v>947</v>
      </c>
      <c r="B948" s="8">
        <v>316</v>
      </c>
      <c r="C948">
        <v>2</v>
      </c>
      <c r="D948" t="s">
        <v>19</v>
      </c>
      <c r="E948" t="s">
        <v>22</v>
      </c>
      <c r="F948">
        <v>19</v>
      </c>
      <c r="G948" t="str">
        <f>IF(Table2[[#This Row],[Age]]&gt;=30,"Experienced",IF(Table2[[#This Row],[Age]]&gt;=25,"Mid Level", "Entry Level"))</f>
        <v>Entry Level</v>
      </c>
      <c r="H948" t="s">
        <v>28</v>
      </c>
      <c r="I948" t="s">
        <v>44</v>
      </c>
      <c r="J948" s="4">
        <v>45775</v>
      </c>
      <c r="K948" s="4" t="str">
        <f>TEXT(Table2[[#This Row],[Enrollment_date]],"Mmm")</f>
        <v>Apr</v>
      </c>
      <c r="L948" s="4" t="str">
        <f>TEXT(Table2[[#This Row],[Enrollment_date]],"Ddd")</f>
        <v>Mon</v>
      </c>
      <c r="M948" s="4" t="s">
        <v>34</v>
      </c>
      <c r="N948" t="s">
        <v>36</v>
      </c>
      <c r="O948" t="s">
        <v>38</v>
      </c>
      <c r="P948" s="8">
        <v>4</v>
      </c>
      <c r="Q948" s="6">
        <v>0.79166666666666663</v>
      </c>
      <c r="R948" s="6">
        <v>77</v>
      </c>
      <c r="S948" s="6" t="str">
        <f>IF(Table2[[#This Row],[Avg_score]]&gt;=79,"Distinction",IF(Table2[[#This Row],[Avg_score]]&gt;=60,"Pass","Fail"))</f>
        <v>Pass</v>
      </c>
      <c r="T948" t="s">
        <v>39</v>
      </c>
      <c r="U948">
        <f>IF(Table2[[#This Row],[Completed]]="Yes",1,0)</f>
        <v>1</v>
      </c>
      <c r="V948" t="s">
        <v>39</v>
      </c>
      <c r="W948" t="s">
        <v>40</v>
      </c>
      <c r="X948" s="4">
        <v>45838</v>
      </c>
    </row>
    <row r="949" spans="1:24" x14ac:dyDescent="0.3">
      <c r="A949">
        <v>948</v>
      </c>
      <c r="B949" s="8">
        <v>316</v>
      </c>
      <c r="C949">
        <v>3</v>
      </c>
      <c r="D949" t="s">
        <v>21</v>
      </c>
      <c r="E949" t="s">
        <v>22</v>
      </c>
      <c r="F949">
        <v>19</v>
      </c>
      <c r="G949" t="str">
        <f>IF(Table2[[#This Row],[Age]]&gt;=30,"Experienced",IF(Table2[[#This Row],[Age]]&gt;=25,"Mid Level", "Entry Level"))</f>
        <v>Entry Level</v>
      </c>
      <c r="H949" t="s">
        <v>28</v>
      </c>
      <c r="I949" t="s">
        <v>44</v>
      </c>
      <c r="J949" s="4">
        <v>45775</v>
      </c>
      <c r="K949" s="4" t="str">
        <f>TEXT(Table2[[#This Row],[Enrollment_date]],"Mmm")</f>
        <v>Apr</v>
      </c>
      <c r="L949" s="4" t="str">
        <f>TEXT(Table2[[#This Row],[Enrollment_date]],"Ddd")</f>
        <v>Mon</v>
      </c>
      <c r="M949" s="4" t="s">
        <v>34</v>
      </c>
      <c r="N949" t="s">
        <v>37</v>
      </c>
      <c r="O949" t="s">
        <v>38</v>
      </c>
      <c r="P949" s="8">
        <v>4</v>
      </c>
      <c r="Q949" s="6">
        <v>0.89583333333333337</v>
      </c>
      <c r="R949" s="6">
        <v>61</v>
      </c>
      <c r="S949" s="6" t="str">
        <f>IF(Table2[[#This Row],[Avg_score]]&gt;=79,"Distinction",IF(Table2[[#This Row],[Avg_score]]&gt;=60,"Pass","Fail"))</f>
        <v>Pass</v>
      </c>
      <c r="T949" t="s">
        <v>39</v>
      </c>
      <c r="U949">
        <f>IF(Table2[[#This Row],[Completed]]="Yes",1,0)</f>
        <v>1</v>
      </c>
      <c r="V949" t="s">
        <v>39</v>
      </c>
      <c r="W949" t="s">
        <v>40</v>
      </c>
      <c r="X949" s="4">
        <v>45838</v>
      </c>
    </row>
    <row r="950" spans="1:24" x14ac:dyDescent="0.3">
      <c r="A950">
        <v>949</v>
      </c>
      <c r="B950" s="8">
        <v>317</v>
      </c>
      <c r="C950">
        <v>1</v>
      </c>
      <c r="D950" t="s">
        <v>19</v>
      </c>
      <c r="E950" t="s">
        <v>22</v>
      </c>
      <c r="F950">
        <v>21</v>
      </c>
      <c r="G950" t="str">
        <f>IF(Table2[[#This Row],[Age]]&gt;=30,"Experienced",IF(Table2[[#This Row],[Age]]&gt;=25,"Mid Level", "Entry Level"))</f>
        <v>Entry Level</v>
      </c>
      <c r="H950" t="s">
        <v>27</v>
      </c>
      <c r="I950" t="s">
        <v>68</v>
      </c>
      <c r="J950" s="4">
        <v>45789</v>
      </c>
      <c r="K950" s="4" t="str">
        <f>TEXT(Table2[[#This Row],[Enrollment_date]],"Mmm")</f>
        <v>May</v>
      </c>
      <c r="L950" s="4" t="str">
        <f>TEXT(Table2[[#This Row],[Enrollment_date]],"Ddd")</f>
        <v>Mon</v>
      </c>
      <c r="M950" s="4" t="s">
        <v>34</v>
      </c>
      <c r="N950" t="s">
        <v>35</v>
      </c>
      <c r="O950" t="s">
        <v>38</v>
      </c>
      <c r="P950" s="8">
        <v>4</v>
      </c>
      <c r="Q950" s="6">
        <v>0.83333333333333337</v>
      </c>
      <c r="R950" s="6">
        <v>58</v>
      </c>
      <c r="S950" s="6" t="str">
        <f>IF(Table2[[#This Row],[Avg_score]]&gt;=79,"Distinction",IF(Table2[[#This Row],[Avg_score]]&gt;=60,"Pass","Fail"))</f>
        <v>Fail</v>
      </c>
      <c r="T950" t="s">
        <v>40</v>
      </c>
      <c r="U950">
        <f>IF(Table2[[#This Row],[Completed]]="Yes",1,0)</f>
        <v>0</v>
      </c>
      <c r="V950" t="s">
        <v>40</v>
      </c>
      <c r="W950" t="s">
        <v>40</v>
      </c>
      <c r="X950" s="4">
        <v>45838</v>
      </c>
    </row>
    <row r="951" spans="1:24" x14ac:dyDescent="0.3">
      <c r="A951">
        <v>950</v>
      </c>
      <c r="B951" s="8">
        <v>317</v>
      </c>
      <c r="C951">
        <v>2</v>
      </c>
      <c r="D951" t="s">
        <v>19</v>
      </c>
      <c r="E951" t="s">
        <v>22</v>
      </c>
      <c r="F951">
        <v>21</v>
      </c>
      <c r="G951" t="str">
        <f>IF(Table2[[#This Row],[Age]]&gt;=30,"Experienced",IF(Table2[[#This Row],[Age]]&gt;=25,"Mid Level", "Entry Level"))</f>
        <v>Entry Level</v>
      </c>
      <c r="H951" t="s">
        <v>27</v>
      </c>
      <c r="I951" t="s">
        <v>68</v>
      </c>
      <c r="J951" s="4">
        <v>45789</v>
      </c>
      <c r="K951" s="4" t="str">
        <f>TEXT(Table2[[#This Row],[Enrollment_date]],"Mmm")</f>
        <v>May</v>
      </c>
      <c r="L951" s="4" t="str">
        <f>TEXT(Table2[[#This Row],[Enrollment_date]],"Ddd")</f>
        <v>Mon</v>
      </c>
      <c r="M951" s="4" t="s">
        <v>34</v>
      </c>
      <c r="N951" t="s">
        <v>36</v>
      </c>
      <c r="O951" t="s">
        <v>38</v>
      </c>
      <c r="P951" s="8">
        <v>4</v>
      </c>
      <c r="Q951" s="6">
        <v>0.89583333333333337</v>
      </c>
      <c r="R951" s="6">
        <v>67.5</v>
      </c>
      <c r="S951" s="6" t="str">
        <f>IF(Table2[[#This Row],[Avg_score]]&gt;=79,"Distinction",IF(Table2[[#This Row],[Avg_score]]&gt;=60,"Pass","Fail"))</f>
        <v>Pass</v>
      </c>
      <c r="T951" t="s">
        <v>40</v>
      </c>
      <c r="U951">
        <f>IF(Table2[[#This Row],[Completed]]="Yes",1,0)</f>
        <v>0</v>
      </c>
      <c r="V951" t="s">
        <v>40</v>
      </c>
      <c r="W951" t="s">
        <v>40</v>
      </c>
      <c r="X951" s="4">
        <v>45838</v>
      </c>
    </row>
    <row r="952" spans="1:24" x14ac:dyDescent="0.3">
      <c r="A952">
        <v>951</v>
      </c>
      <c r="B952" s="8">
        <v>317</v>
      </c>
      <c r="C952">
        <v>3</v>
      </c>
      <c r="D952" t="s">
        <v>19</v>
      </c>
      <c r="E952" t="s">
        <v>22</v>
      </c>
      <c r="F952">
        <v>21</v>
      </c>
      <c r="G952" t="str">
        <f>IF(Table2[[#This Row],[Age]]&gt;=30,"Experienced",IF(Table2[[#This Row],[Age]]&gt;=25,"Mid Level", "Entry Level"))</f>
        <v>Entry Level</v>
      </c>
      <c r="H952" t="s">
        <v>27</v>
      </c>
      <c r="I952" t="s">
        <v>68</v>
      </c>
      <c r="J952" s="4">
        <v>45789</v>
      </c>
      <c r="K952" s="4" t="str">
        <f>TEXT(Table2[[#This Row],[Enrollment_date]],"Mmm")</f>
        <v>May</v>
      </c>
      <c r="L952" s="4" t="str">
        <f>TEXT(Table2[[#This Row],[Enrollment_date]],"Ddd")</f>
        <v>Mon</v>
      </c>
      <c r="M952" s="4" t="s">
        <v>34</v>
      </c>
      <c r="N952" t="s">
        <v>37</v>
      </c>
      <c r="O952" t="s">
        <v>38</v>
      </c>
      <c r="P952" s="8">
        <v>4</v>
      </c>
      <c r="Q952" s="6">
        <v>0.79166666666666663</v>
      </c>
      <c r="R952" s="6">
        <v>68.5</v>
      </c>
      <c r="S952" s="6" t="str">
        <f>IF(Table2[[#This Row],[Avg_score]]&gt;=79,"Distinction",IF(Table2[[#This Row],[Avg_score]]&gt;=60,"Pass","Fail"))</f>
        <v>Pass</v>
      </c>
      <c r="T952" t="s">
        <v>40</v>
      </c>
      <c r="U952">
        <f>IF(Table2[[#This Row],[Completed]]="Yes",1,0)</f>
        <v>0</v>
      </c>
      <c r="V952" t="s">
        <v>40</v>
      </c>
      <c r="W952" t="s">
        <v>40</v>
      </c>
      <c r="X952" s="4">
        <v>45838</v>
      </c>
    </row>
    <row r="953" spans="1:24" x14ac:dyDescent="0.3">
      <c r="A953">
        <v>952</v>
      </c>
      <c r="B953" s="8">
        <v>318</v>
      </c>
      <c r="C953">
        <v>1</v>
      </c>
      <c r="D953" t="s">
        <v>19</v>
      </c>
      <c r="E953" t="s">
        <v>22</v>
      </c>
      <c r="F953">
        <v>22</v>
      </c>
      <c r="G953" t="str">
        <f>IF(Table2[[#This Row],[Age]]&gt;=30,"Experienced",IF(Table2[[#This Row],[Age]]&gt;=25,"Mid Level", "Entry Level"))</f>
        <v>Entry Level</v>
      </c>
      <c r="H953" t="s">
        <v>29</v>
      </c>
      <c r="I953" t="s">
        <v>44</v>
      </c>
      <c r="J953" s="4">
        <v>45658</v>
      </c>
      <c r="K953" s="4" t="str">
        <f>TEXT(Table2[[#This Row],[Enrollment_date]],"Mmm")</f>
        <v>Jan</v>
      </c>
      <c r="L953" s="4" t="str">
        <f>TEXT(Table2[[#This Row],[Enrollment_date]],"Ddd")</f>
        <v>Wed</v>
      </c>
      <c r="M953" s="4" t="s">
        <v>34</v>
      </c>
      <c r="N953" t="s">
        <v>35</v>
      </c>
      <c r="O953" t="s">
        <v>38</v>
      </c>
      <c r="P953" s="8">
        <v>4</v>
      </c>
      <c r="Q953" s="6">
        <v>0.83333333333333337</v>
      </c>
      <c r="R953" s="6">
        <v>86</v>
      </c>
      <c r="S953" s="6" t="str">
        <f>IF(Table2[[#This Row],[Avg_score]]&gt;=79,"Distinction",IF(Table2[[#This Row],[Avg_score]]&gt;=60,"Pass","Fail"))</f>
        <v>Distinction</v>
      </c>
      <c r="T953" t="s">
        <v>39</v>
      </c>
      <c r="U953">
        <f>IF(Table2[[#This Row],[Completed]]="Yes",1,0)</f>
        <v>1</v>
      </c>
      <c r="V953" t="s">
        <v>39</v>
      </c>
      <c r="W953" t="s">
        <v>40</v>
      </c>
      <c r="X953" s="4">
        <v>45838</v>
      </c>
    </row>
    <row r="954" spans="1:24" x14ac:dyDescent="0.3">
      <c r="A954">
        <v>953</v>
      </c>
      <c r="B954" s="8">
        <v>318</v>
      </c>
      <c r="C954">
        <v>2</v>
      </c>
      <c r="D954" t="s">
        <v>20</v>
      </c>
      <c r="E954" t="s">
        <v>22</v>
      </c>
      <c r="F954">
        <v>22</v>
      </c>
      <c r="G954" t="str">
        <f>IF(Table2[[#This Row],[Age]]&gt;=30,"Experienced",IF(Table2[[#This Row],[Age]]&gt;=25,"Mid Level", "Entry Level"))</f>
        <v>Entry Level</v>
      </c>
      <c r="H954" t="s">
        <v>29</v>
      </c>
      <c r="I954" t="s">
        <v>44</v>
      </c>
      <c r="J954" s="4">
        <v>45658</v>
      </c>
      <c r="K954" s="4" t="str">
        <f>TEXT(Table2[[#This Row],[Enrollment_date]],"Mmm")</f>
        <v>Jan</v>
      </c>
      <c r="L954" s="4" t="str">
        <f>TEXT(Table2[[#This Row],[Enrollment_date]],"Ddd")</f>
        <v>Wed</v>
      </c>
      <c r="M954" s="4" t="s">
        <v>34</v>
      </c>
      <c r="N954" t="s">
        <v>36</v>
      </c>
      <c r="O954" t="s">
        <v>38</v>
      </c>
      <c r="P954" s="8">
        <v>4</v>
      </c>
      <c r="Q954" s="6">
        <v>0.83333333333333337</v>
      </c>
      <c r="R954" s="6">
        <v>74</v>
      </c>
      <c r="S954" s="6" t="str">
        <f>IF(Table2[[#This Row],[Avg_score]]&gt;=79,"Distinction",IF(Table2[[#This Row],[Avg_score]]&gt;=60,"Pass","Fail"))</f>
        <v>Pass</v>
      </c>
      <c r="T954" t="s">
        <v>39</v>
      </c>
      <c r="U954">
        <f>IF(Table2[[#This Row],[Completed]]="Yes",1,0)</f>
        <v>1</v>
      </c>
      <c r="V954" t="s">
        <v>39</v>
      </c>
      <c r="W954" t="s">
        <v>40</v>
      </c>
      <c r="X954" s="4">
        <v>45838</v>
      </c>
    </row>
    <row r="955" spans="1:24" x14ac:dyDescent="0.3">
      <c r="A955">
        <v>954</v>
      </c>
      <c r="B955" s="8">
        <v>318</v>
      </c>
      <c r="C955">
        <v>3</v>
      </c>
      <c r="D955" t="s">
        <v>19</v>
      </c>
      <c r="E955" t="s">
        <v>22</v>
      </c>
      <c r="F955">
        <v>22</v>
      </c>
      <c r="G955" t="str">
        <f>IF(Table2[[#This Row],[Age]]&gt;=30,"Experienced",IF(Table2[[#This Row],[Age]]&gt;=25,"Mid Level", "Entry Level"))</f>
        <v>Entry Level</v>
      </c>
      <c r="H955" t="s">
        <v>29</v>
      </c>
      <c r="I955" t="s">
        <v>44</v>
      </c>
      <c r="J955" s="4">
        <v>45658</v>
      </c>
      <c r="K955" s="4" t="str">
        <f>TEXT(Table2[[#This Row],[Enrollment_date]],"Mmm")</f>
        <v>Jan</v>
      </c>
      <c r="L955" s="4" t="str">
        <f>TEXT(Table2[[#This Row],[Enrollment_date]],"Ddd")</f>
        <v>Wed</v>
      </c>
      <c r="M955" s="4" t="s">
        <v>34</v>
      </c>
      <c r="N955" t="s">
        <v>37</v>
      </c>
      <c r="O955" t="s">
        <v>38</v>
      </c>
      <c r="P955" s="8">
        <v>4</v>
      </c>
      <c r="Q955" s="6">
        <v>0.875</v>
      </c>
      <c r="R955" s="6">
        <v>87</v>
      </c>
      <c r="S955" s="6" t="str">
        <f>IF(Table2[[#This Row],[Avg_score]]&gt;=79,"Distinction",IF(Table2[[#This Row],[Avg_score]]&gt;=60,"Pass","Fail"))</f>
        <v>Distinction</v>
      </c>
      <c r="T955" t="s">
        <v>39</v>
      </c>
      <c r="U955">
        <f>IF(Table2[[#This Row],[Completed]]="Yes",1,0)</f>
        <v>1</v>
      </c>
      <c r="V955" t="s">
        <v>39</v>
      </c>
      <c r="W955" t="s">
        <v>40</v>
      </c>
      <c r="X955" s="4">
        <v>45838</v>
      </c>
    </row>
    <row r="956" spans="1:24" x14ac:dyDescent="0.3">
      <c r="A956">
        <v>955</v>
      </c>
      <c r="B956" s="8">
        <v>319</v>
      </c>
      <c r="C956">
        <v>1</v>
      </c>
      <c r="D956" t="s">
        <v>21</v>
      </c>
      <c r="E956" t="s">
        <v>23</v>
      </c>
      <c r="F956">
        <v>25</v>
      </c>
      <c r="G956" t="str">
        <f>IF(Table2[[#This Row],[Age]]&gt;=30,"Experienced",IF(Table2[[#This Row],[Age]]&gt;=25,"Mid Level", "Entry Level"))</f>
        <v>Mid Level</v>
      </c>
      <c r="H956" t="s">
        <v>26</v>
      </c>
      <c r="I956" t="s">
        <v>44</v>
      </c>
      <c r="J956" s="4">
        <v>45705</v>
      </c>
      <c r="K956" s="4" t="str">
        <f>TEXT(Table2[[#This Row],[Enrollment_date]],"Mmm")</f>
        <v>Feb</v>
      </c>
      <c r="L956" s="4" t="str">
        <f>TEXT(Table2[[#This Row],[Enrollment_date]],"Ddd")</f>
        <v>Mon</v>
      </c>
      <c r="M956" s="4" t="s">
        <v>34</v>
      </c>
      <c r="N956" t="s">
        <v>35</v>
      </c>
      <c r="O956" t="s">
        <v>38</v>
      </c>
      <c r="P956" s="8">
        <v>4</v>
      </c>
      <c r="Q956" s="6">
        <v>0.95833333333333337</v>
      </c>
      <c r="R956" s="6">
        <v>55.5</v>
      </c>
      <c r="S956" s="6" t="str">
        <f>IF(Table2[[#This Row],[Avg_score]]&gt;=79,"Distinction",IF(Table2[[#This Row],[Avg_score]]&gt;=60,"Pass","Fail"))</f>
        <v>Fail</v>
      </c>
      <c r="T956" t="s">
        <v>40</v>
      </c>
      <c r="U956">
        <f>IF(Table2[[#This Row],[Completed]]="Yes",1,0)</f>
        <v>0</v>
      </c>
      <c r="V956" t="s">
        <v>40</v>
      </c>
      <c r="W956" t="s">
        <v>40</v>
      </c>
      <c r="X956" s="4">
        <v>45838</v>
      </c>
    </row>
    <row r="957" spans="1:24" x14ac:dyDescent="0.3">
      <c r="A957">
        <v>956</v>
      </c>
      <c r="B957" s="8">
        <v>319</v>
      </c>
      <c r="C957">
        <v>2</v>
      </c>
      <c r="D957" t="s">
        <v>20</v>
      </c>
      <c r="E957" t="s">
        <v>23</v>
      </c>
      <c r="F957">
        <v>25</v>
      </c>
      <c r="G957" t="str">
        <f>IF(Table2[[#This Row],[Age]]&gt;=30,"Experienced",IF(Table2[[#This Row],[Age]]&gt;=25,"Mid Level", "Entry Level"))</f>
        <v>Mid Level</v>
      </c>
      <c r="H957" t="s">
        <v>26</v>
      </c>
      <c r="I957" t="s">
        <v>44</v>
      </c>
      <c r="J957" s="4">
        <v>45705</v>
      </c>
      <c r="K957" s="4" t="str">
        <f>TEXT(Table2[[#This Row],[Enrollment_date]],"Mmm")</f>
        <v>Feb</v>
      </c>
      <c r="L957" s="4" t="str">
        <f>TEXT(Table2[[#This Row],[Enrollment_date]],"Ddd")</f>
        <v>Mon</v>
      </c>
      <c r="M957" s="4" t="s">
        <v>34</v>
      </c>
      <c r="N957" t="s">
        <v>36</v>
      </c>
      <c r="O957" t="s">
        <v>38</v>
      </c>
      <c r="P957" s="8">
        <v>4</v>
      </c>
      <c r="Q957" s="6">
        <v>0.79166666666666663</v>
      </c>
      <c r="R957" s="6">
        <v>68.5</v>
      </c>
      <c r="S957" s="6" t="str">
        <f>IF(Table2[[#This Row],[Avg_score]]&gt;=79,"Distinction",IF(Table2[[#This Row],[Avg_score]]&gt;=60,"Pass","Fail"))</f>
        <v>Pass</v>
      </c>
      <c r="T957" t="s">
        <v>40</v>
      </c>
      <c r="U957">
        <f>IF(Table2[[#This Row],[Completed]]="Yes",1,0)</f>
        <v>0</v>
      </c>
      <c r="V957" t="s">
        <v>40</v>
      </c>
      <c r="W957" t="s">
        <v>40</v>
      </c>
      <c r="X957" s="4">
        <v>45838</v>
      </c>
    </row>
    <row r="958" spans="1:24" x14ac:dyDescent="0.3">
      <c r="A958">
        <v>957</v>
      </c>
      <c r="B958" s="8">
        <v>319</v>
      </c>
      <c r="C958">
        <v>3</v>
      </c>
      <c r="D958" t="s">
        <v>20</v>
      </c>
      <c r="E958" t="s">
        <v>23</v>
      </c>
      <c r="F958">
        <v>25</v>
      </c>
      <c r="G958" t="str">
        <f>IF(Table2[[#This Row],[Age]]&gt;=30,"Experienced",IF(Table2[[#This Row],[Age]]&gt;=25,"Mid Level", "Entry Level"))</f>
        <v>Mid Level</v>
      </c>
      <c r="H958" t="s">
        <v>26</v>
      </c>
      <c r="I958" t="s">
        <v>44</v>
      </c>
      <c r="J958" s="4">
        <v>45705</v>
      </c>
      <c r="K958" s="4" t="str">
        <f>TEXT(Table2[[#This Row],[Enrollment_date]],"Mmm")</f>
        <v>Feb</v>
      </c>
      <c r="L958" s="4" t="str">
        <f>TEXT(Table2[[#This Row],[Enrollment_date]],"Ddd")</f>
        <v>Mon</v>
      </c>
      <c r="M958" s="4" t="s">
        <v>34</v>
      </c>
      <c r="N958" t="s">
        <v>37</v>
      </c>
      <c r="O958" t="s">
        <v>38</v>
      </c>
      <c r="P958" s="8">
        <v>4</v>
      </c>
      <c r="Q958" s="6">
        <v>0.85416666666666663</v>
      </c>
      <c r="R958" s="6">
        <v>74.5</v>
      </c>
      <c r="S958" s="6" t="str">
        <f>IF(Table2[[#This Row],[Avg_score]]&gt;=79,"Distinction",IF(Table2[[#This Row],[Avg_score]]&gt;=60,"Pass","Fail"))</f>
        <v>Pass</v>
      </c>
      <c r="T958" t="s">
        <v>40</v>
      </c>
      <c r="U958">
        <f>IF(Table2[[#This Row],[Completed]]="Yes",1,0)</f>
        <v>0</v>
      </c>
      <c r="V958" t="s">
        <v>40</v>
      </c>
      <c r="W958" t="s">
        <v>40</v>
      </c>
      <c r="X958" s="4">
        <v>45838</v>
      </c>
    </row>
    <row r="959" spans="1:24" x14ac:dyDescent="0.3">
      <c r="A959">
        <v>958</v>
      </c>
      <c r="B959" s="8">
        <v>320</v>
      </c>
      <c r="C959">
        <v>1</v>
      </c>
      <c r="D959" t="s">
        <v>19</v>
      </c>
      <c r="E959" t="s">
        <v>22</v>
      </c>
      <c r="F959">
        <v>34</v>
      </c>
      <c r="G959" t="str">
        <f>IF(Table2[[#This Row],[Age]]&gt;=30,"Experienced",IF(Table2[[#This Row],[Age]]&gt;=25,"Mid Level", "Entry Level"))</f>
        <v>Experienced</v>
      </c>
      <c r="H959" t="s">
        <v>29</v>
      </c>
      <c r="I959" t="s">
        <v>68</v>
      </c>
      <c r="J959" s="4">
        <v>45792</v>
      </c>
      <c r="K959" s="4" t="str">
        <f>TEXT(Table2[[#This Row],[Enrollment_date]],"Mmm")</f>
        <v>May</v>
      </c>
      <c r="L959" s="4" t="str">
        <f>TEXT(Table2[[#This Row],[Enrollment_date]],"Ddd")</f>
        <v>Thu</v>
      </c>
      <c r="M959" s="4" t="s">
        <v>34</v>
      </c>
      <c r="N959" t="s">
        <v>35</v>
      </c>
      <c r="O959" t="s">
        <v>38</v>
      </c>
      <c r="P959" s="8">
        <v>4</v>
      </c>
      <c r="Q959" s="6">
        <v>0.79166666666666663</v>
      </c>
      <c r="R959" s="6">
        <v>75.5</v>
      </c>
      <c r="S959" s="6" t="str">
        <f>IF(Table2[[#This Row],[Avg_score]]&gt;=79,"Distinction",IF(Table2[[#This Row],[Avg_score]]&gt;=60,"Pass","Fail"))</f>
        <v>Pass</v>
      </c>
      <c r="T959" t="s">
        <v>39</v>
      </c>
      <c r="U959">
        <f>IF(Table2[[#This Row],[Completed]]="Yes",1,0)</f>
        <v>1</v>
      </c>
      <c r="V959" t="s">
        <v>40</v>
      </c>
      <c r="W959" t="s">
        <v>40</v>
      </c>
      <c r="X959" s="4">
        <v>45838</v>
      </c>
    </row>
    <row r="960" spans="1:24" x14ac:dyDescent="0.3">
      <c r="A960">
        <v>959</v>
      </c>
      <c r="B960" s="8">
        <v>320</v>
      </c>
      <c r="C960">
        <v>2</v>
      </c>
      <c r="D960" t="s">
        <v>19</v>
      </c>
      <c r="E960" t="s">
        <v>22</v>
      </c>
      <c r="F960">
        <v>34</v>
      </c>
      <c r="G960" t="str">
        <f>IF(Table2[[#This Row],[Age]]&gt;=30,"Experienced",IF(Table2[[#This Row],[Age]]&gt;=25,"Mid Level", "Entry Level"))</f>
        <v>Experienced</v>
      </c>
      <c r="H960" t="s">
        <v>29</v>
      </c>
      <c r="I960" t="s">
        <v>68</v>
      </c>
      <c r="J960" s="4">
        <v>45792</v>
      </c>
      <c r="K960" s="4" t="str">
        <f>TEXT(Table2[[#This Row],[Enrollment_date]],"Mmm")</f>
        <v>May</v>
      </c>
      <c r="L960" s="4" t="str">
        <f>TEXT(Table2[[#This Row],[Enrollment_date]],"Ddd")</f>
        <v>Thu</v>
      </c>
      <c r="M960" s="4" t="s">
        <v>34</v>
      </c>
      <c r="N960" t="s">
        <v>36</v>
      </c>
      <c r="O960" t="s">
        <v>38</v>
      </c>
      <c r="P960" s="8">
        <v>4</v>
      </c>
      <c r="Q960" s="6">
        <v>0.83333333333333337</v>
      </c>
      <c r="R960" s="6">
        <v>80.5</v>
      </c>
      <c r="S960" s="6" t="str">
        <f>IF(Table2[[#This Row],[Avg_score]]&gt;=79,"Distinction",IF(Table2[[#This Row],[Avg_score]]&gt;=60,"Pass","Fail"))</f>
        <v>Distinction</v>
      </c>
      <c r="T960" t="s">
        <v>39</v>
      </c>
      <c r="U960">
        <f>IF(Table2[[#This Row],[Completed]]="Yes",1,0)</f>
        <v>1</v>
      </c>
      <c r="V960" t="s">
        <v>40</v>
      </c>
      <c r="W960" t="s">
        <v>40</v>
      </c>
      <c r="X960" s="4">
        <v>45838</v>
      </c>
    </row>
    <row r="961" spans="1:24" x14ac:dyDescent="0.3">
      <c r="A961">
        <v>960</v>
      </c>
      <c r="B961" s="8">
        <v>320</v>
      </c>
      <c r="C961">
        <v>3</v>
      </c>
      <c r="D961" t="s">
        <v>19</v>
      </c>
      <c r="E961" t="s">
        <v>22</v>
      </c>
      <c r="F961">
        <v>34</v>
      </c>
      <c r="G961" t="str">
        <f>IF(Table2[[#This Row],[Age]]&gt;=30,"Experienced",IF(Table2[[#This Row],[Age]]&gt;=25,"Mid Level", "Entry Level"))</f>
        <v>Experienced</v>
      </c>
      <c r="H961" t="s">
        <v>29</v>
      </c>
      <c r="I961" t="s">
        <v>68</v>
      </c>
      <c r="J961" s="4">
        <v>45792</v>
      </c>
      <c r="K961" s="4" t="str">
        <f>TEXT(Table2[[#This Row],[Enrollment_date]],"Mmm")</f>
        <v>May</v>
      </c>
      <c r="L961" s="4" t="str">
        <f>TEXT(Table2[[#This Row],[Enrollment_date]],"Ddd")</f>
        <v>Thu</v>
      </c>
      <c r="M961" s="4" t="s">
        <v>34</v>
      </c>
      <c r="N961" t="s">
        <v>37</v>
      </c>
      <c r="O961" t="s">
        <v>38</v>
      </c>
      <c r="P961" s="8">
        <v>4</v>
      </c>
      <c r="Q961" s="6">
        <v>0.83333333333333337</v>
      </c>
      <c r="R961" s="6">
        <v>81.5</v>
      </c>
      <c r="S961" s="6" t="str">
        <f>IF(Table2[[#This Row],[Avg_score]]&gt;=79,"Distinction",IF(Table2[[#This Row],[Avg_score]]&gt;=60,"Pass","Fail"))</f>
        <v>Distinction</v>
      </c>
      <c r="T961" t="s">
        <v>39</v>
      </c>
      <c r="U961">
        <f>IF(Table2[[#This Row],[Completed]]="Yes",1,0)</f>
        <v>1</v>
      </c>
      <c r="V961" t="s">
        <v>40</v>
      </c>
      <c r="W961" t="s">
        <v>40</v>
      </c>
      <c r="X961" s="4">
        <v>45838</v>
      </c>
    </row>
    <row r="962" spans="1:24" x14ac:dyDescent="0.3">
      <c r="A962">
        <v>961</v>
      </c>
      <c r="B962" s="8">
        <v>321</v>
      </c>
      <c r="C962">
        <v>1</v>
      </c>
      <c r="D962" t="s">
        <v>21</v>
      </c>
      <c r="E962" t="s">
        <v>22</v>
      </c>
      <c r="F962">
        <v>30</v>
      </c>
      <c r="G962" t="str">
        <f>IF(Table2[[#This Row],[Age]]&gt;=30,"Experienced",IF(Table2[[#This Row],[Age]]&gt;=25,"Mid Level", "Entry Level"))</f>
        <v>Experienced</v>
      </c>
      <c r="H962" t="s">
        <v>27</v>
      </c>
      <c r="I962" t="s">
        <v>68</v>
      </c>
      <c r="J962" s="4">
        <v>45757</v>
      </c>
      <c r="K962" s="4" t="str">
        <f>TEXT(Table2[[#This Row],[Enrollment_date]],"Mmm")</f>
        <v>Apr</v>
      </c>
      <c r="L962" s="4" t="str">
        <f>TEXT(Table2[[#This Row],[Enrollment_date]],"Ddd")</f>
        <v>Thu</v>
      </c>
      <c r="M962" s="4" t="s">
        <v>34</v>
      </c>
      <c r="N962" t="s">
        <v>35</v>
      </c>
      <c r="O962" t="s">
        <v>38</v>
      </c>
      <c r="P962" s="8">
        <v>4</v>
      </c>
      <c r="Q962" s="6">
        <v>0.9375</v>
      </c>
      <c r="R962" s="6">
        <v>94.5</v>
      </c>
      <c r="S962" s="6" t="str">
        <f>IF(Table2[[#This Row],[Avg_score]]&gt;=79,"Distinction",IF(Table2[[#This Row],[Avg_score]]&gt;=60,"Pass","Fail"))</f>
        <v>Distinction</v>
      </c>
      <c r="T962" t="s">
        <v>39</v>
      </c>
      <c r="U962">
        <f>IF(Table2[[#This Row],[Completed]]="Yes",1,0)</f>
        <v>1</v>
      </c>
      <c r="V962" t="s">
        <v>39</v>
      </c>
      <c r="W962" t="s">
        <v>39</v>
      </c>
      <c r="X962" s="4">
        <v>45838</v>
      </c>
    </row>
    <row r="963" spans="1:24" x14ac:dyDescent="0.3">
      <c r="A963">
        <v>962</v>
      </c>
      <c r="B963" s="8">
        <v>321</v>
      </c>
      <c r="C963">
        <v>2</v>
      </c>
      <c r="D963" t="s">
        <v>19</v>
      </c>
      <c r="E963" t="s">
        <v>22</v>
      </c>
      <c r="F963">
        <v>30</v>
      </c>
      <c r="G963" t="str">
        <f>IF(Table2[[#This Row],[Age]]&gt;=30,"Experienced",IF(Table2[[#This Row],[Age]]&gt;=25,"Mid Level", "Entry Level"))</f>
        <v>Experienced</v>
      </c>
      <c r="H963" t="s">
        <v>27</v>
      </c>
      <c r="I963" t="s">
        <v>68</v>
      </c>
      <c r="J963" s="4">
        <v>45757</v>
      </c>
      <c r="K963" s="4" t="str">
        <f>TEXT(Table2[[#This Row],[Enrollment_date]],"Mmm")</f>
        <v>Apr</v>
      </c>
      <c r="L963" s="4" t="str">
        <f>TEXT(Table2[[#This Row],[Enrollment_date]],"Ddd")</f>
        <v>Thu</v>
      </c>
      <c r="M963" s="4" t="s">
        <v>34</v>
      </c>
      <c r="N963" t="s">
        <v>36</v>
      </c>
      <c r="O963" t="s">
        <v>38</v>
      </c>
      <c r="P963" s="8">
        <v>4</v>
      </c>
      <c r="Q963" s="6">
        <v>0.85416666666666663</v>
      </c>
      <c r="R963" s="6">
        <v>82</v>
      </c>
      <c r="S963" s="6" t="str">
        <f>IF(Table2[[#This Row],[Avg_score]]&gt;=79,"Distinction",IF(Table2[[#This Row],[Avg_score]]&gt;=60,"Pass","Fail"))</f>
        <v>Distinction</v>
      </c>
      <c r="T963" t="s">
        <v>39</v>
      </c>
      <c r="U963">
        <f>IF(Table2[[#This Row],[Completed]]="Yes",1,0)</f>
        <v>1</v>
      </c>
      <c r="V963" t="s">
        <v>39</v>
      </c>
      <c r="W963" t="s">
        <v>39</v>
      </c>
      <c r="X963" s="4">
        <v>45838</v>
      </c>
    </row>
    <row r="964" spans="1:24" x14ac:dyDescent="0.3">
      <c r="A964">
        <v>963</v>
      </c>
      <c r="B964" s="8">
        <v>321</v>
      </c>
      <c r="C964">
        <v>3</v>
      </c>
      <c r="D964" t="s">
        <v>19</v>
      </c>
      <c r="E964" t="s">
        <v>22</v>
      </c>
      <c r="F964">
        <v>30</v>
      </c>
      <c r="G964" t="str">
        <f>IF(Table2[[#This Row],[Age]]&gt;=30,"Experienced",IF(Table2[[#This Row],[Age]]&gt;=25,"Mid Level", "Entry Level"))</f>
        <v>Experienced</v>
      </c>
      <c r="H964" t="s">
        <v>27</v>
      </c>
      <c r="I964" t="s">
        <v>68</v>
      </c>
      <c r="J964" s="4">
        <v>45757</v>
      </c>
      <c r="K964" s="4" t="str">
        <f>TEXT(Table2[[#This Row],[Enrollment_date]],"Mmm")</f>
        <v>Apr</v>
      </c>
      <c r="L964" s="4" t="str">
        <f>TEXT(Table2[[#This Row],[Enrollment_date]],"Ddd")</f>
        <v>Thu</v>
      </c>
      <c r="M964" s="4" t="s">
        <v>34</v>
      </c>
      <c r="N964" t="s">
        <v>37</v>
      </c>
      <c r="O964" t="s">
        <v>38</v>
      </c>
      <c r="P964" s="8">
        <v>4</v>
      </c>
      <c r="Q964" s="6">
        <v>0.79166666666666663</v>
      </c>
      <c r="R964" s="6">
        <v>56.5</v>
      </c>
      <c r="S964" s="6" t="str">
        <f>IF(Table2[[#This Row],[Avg_score]]&gt;=79,"Distinction",IF(Table2[[#This Row],[Avg_score]]&gt;=60,"Pass","Fail"))</f>
        <v>Fail</v>
      </c>
      <c r="T964" t="s">
        <v>39</v>
      </c>
      <c r="U964">
        <f>IF(Table2[[#This Row],[Completed]]="Yes",1,0)</f>
        <v>1</v>
      </c>
      <c r="V964" t="s">
        <v>39</v>
      </c>
      <c r="W964" t="s">
        <v>39</v>
      </c>
      <c r="X964" s="4">
        <v>45838</v>
      </c>
    </row>
    <row r="965" spans="1:24" x14ac:dyDescent="0.3">
      <c r="A965">
        <v>964</v>
      </c>
      <c r="B965" s="8">
        <v>322</v>
      </c>
      <c r="C965">
        <v>1</v>
      </c>
      <c r="D965" t="s">
        <v>19</v>
      </c>
      <c r="E965" t="s">
        <v>23</v>
      </c>
      <c r="F965">
        <v>26</v>
      </c>
      <c r="G965" t="str">
        <f>IF(Table2[[#This Row],[Age]]&gt;=30,"Experienced",IF(Table2[[#This Row],[Age]]&gt;=25,"Mid Level", "Entry Level"))</f>
        <v>Mid Level</v>
      </c>
      <c r="H965" t="s">
        <v>24</v>
      </c>
      <c r="I965" t="s">
        <v>68</v>
      </c>
      <c r="J965" s="4">
        <v>45749</v>
      </c>
      <c r="K965" s="4" t="str">
        <f>TEXT(Table2[[#This Row],[Enrollment_date]],"Mmm")</f>
        <v>Apr</v>
      </c>
      <c r="L965" s="4" t="str">
        <f>TEXT(Table2[[#This Row],[Enrollment_date]],"Ddd")</f>
        <v>Wed</v>
      </c>
      <c r="M965" s="4" t="s">
        <v>34</v>
      </c>
      <c r="N965" t="s">
        <v>35</v>
      </c>
      <c r="O965" t="s">
        <v>38</v>
      </c>
      <c r="P965" s="8">
        <v>4</v>
      </c>
      <c r="Q965" s="6">
        <v>0.85416666666666663</v>
      </c>
      <c r="R965" s="6">
        <v>69</v>
      </c>
      <c r="S965" s="6" t="str">
        <f>IF(Table2[[#This Row],[Avg_score]]&gt;=79,"Distinction",IF(Table2[[#This Row],[Avg_score]]&gt;=60,"Pass","Fail"))</f>
        <v>Pass</v>
      </c>
      <c r="T965" t="s">
        <v>40</v>
      </c>
      <c r="U965">
        <f>IF(Table2[[#This Row],[Completed]]="Yes",1,0)</f>
        <v>0</v>
      </c>
      <c r="V965" t="s">
        <v>40</v>
      </c>
      <c r="W965" t="s">
        <v>40</v>
      </c>
      <c r="X965" s="4">
        <v>45838</v>
      </c>
    </row>
    <row r="966" spans="1:24" x14ac:dyDescent="0.3">
      <c r="A966">
        <v>965</v>
      </c>
      <c r="B966" s="8">
        <v>322</v>
      </c>
      <c r="C966">
        <v>2</v>
      </c>
      <c r="D966" t="s">
        <v>19</v>
      </c>
      <c r="E966" t="s">
        <v>23</v>
      </c>
      <c r="F966">
        <v>26</v>
      </c>
      <c r="G966" t="str">
        <f>IF(Table2[[#This Row],[Age]]&gt;=30,"Experienced",IF(Table2[[#This Row],[Age]]&gt;=25,"Mid Level", "Entry Level"))</f>
        <v>Mid Level</v>
      </c>
      <c r="H966" t="s">
        <v>24</v>
      </c>
      <c r="I966" t="s">
        <v>68</v>
      </c>
      <c r="J966" s="4">
        <v>45749</v>
      </c>
      <c r="K966" s="4" t="str">
        <f>TEXT(Table2[[#This Row],[Enrollment_date]],"Mmm")</f>
        <v>Apr</v>
      </c>
      <c r="L966" s="4" t="str">
        <f>TEXT(Table2[[#This Row],[Enrollment_date]],"Ddd")</f>
        <v>Wed</v>
      </c>
      <c r="M966" s="4" t="s">
        <v>34</v>
      </c>
      <c r="N966" t="s">
        <v>36</v>
      </c>
      <c r="O966" t="s">
        <v>38</v>
      </c>
      <c r="P966" s="8">
        <v>4</v>
      </c>
      <c r="Q966" s="6">
        <v>0.79166666666666663</v>
      </c>
      <c r="R966" s="6">
        <v>87.5</v>
      </c>
      <c r="S966" s="6" t="str">
        <f>IF(Table2[[#This Row],[Avg_score]]&gt;=79,"Distinction",IF(Table2[[#This Row],[Avg_score]]&gt;=60,"Pass","Fail"))</f>
        <v>Distinction</v>
      </c>
      <c r="T966" t="s">
        <v>40</v>
      </c>
      <c r="U966">
        <f>IF(Table2[[#This Row],[Completed]]="Yes",1,0)</f>
        <v>0</v>
      </c>
      <c r="V966" t="s">
        <v>40</v>
      </c>
      <c r="W966" t="s">
        <v>40</v>
      </c>
      <c r="X966" s="4">
        <v>45838</v>
      </c>
    </row>
    <row r="967" spans="1:24" x14ac:dyDescent="0.3">
      <c r="A967">
        <v>966</v>
      </c>
      <c r="B967" s="8">
        <v>322</v>
      </c>
      <c r="C967">
        <v>3</v>
      </c>
      <c r="D967" t="s">
        <v>19</v>
      </c>
      <c r="E967" t="s">
        <v>23</v>
      </c>
      <c r="F967">
        <v>26</v>
      </c>
      <c r="G967" t="str">
        <f>IF(Table2[[#This Row],[Age]]&gt;=30,"Experienced",IF(Table2[[#This Row],[Age]]&gt;=25,"Mid Level", "Entry Level"))</f>
        <v>Mid Level</v>
      </c>
      <c r="H967" t="s">
        <v>24</v>
      </c>
      <c r="I967" t="s">
        <v>68</v>
      </c>
      <c r="J967" s="4">
        <v>45749</v>
      </c>
      <c r="K967" s="4" t="str">
        <f>TEXT(Table2[[#This Row],[Enrollment_date]],"Mmm")</f>
        <v>Apr</v>
      </c>
      <c r="L967" s="4" t="str">
        <f>TEXT(Table2[[#This Row],[Enrollment_date]],"Ddd")</f>
        <v>Wed</v>
      </c>
      <c r="M967" s="4" t="s">
        <v>34</v>
      </c>
      <c r="N967" t="s">
        <v>37</v>
      </c>
      <c r="O967" t="s">
        <v>38</v>
      </c>
      <c r="P967" s="8">
        <v>4</v>
      </c>
      <c r="Q967" s="6">
        <v>0.85416666666666663</v>
      </c>
      <c r="R967" s="6">
        <v>71</v>
      </c>
      <c r="S967" s="6" t="str">
        <f>IF(Table2[[#This Row],[Avg_score]]&gt;=79,"Distinction",IF(Table2[[#This Row],[Avg_score]]&gt;=60,"Pass","Fail"))</f>
        <v>Pass</v>
      </c>
      <c r="T967" t="s">
        <v>40</v>
      </c>
      <c r="U967">
        <f>IF(Table2[[#This Row],[Completed]]="Yes",1,0)</f>
        <v>0</v>
      </c>
      <c r="V967" t="s">
        <v>40</v>
      </c>
      <c r="W967" t="s">
        <v>40</v>
      </c>
      <c r="X967" s="4">
        <v>45838</v>
      </c>
    </row>
    <row r="968" spans="1:24" x14ac:dyDescent="0.3">
      <c r="A968">
        <v>967</v>
      </c>
      <c r="B968" s="8">
        <v>323</v>
      </c>
      <c r="C968">
        <v>1</v>
      </c>
      <c r="D968" t="s">
        <v>19</v>
      </c>
      <c r="E968" t="s">
        <v>22</v>
      </c>
      <c r="F968">
        <v>29</v>
      </c>
      <c r="G968" t="str">
        <f>IF(Table2[[#This Row],[Age]]&gt;=30,"Experienced",IF(Table2[[#This Row],[Age]]&gt;=25,"Mid Level", "Entry Level"))</f>
        <v>Mid Level</v>
      </c>
      <c r="H968" t="s">
        <v>28</v>
      </c>
      <c r="I968" t="s">
        <v>68</v>
      </c>
      <c r="J968" s="4">
        <v>45806</v>
      </c>
      <c r="K968" s="4" t="str">
        <f>TEXT(Table2[[#This Row],[Enrollment_date]],"Mmm")</f>
        <v>May</v>
      </c>
      <c r="L968" s="4" t="str">
        <f>TEXT(Table2[[#This Row],[Enrollment_date]],"Ddd")</f>
        <v>Thu</v>
      </c>
      <c r="M968" s="4" t="s">
        <v>34</v>
      </c>
      <c r="N968" t="s">
        <v>35</v>
      </c>
      <c r="O968" t="s">
        <v>38</v>
      </c>
      <c r="P968" s="8">
        <v>4</v>
      </c>
      <c r="Q968" s="6">
        <v>0.875</v>
      </c>
      <c r="R968" s="6">
        <v>83</v>
      </c>
      <c r="S968" s="6" t="str">
        <f>IF(Table2[[#This Row],[Avg_score]]&gt;=79,"Distinction",IF(Table2[[#This Row],[Avg_score]]&gt;=60,"Pass","Fail"))</f>
        <v>Distinction</v>
      </c>
      <c r="T968" t="s">
        <v>40</v>
      </c>
      <c r="U968">
        <f>IF(Table2[[#This Row],[Completed]]="Yes",1,0)</f>
        <v>0</v>
      </c>
      <c r="V968" t="s">
        <v>40</v>
      </c>
      <c r="W968" t="s">
        <v>40</v>
      </c>
      <c r="X968" s="4">
        <v>45838</v>
      </c>
    </row>
    <row r="969" spans="1:24" x14ac:dyDescent="0.3">
      <c r="A969">
        <v>968</v>
      </c>
      <c r="B969" s="8">
        <v>323</v>
      </c>
      <c r="C969">
        <v>2</v>
      </c>
      <c r="D969" t="s">
        <v>19</v>
      </c>
      <c r="E969" t="s">
        <v>22</v>
      </c>
      <c r="F969">
        <v>29</v>
      </c>
      <c r="G969" t="str">
        <f>IF(Table2[[#This Row],[Age]]&gt;=30,"Experienced",IF(Table2[[#This Row],[Age]]&gt;=25,"Mid Level", "Entry Level"))</f>
        <v>Mid Level</v>
      </c>
      <c r="H969" t="s">
        <v>28</v>
      </c>
      <c r="I969" t="s">
        <v>68</v>
      </c>
      <c r="J969" s="4">
        <v>45806</v>
      </c>
      <c r="K969" s="4" t="str">
        <f>TEXT(Table2[[#This Row],[Enrollment_date]],"Mmm")</f>
        <v>May</v>
      </c>
      <c r="L969" s="4" t="str">
        <f>TEXT(Table2[[#This Row],[Enrollment_date]],"Ddd")</f>
        <v>Thu</v>
      </c>
      <c r="M969" s="4" t="s">
        <v>34</v>
      </c>
      <c r="N969" t="s">
        <v>36</v>
      </c>
      <c r="O969" t="s">
        <v>38</v>
      </c>
      <c r="P969" s="8">
        <v>4</v>
      </c>
      <c r="Q969" s="6">
        <v>0.83333333333333337</v>
      </c>
      <c r="R969" s="6">
        <v>62</v>
      </c>
      <c r="S969" s="6" t="str">
        <f>IF(Table2[[#This Row],[Avg_score]]&gt;=79,"Distinction",IF(Table2[[#This Row],[Avg_score]]&gt;=60,"Pass","Fail"))</f>
        <v>Pass</v>
      </c>
      <c r="T969" t="s">
        <v>40</v>
      </c>
      <c r="U969">
        <f>IF(Table2[[#This Row],[Completed]]="Yes",1,0)</f>
        <v>0</v>
      </c>
      <c r="V969" t="s">
        <v>40</v>
      </c>
      <c r="W969" t="s">
        <v>40</v>
      </c>
      <c r="X969" s="4">
        <v>45838</v>
      </c>
    </row>
    <row r="970" spans="1:24" x14ac:dyDescent="0.3">
      <c r="A970">
        <v>969</v>
      </c>
      <c r="B970" s="8">
        <v>323</v>
      </c>
      <c r="C970">
        <v>3</v>
      </c>
      <c r="D970" t="s">
        <v>19</v>
      </c>
      <c r="E970" t="s">
        <v>22</v>
      </c>
      <c r="F970">
        <v>29</v>
      </c>
      <c r="G970" t="str">
        <f>IF(Table2[[#This Row],[Age]]&gt;=30,"Experienced",IF(Table2[[#This Row],[Age]]&gt;=25,"Mid Level", "Entry Level"))</f>
        <v>Mid Level</v>
      </c>
      <c r="H970" t="s">
        <v>28</v>
      </c>
      <c r="I970" t="s">
        <v>68</v>
      </c>
      <c r="J970" s="4">
        <v>45806</v>
      </c>
      <c r="K970" s="4" t="str">
        <f>TEXT(Table2[[#This Row],[Enrollment_date]],"Mmm")</f>
        <v>May</v>
      </c>
      <c r="L970" s="4" t="str">
        <f>TEXT(Table2[[#This Row],[Enrollment_date]],"Ddd")</f>
        <v>Thu</v>
      </c>
      <c r="M970" s="4" t="s">
        <v>34</v>
      </c>
      <c r="N970" t="s">
        <v>37</v>
      </c>
      <c r="O970" t="s">
        <v>38</v>
      </c>
      <c r="P970" s="8">
        <v>4</v>
      </c>
      <c r="Q970" s="6">
        <v>0.77083333333333337</v>
      </c>
      <c r="R970" s="6">
        <v>74.5</v>
      </c>
      <c r="S970" s="6" t="str">
        <f>IF(Table2[[#This Row],[Avg_score]]&gt;=79,"Distinction",IF(Table2[[#This Row],[Avg_score]]&gt;=60,"Pass","Fail"))</f>
        <v>Pass</v>
      </c>
      <c r="T970" t="s">
        <v>40</v>
      </c>
      <c r="U970">
        <f>IF(Table2[[#This Row],[Completed]]="Yes",1,0)</f>
        <v>0</v>
      </c>
      <c r="V970" t="s">
        <v>40</v>
      </c>
      <c r="W970" t="s">
        <v>40</v>
      </c>
      <c r="X970" s="4">
        <v>45838</v>
      </c>
    </row>
    <row r="971" spans="1:24" x14ac:dyDescent="0.3">
      <c r="A971">
        <v>970</v>
      </c>
      <c r="B971" s="8">
        <v>324</v>
      </c>
      <c r="C971">
        <v>1</v>
      </c>
      <c r="D971" t="s">
        <v>19</v>
      </c>
      <c r="E971" t="s">
        <v>23</v>
      </c>
      <c r="F971">
        <v>22</v>
      </c>
      <c r="G971" t="str">
        <f>IF(Table2[[#This Row],[Age]]&gt;=30,"Experienced",IF(Table2[[#This Row],[Age]]&gt;=25,"Mid Level", "Entry Level"))</f>
        <v>Entry Level</v>
      </c>
      <c r="H971" t="s">
        <v>25</v>
      </c>
      <c r="I971" t="s">
        <v>30</v>
      </c>
      <c r="J971" s="4">
        <v>45797</v>
      </c>
      <c r="K971" s="4" t="str">
        <f>TEXT(Table2[[#This Row],[Enrollment_date]],"Mmm")</f>
        <v>May</v>
      </c>
      <c r="L971" s="4" t="str">
        <f>TEXT(Table2[[#This Row],[Enrollment_date]],"Ddd")</f>
        <v>Tue</v>
      </c>
      <c r="M971" s="4" t="s">
        <v>34</v>
      </c>
      <c r="N971" t="s">
        <v>35</v>
      </c>
      <c r="O971" t="s">
        <v>38</v>
      </c>
      <c r="P971" s="8">
        <v>4</v>
      </c>
      <c r="Q971" s="6">
        <v>0.72916666666666663</v>
      </c>
      <c r="R971" s="6">
        <v>80.5</v>
      </c>
      <c r="S971" s="6" t="str">
        <f>IF(Table2[[#This Row],[Avg_score]]&gt;=79,"Distinction",IF(Table2[[#This Row],[Avg_score]]&gt;=60,"Pass","Fail"))</f>
        <v>Distinction</v>
      </c>
      <c r="T971" t="s">
        <v>40</v>
      </c>
      <c r="U971">
        <f>IF(Table2[[#This Row],[Completed]]="Yes",1,0)</f>
        <v>0</v>
      </c>
      <c r="V971" t="s">
        <v>40</v>
      </c>
      <c r="W971" t="s">
        <v>40</v>
      </c>
      <c r="X971" s="4">
        <v>45838</v>
      </c>
    </row>
    <row r="972" spans="1:24" x14ac:dyDescent="0.3">
      <c r="A972">
        <v>971</v>
      </c>
      <c r="B972" s="8">
        <v>324</v>
      </c>
      <c r="C972">
        <v>2</v>
      </c>
      <c r="D972" t="s">
        <v>19</v>
      </c>
      <c r="E972" t="s">
        <v>23</v>
      </c>
      <c r="F972">
        <v>22</v>
      </c>
      <c r="G972" t="str">
        <f>IF(Table2[[#This Row],[Age]]&gt;=30,"Experienced",IF(Table2[[#This Row],[Age]]&gt;=25,"Mid Level", "Entry Level"))</f>
        <v>Entry Level</v>
      </c>
      <c r="H972" t="s">
        <v>25</v>
      </c>
      <c r="I972" t="s">
        <v>30</v>
      </c>
      <c r="J972" s="4">
        <v>45797</v>
      </c>
      <c r="K972" s="4" t="str">
        <f>TEXT(Table2[[#This Row],[Enrollment_date]],"Mmm")</f>
        <v>May</v>
      </c>
      <c r="L972" s="4" t="str">
        <f>TEXT(Table2[[#This Row],[Enrollment_date]],"Ddd")</f>
        <v>Tue</v>
      </c>
      <c r="M972" s="4" t="s">
        <v>34</v>
      </c>
      <c r="N972" t="s">
        <v>36</v>
      </c>
      <c r="O972" t="s">
        <v>38</v>
      </c>
      <c r="P972" s="8">
        <v>4</v>
      </c>
      <c r="Q972" s="6">
        <v>0.8125</v>
      </c>
      <c r="R972" s="6">
        <v>88.5</v>
      </c>
      <c r="S972" s="6" t="str">
        <f>IF(Table2[[#This Row],[Avg_score]]&gt;=79,"Distinction",IF(Table2[[#This Row],[Avg_score]]&gt;=60,"Pass","Fail"))</f>
        <v>Distinction</v>
      </c>
      <c r="T972" t="s">
        <v>40</v>
      </c>
      <c r="U972">
        <f>IF(Table2[[#This Row],[Completed]]="Yes",1,0)</f>
        <v>0</v>
      </c>
      <c r="V972" t="s">
        <v>40</v>
      </c>
      <c r="W972" t="s">
        <v>40</v>
      </c>
      <c r="X972" s="4">
        <v>45838</v>
      </c>
    </row>
    <row r="973" spans="1:24" x14ac:dyDescent="0.3">
      <c r="A973">
        <v>972</v>
      </c>
      <c r="B973" s="8">
        <v>324</v>
      </c>
      <c r="C973">
        <v>3</v>
      </c>
      <c r="D973" t="s">
        <v>21</v>
      </c>
      <c r="E973" t="s">
        <v>23</v>
      </c>
      <c r="F973">
        <v>22</v>
      </c>
      <c r="G973" t="str">
        <f>IF(Table2[[#This Row],[Age]]&gt;=30,"Experienced",IF(Table2[[#This Row],[Age]]&gt;=25,"Mid Level", "Entry Level"))</f>
        <v>Entry Level</v>
      </c>
      <c r="H973" t="s">
        <v>25</v>
      </c>
      <c r="I973" t="s">
        <v>30</v>
      </c>
      <c r="J973" s="4">
        <v>45797</v>
      </c>
      <c r="K973" s="4" t="str">
        <f>TEXT(Table2[[#This Row],[Enrollment_date]],"Mmm")</f>
        <v>May</v>
      </c>
      <c r="L973" s="4" t="str">
        <f>TEXT(Table2[[#This Row],[Enrollment_date]],"Ddd")</f>
        <v>Tue</v>
      </c>
      <c r="M973" s="4" t="s">
        <v>34</v>
      </c>
      <c r="N973" t="s">
        <v>37</v>
      </c>
      <c r="O973" t="s">
        <v>38</v>
      </c>
      <c r="P973" s="8">
        <v>4</v>
      </c>
      <c r="Q973" s="6">
        <v>0.85416666666666663</v>
      </c>
      <c r="R973" s="6">
        <v>73.5</v>
      </c>
      <c r="S973" s="6" t="str">
        <f>IF(Table2[[#This Row],[Avg_score]]&gt;=79,"Distinction",IF(Table2[[#This Row],[Avg_score]]&gt;=60,"Pass","Fail"))</f>
        <v>Pass</v>
      </c>
      <c r="T973" t="s">
        <v>40</v>
      </c>
      <c r="U973">
        <f>IF(Table2[[#This Row],[Completed]]="Yes",1,0)</f>
        <v>0</v>
      </c>
      <c r="V973" t="s">
        <v>40</v>
      </c>
      <c r="W973" t="s">
        <v>40</v>
      </c>
      <c r="X973" s="4">
        <v>45838</v>
      </c>
    </row>
    <row r="974" spans="1:24" x14ac:dyDescent="0.3">
      <c r="A974">
        <v>973</v>
      </c>
      <c r="B974" s="8">
        <v>325</v>
      </c>
      <c r="C974">
        <v>1</v>
      </c>
      <c r="D974" t="s">
        <v>19</v>
      </c>
      <c r="E974" t="s">
        <v>23</v>
      </c>
      <c r="F974">
        <v>23</v>
      </c>
      <c r="G974" t="str">
        <f>IF(Table2[[#This Row],[Age]]&gt;=30,"Experienced",IF(Table2[[#This Row],[Age]]&gt;=25,"Mid Level", "Entry Level"))</f>
        <v>Entry Level</v>
      </c>
      <c r="H974" t="s">
        <v>24</v>
      </c>
      <c r="I974" t="s">
        <v>44</v>
      </c>
      <c r="J974" s="4">
        <v>45780</v>
      </c>
      <c r="K974" s="4" t="str">
        <f>TEXT(Table2[[#This Row],[Enrollment_date]],"Mmm")</f>
        <v>May</v>
      </c>
      <c r="L974" s="4" t="str">
        <f>TEXT(Table2[[#This Row],[Enrollment_date]],"Ddd")</f>
        <v>Sat</v>
      </c>
      <c r="M974" s="4" t="s">
        <v>34</v>
      </c>
      <c r="N974" t="s">
        <v>35</v>
      </c>
      <c r="O974" t="s">
        <v>38</v>
      </c>
      <c r="P974" s="8">
        <v>4</v>
      </c>
      <c r="Q974" s="6">
        <v>0.77083333333333337</v>
      </c>
      <c r="R974" s="6">
        <v>61</v>
      </c>
      <c r="S974" s="6" t="str">
        <f>IF(Table2[[#This Row],[Avg_score]]&gt;=79,"Distinction",IF(Table2[[#This Row],[Avg_score]]&gt;=60,"Pass","Fail"))</f>
        <v>Pass</v>
      </c>
      <c r="T974" t="s">
        <v>40</v>
      </c>
      <c r="U974">
        <f>IF(Table2[[#This Row],[Completed]]="Yes",1,0)</f>
        <v>0</v>
      </c>
      <c r="V974" t="s">
        <v>40</v>
      </c>
      <c r="W974" t="s">
        <v>40</v>
      </c>
      <c r="X974" s="4">
        <v>45838</v>
      </c>
    </row>
    <row r="975" spans="1:24" x14ac:dyDescent="0.3">
      <c r="A975">
        <v>974</v>
      </c>
      <c r="B975" s="8">
        <v>325</v>
      </c>
      <c r="C975">
        <v>2</v>
      </c>
      <c r="D975" t="s">
        <v>20</v>
      </c>
      <c r="E975" t="s">
        <v>23</v>
      </c>
      <c r="F975">
        <v>23</v>
      </c>
      <c r="G975" t="str">
        <f>IF(Table2[[#This Row],[Age]]&gt;=30,"Experienced",IF(Table2[[#This Row],[Age]]&gt;=25,"Mid Level", "Entry Level"))</f>
        <v>Entry Level</v>
      </c>
      <c r="H975" t="s">
        <v>24</v>
      </c>
      <c r="I975" t="s">
        <v>44</v>
      </c>
      <c r="J975" s="4">
        <v>45780</v>
      </c>
      <c r="K975" s="4" t="str">
        <f>TEXT(Table2[[#This Row],[Enrollment_date]],"Mmm")</f>
        <v>May</v>
      </c>
      <c r="L975" s="4" t="str">
        <f>TEXT(Table2[[#This Row],[Enrollment_date]],"Ddd")</f>
        <v>Sat</v>
      </c>
      <c r="M975" s="4" t="s">
        <v>34</v>
      </c>
      <c r="N975" t="s">
        <v>36</v>
      </c>
      <c r="O975" t="s">
        <v>38</v>
      </c>
      <c r="P975" s="8">
        <v>4</v>
      </c>
      <c r="Q975" s="6">
        <v>0.79166666666666663</v>
      </c>
      <c r="R975" s="6">
        <v>88</v>
      </c>
      <c r="S975" s="6" t="str">
        <f>IF(Table2[[#This Row],[Avg_score]]&gt;=79,"Distinction",IF(Table2[[#This Row],[Avg_score]]&gt;=60,"Pass","Fail"))</f>
        <v>Distinction</v>
      </c>
      <c r="T975" t="s">
        <v>40</v>
      </c>
      <c r="U975">
        <f>IF(Table2[[#This Row],[Completed]]="Yes",1,0)</f>
        <v>0</v>
      </c>
      <c r="V975" t="s">
        <v>40</v>
      </c>
      <c r="W975" t="s">
        <v>40</v>
      </c>
      <c r="X975" s="4">
        <v>45838</v>
      </c>
    </row>
    <row r="976" spans="1:24" x14ac:dyDescent="0.3">
      <c r="A976">
        <v>975</v>
      </c>
      <c r="B976" s="8">
        <v>325</v>
      </c>
      <c r="C976">
        <v>3</v>
      </c>
      <c r="D976" t="s">
        <v>21</v>
      </c>
      <c r="E976" t="s">
        <v>23</v>
      </c>
      <c r="F976">
        <v>23</v>
      </c>
      <c r="G976" t="str">
        <f>IF(Table2[[#This Row],[Age]]&gt;=30,"Experienced",IF(Table2[[#This Row],[Age]]&gt;=25,"Mid Level", "Entry Level"))</f>
        <v>Entry Level</v>
      </c>
      <c r="H976" t="s">
        <v>24</v>
      </c>
      <c r="I976" t="s">
        <v>44</v>
      </c>
      <c r="J976" s="4">
        <v>45780</v>
      </c>
      <c r="K976" s="4" t="str">
        <f>TEXT(Table2[[#This Row],[Enrollment_date]],"Mmm")</f>
        <v>May</v>
      </c>
      <c r="L976" s="4" t="str">
        <f>TEXT(Table2[[#This Row],[Enrollment_date]],"Ddd")</f>
        <v>Sat</v>
      </c>
      <c r="M976" s="4" t="s">
        <v>34</v>
      </c>
      <c r="N976" t="s">
        <v>37</v>
      </c>
      <c r="O976" t="s">
        <v>38</v>
      </c>
      <c r="P976" s="8">
        <v>4</v>
      </c>
      <c r="Q976" s="6">
        <v>0.875</v>
      </c>
      <c r="R976" s="6">
        <v>98</v>
      </c>
      <c r="S976" s="6" t="str">
        <f>IF(Table2[[#This Row],[Avg_score]]&gt;=79,"Distinction",IF(Table2[[#This Row],[Avg_score]]&gt;=60,"Pass","Fail"))</f>
        <v>Distinction</v>
      </c>
      <c r="T976" t="s">
        <v>40</v>
      </c>
      <c r="U976">
        <f>IF(Table2[[#This Row],[Completed]]="Yes",1,0)</f>
        <v>0</v>
      </c>
      <c r="V976" t="s">
        <v>40</v>
      </c>
      <c r="W976" t="s">
        <v>40</v>
      </c>
      <c r="X976" s="4">
        <v>45838</v>
      </c>
    </row>
    <row r="977" spans="1:24" x14ac:dyDescent="0.3">
      <c r="A977">
        <v>976</v>
      </c>
      <c r="B977" s="8">
        <v>326</v>
      </c>
      <c r="C977">
        <v>1</v>
      </c>
      <c r="D977" t="s">
        <v>19</v>
      </c>
      <c r="E977" t="s">
        <v>22</v>
      </c>
      <c r="F977">
        <v>22</v>
      </c>
      <c r="G977" t="str">
        <f>IF(Table2[[#This Row],[Age]]&gt;=30,"Experienced",IF(Table2[[#This Row],[Age]]&gt;=25,"Mid Level", "Entry Level"))</f>
        <v>Entry Level</v>
      </c>
      <c r="H977" t="s">
        <v>25</v>
      </c>
      <c r="I977" t="s">
        <v>44</v>
      </c>
      <c r="J977" s="4">
        <v>45667</v>
      </c>
      <c r="K977" s="4" t="str">
        <f>TEXT(Table2[[#This Row],[Enrollment_date]],"Mmm")</f>
        <v>Jan</v>
      </c>
      <c r="L977" s="4" t="str">
        <f>TEXT(Table2[[#This Row],[Enrollment_date]],"Ddd")</f>
        <v>Fri</v>
      </c>
      <c r="M977" s="4" t="s">
        <v>34</v>
      </c>
      <c r="N977" t="s">
        <v>35</v>
      </c>
      <c r="O977" t="s">
        <v>38</v>
      </c>
      <c r="P977" s="8">
        <v>4</v>
      </c>
      <c r="Q977" s="6">
        <v>0.875</v>
      </c>
      <c r="R977" s="6">
        <v>86</v>
      </c>
      <c r="S977" s="6" t="str">
        <f>IF(Table2[[#This Row],[Avg_score]]&gt;=79,"Distinction",IF(Table2[[#This Row],[Avg_score]]&gt;=60,"Pass","Fail"))</f>
        <v>Distinction</v>
      </c>
      <c r="T977" t="s">
        <v>39</v>
      </c>
      <c r="U977">
        <f>IF(Table2[[#This Row],[Completed]]="Yes",1,0)</f>
        <v>1</v>
      </c>
      <c r="V977" t="s">
        <v>40</v>
      </c>
      <c r="W977" t="s">
        <v>39</v>
      </c>
      <c r="X977" s="4">
        <v>45838</v>
      </c>
    </row>
    <row r="978" spans="1:24" x14ac:dyDescent="0.3">
      <c r="A978">
        <v>977</v>
      </c>
      <c r="B978" s="8">
        <v>326</v>
      </c>
      <c r="C978">
        <v>2</v>
      </c>
      <c r="D978" t="s">
        <v>19</v>
      </c>
      <c r="E978" t="s">
        <v>22</v>
      </c>
      <c r="F978">
        <v>22</v>
      </c>
      <c r="G978" t="str">
        <f>IF(Table2[[#This Row],[Age]]&gt;=30,"Experienced",IF(Table2[[#This Row],[Age]]&gt;=25,"Mid Level", "Entry Level"))</f>
        <v>Entry Level</v>
      </c>
      <c r="H978" t="s">
        <v>25</v>
      </c>
      <c r="I978" t="s">
        <v>44</v>
      </c>
      <c r="J978" s="4">
        <v>45667</v>
      </c>
      <c r="K978" s="4" t="str">
        <f>TEXT(Table2[[#This Row],[Enrollment_date]],"Mmm")</f>
        <v>Jan</v>
      </c>
      <c r="L978" s="4" t="str">
        <f>TEXT(Table2[[#This Row],[Enrollment_date]],"Ddd")</f>
        <v>Fri</v>
      </c>
      <c r="M978" s="4" t="s">
        <v>34</v>
      </c>
      <c r="N978" t="s">
        <v>36</v>
      </c>
      <c r="O978" t="s">
        <v>38</v>
      </c>
      <c r="P978" s="8">
        <v>4</v>
      </c>
      <c r="Q978" s="6">
        <v>0.875</v>
      </c>
      <c r="R978" s="6">
        <v>62.5</v>
      </c>
      <c r="S978" s="6" t="str">
        <f>IF(Table2[[#This Row],[Avg_score]]&gt;=79,"Distinction",IF(Table2[[#This Row],[Avg_score]]&gt;=60,"Pass","Fail"))</f>
        <v>Pass</v>
      </c>
      <c r="T978" t="s">
        <v>39</v>
      </c>
      <c r="U978">
        <f>IF(Table2[[#This Row],[Completed]]="Yes",1,0)</f>
        <v>1</v>
      </c>
      <c r="V978" t="s">
        <v>40</v>
      </c>
      <c r="W978" t="s">
        <v>39</v>
      </c>
      <c r="X978" s="4">
        <v>45838</v>
      </c>
    </row>
    <row r="979" spans="1:24" x14ac:dyDescent="0.3">
      <c r="A979">
        <v>978</v>
      </c>
      <c r="B979" s="8">
        <v>326</v>
      </c>
      <c r="C979">
        <v>3</v>
      </c>
      <c r="D979" t="s">
        <v>19</v>
      </c>
      <c r="E979" t="s">
        <v>22</v>
      </c>
      <c r="F979">
        <v>22</v>
      </c>
      <c r="G979" t="str">
        <f>IF(Table2[[#This Row],[Age]]&gt;=30,"Experienced",IF(Table2[[#This Row],[Age]]&gt;=25,"Mid Level", "Entry Level"))</f>
        <v>Entry Level</v>
      </c>
      <c r="H979" t="s">
        <v>25</v>
      </c>
      <c r="I979" t="s">
        <v>44</v>
      </c>
      <c r="J979" s="4">
        <v>45667</v>
      </c>
      <c r="K979" s="4" t="str">
        <f>TEXT(Table2[[#This Row],[Enrollment_date]],"Mmm")</f>
        <v>Jan</v>
      </c>
      <c r="L979" s="4" t="str">
        <f>TEXT(Table2[[#This Row],[Enrollment_date]],"Ddd")</f>
        <v>Fri</v>
      </c>
      <c r="M979" s="4" t="s">
        <v>34</v>
      </c>
      <c r="N979" t="s">
        <v>37</v>
      </c>
      <c r="O979" t="s">
        <v>38</v>
      </c>
      <c r="P979" s="8">
        <v>4</v>
      </c>
      <c r="Q979" s="6">
        <v>0.77083333333333337</v>
      </c>
      <c r="R979" s="6">
        <v>65.5</v>
      </c>
      <c r="S979" s="6" t="str">
        <f>IF(Table2[[#This Row],[Avg_score]]&gt;=79,"Distinction",IF(Table2[[#This Row],[Avg_score]]&gt;=60,"Pass","Fail"))</f>
        <v>Pass</v>
      </c>
      <c r="T979" t="s">
        <v>39</v>
      </c>
      <c r="U979">
        <f>IF(Table2[[#This Row],[Completed]]="Yes",1,0)</f>
        <v>1</v>
      </c>
      <c r="V979" t="s">
        <v>40</v>
      </c>
      <c r="W979" t="s">
        <v>39</v>
      </c>
      <c r="X979" s="4">
        <v>45838</v>
      </c>
    </row>
    <row r="980" spans="1:24" x14ac:dyDescent="0.3">
      <c r="A980">
        <v>979</v>
      </c>
      <c r="B980" s="8">
        <v>327</v>
      </c>
      <c r="C980">
        <v>1</v>
      </c>
      <c r="D980" t="s">
        <v>19</v>
      </c>
      <c r="E980" t="s">
        <v>23</v>
      </c>
      <c r="F980">
        <v>24</v>
      </c>
      <c r="G980" t="str">
        <f>IF(Table2[[#This Row],[Age]]&gt;=30,"Experienced",IF(Table2[[#This Row],[Age]]&gt;=25,"Mid Level", "Entry Level"))</f>
        <v>Entry Level</v>
      </c>
      <c r="H980" t="s">
        <v>25</v>
      </c>
      <c r="I980" t="s">
        <v>32</v>
      </c>
      <c r="J980" s="4">
        <v>45668</v>
      </c>
      <c r="K980" s="4" t="str">
        <f>TEXT(Table2[[#This Row],[Enrollment_date]],"Mmm")</f>
        <v>Jan</v>
      </c>
      <c r="L980" s="4" t="str">
        <f>TEXT(Table2[[#This Row],[Enrollment_date]],"Ddd")</f>
        <v>Sat</v>
      </c>
      <c r="M980" s="4" t="s">
        <v>34</v>
      </c>
      <c r="N980" t="s">
        <v>35</v>
      </c>
      <c r="O980" t="s">
        <v>38</v>
      </c>
      <c r="P980" s="8">
        <v>4</v>
      </c>
      <c r="Q980" s="6">
        <v>0.77083333333333337</v>
      </c>
      <c r="R980" s="6">
        <v>82</v>
      </c>
      <c r="S980" s="6" t="str">
        <f>IF(Table2[[#This Row],[Avg_score]]&gt;=79,"Distinction",IF(Table2[[#This Row],[Avg_score]]&gt;=60,"Pass","Fail"))</f>
        <v>Distinction</v>
      </c>
      <c r="T980" t="s">
        <v>39</v>
      </c>
      <c r="U980">
        <f>IF(Table2[[#This Row],[Completed]]="Yes",1,0)</f>
        <v>1</v>
      </c>
      <c r="V980" t="s">
        <v>40</v>
      </c>
      <c r="W980" t="s">
        <v>39</v>
      </c>
      <c r="X980" s="4">
        <v>45838</v>
      </c>
    </row>
    <row r="981" spans="1:24" x14ac:dyDescent="0.3">
      <c r="A981">
        <v>980</v>
      </c>
      <c r="B981" s="8">
        <v>327</v>
      </c>
      <c r="C981">
        <v>2</v>
      </c>
      <c r="D981" t="s">
        <v>19</v>
      </c>
      <c r="E981" t="s">
        <v>23</v>
      </c>
      <c r="F981">
        <v>24</v>
      </c>
      <c r="G981" t="str">
        <f>IF(Table2[[#This Row],[Age]]&gt;=30,"Experienced",IF(Table2[[#This Row],[Age]]&gt;=25,"Mid Level", "Entry Level"))</f>
        <v>Entry Level</v>
      </c>
      <c r="H981" t="s">
        <v>25</v>
      </c>
      <c r="I981" t="s">
        <v>32</v>
      </c>
      <c r="J981" s="4">
        <v>45668</v>
      </c>
      <c r="K981" s="4" t="str">
        <f>TEXT(Table2[[#This Row],[Enrollment_date]],"Mmm")</f>
        <v>Jan</v>
      </c>
      <c r="L981" s="4" t="str">
        <f>TEXT(Table2[[#This Row],[Enrollment_date]],"Ddd")</f>
        <v>Sat</v>
      </c>
      <c r="M981" s="4" t="s">
        <v>34</v>
      </c>
      <c r="N981" t="s">
        <v>36</v>
      </c>
      <c r="O981" t="s">
        <v>38</v>
      </c>
      <c r="P981" s="8">
        <v>4</v>
      </c>
      <c r="Q981" s="6">
        <v>0.79166666666666663</v>
      </c>
      <c r="R981" s="6">
        <v>68.5</v>
      </c>
      <c r="S981" s="6" t="str">
        <f>IF(Table2[[#This Row],[Avg_score]]&gt;=79,"Distinction",IF(Table2[[#This Row],[Avg_score]]&gt;=60,"Pass","Fail"))</f>
        <v>Pass</v>
      </c>
      <c r="T981" t="s">
        <v>39</v>
      </c>
      <c r="U981">
        <f>IF(Table2[[#This Row],[Completed]]="Yes",1,0)</f>
        <v>1</v>
      </c>
      <c r="V981" t="s">
        <v>40</v>
      </c>
      <c r="W981" t="s">
        <v>39</v>
      </c>
      <c r="X981" s="4">
        <v>45838</v>
      </c>
    </row>
    <row r="982" spans="1:24" x14ac:dyDescent="0.3">
      <c r="A982">
        <v>981</v>
      </c>
      <c r="B982" s="8">
        <v>327</v>
      </c>
      <c r="C982">
        <v>3</v>
      </c>
      <c r="D982" t="s">
        <v>21</v>
      </c>
      <c r="E982" t="s">
        <v>23</v>
      </c>
      <c r="F982">
        <v>24</v>
      </c>
      <c r="G982" t="str">
        <f>IF(Table2[[#This Row],[Age]]&gt;=30,"Experienced",IF(Table2[[#This Row],[Age]]&gt;=25,"Mid Level", "Entry Level"))</f>
        <v>Entry Level</v>
      </c>
      <c r="H982" t="s">
        <v>25</v>
      </c>
      <c r="I982" t="s">
        <v>32</v>
      </c>
      <c r="J982" s="4">
        <v>45668</v>
      </c>
      <c r="K982" s="4" t="str">
        <f>TEXT(Table2[[#This Row],[Enrollment_date]],"Mmm")</f>
        <v>Jan</v>
      </c>
      <c r="L982" s="4" t="str">
        <f>TEXT(Table2[[#This Row],[Enrollment_date]],"Ddd")</f>
        <v>Sat</v>
      </c>
      <c r="M982" s="4" t="s">
        <v>34</v>
      </c>
      <c r="N982" t="s">
        <v>37</v>
      </c>
      <c r="O982" t="s">
        <v>38</v>
      </c>
      <c r="P982" s="8">
        <v>4</v>
      </c>
      <c r="Q982" s="6">
        <v>0.83333333333333337</v>
      </c>
      <c r="R982" s="6">
        <v>80</v>
      </c>
      <c r="S982" s="6" t="str">
        <f>IF(Table2[[#This Row],[Avg_score]]&gt;=79,"Distinction",IF(Table2[[#This Row],[Avg_score]]&gt;=60,"Pass","Fail"))</f>
        <v>Distinction</v>
      </c>
      <c r="T982" t="s">
        <v>39</v>
      </c>
      <c r="U982">
        <f>IF(Table2[[#This Row],[Completed]]="Yes",1,0)</f>
        <v>1</v>
      </c>
      <c r="V982" t="s">
        <v>40</v>
      </c>
      <c r="W982" t="s">
        <v>39</v>
      </c>
      <c r="X982" s="4">
        <v>45838</v>
      </c>
    </row>
    <row r="983" spans="1:24" x14ac:dyDescent="0.3">
      <c r="A983">
        <v>982</v>
      </c>
      <c r="B983" s="8">
        <v>328</v>
      </c>
      <c r="C983">
        <v>1</v>
      </c>
      <c r="D983" t="s">
        <v>21</v>
      </c>
      <c r="E983" t="s">
        <v>23</v>
      </c>
      <c r="F983">
        <v>27</v>
      </c>
      <c r="G983" t="str">
        <f>IF(Table2[[#This Row],[Age]]&gt;=30,"Experienced",IF(Table2[[#This Row],[Age]]&gt;=25,"Mid Level", "Entry Level"))</f>
        <v>Mid Level</v>
      </c>
      <c r="H983" t="s">
        <v>26</v>
      </c>
      <c r="I983" t="s">
        <v>44</v>
      </c>
      <c r="J983" s="4">
        <v>45797</v>
      </c>
      <c r="K983" s="4" t="str">
        <f>TEXT(Table2[[#This Row],[Enrollment_date]],"Mmm")</f>
        <v>May</v>
      </c>
      <c r="L983" s="4" t="str">
        <f>TEXT(Table2[[#This Row],[Enrollment_date]],"Ddd")</f>
        <v>Tue</v>
      </c>
      <c r="M983" s="4" t="s">
        <v>34</v>
      </c>
      <c r="N983" t="s">
        <v>35</v>
      </c>
      <c r="O983" t="s">
        <v>38</v>
      </c>
      <c r="P983" s="8">
        <v>4</v>
      </c>
      <c r="Q983" s="6">
        <v>0.8125</v>
      </c>
      <c r="R983" s="6">
        <v>73</v>
      </c>
      <c r="S983" s="6" t="str">
        <f>IF(Table2[[#This Row],[Avg_score]]&gt;=79,"Distinction",IF(Table2[[#This Row],[Avg_score]]&gt;=60,"Pass","Fail"))</f>
        <v>Pass</v>
      </c>
      <c r="T983" t="s">
        <v>40</v>
      </c>
      <c r="U983">
        <f>IF(Table2[[#This Row],[Completed]]="Yes",1,0)</f>
        <v>0</v>
      </c>
      <c r="V983" t="s">
        <v>40</v>
      </c>
      <c r="W983" t="s">
        <v>40</v>
      </c>
      <c r="X983" s="4">
        <v>45838</v>
      </c>
    </row>
    <row r="984" spans="1:24" x14ac:dyDescent="0.3">
      <c r="A984">
        <v>983</v>
      </c>
      <c r="B984" s="8">
        <v>328</v>
      </c>
      <c r="C984">
        <v>2</v>
      </c>
      <c r="D984" t="s">
        <v>20</v>
      </c>
      <c r="E984" t="s">
        <v>23</v>
      </c>
      <c r="F984">
        <v>27</v>
      </c>
      <c r="G984" t="str">
        <f>IF(Table2[[#This Row],[Age]]&gt;=30,"Experienced",IF(Table2[[#This Row],[Age]]&gt;=25,"Mid Level", "Entry Level"))</f>
        <v>Mid Level</v>
      </c>
      <c r="H984" t="s">
        <v>26</v>
      </c>
      <c r="I984" t="s">
        <v>44</v>
      </c>
      <c r="J984" s="4">
        <v>45797</v>
      </c>
      <c r="K984" s="4" t="str">
        <f>TEXT(Table2[[#This Row],[Enrollment_date]],"Mmm")</f>
        <v>May</v>
      </c>
      <c r="L984" s="4" t="str">
        <f>TEXT(Table2[[#This Row],[Enrollment_date]],"Ddd")</f>
        <v>Tue</v>
      </c>
      <c r="M984" s="4" t="s">
        <v>34</v>
      </c>
      <c r="N984" t="s">
        <v>36</v>
      </c>
      <c r="O984" t="s">
        <v>38</v>
      </c>
      <c r="P984" s="8">
        <v>4</v>
      </c>
      <c r="Q984" s="6">
        <v>0.875</v>
      </c>
      <c r="R984" s="6">
        <v>70</v>
      </c>
      <c r="S984" s="6" t="str">
        <f>IF(Table2[[#This Row],[Avg_score]]&gt;=79,"Distinction",IF(Table2[[#This Row],[Avg_score]]&gt;=60,"Pass","Fail"))</f>
        <v>Pass</v>
      </c>
      <c r="T984" t="s">
        <v>40</v>
      </c>
      <c r="U984">
        <f>IF(Table2[[#This Row],[Completed]]="Yes",1,0)</f>
        <v>0</v>
      </c>
      <c r="V984" t="s">
        <v>40</v>
      </c>
      <c r="W984" t="s">
        <v>40</v>
      </c>
      <c r="X984" s="4">
        <v>45838</v>
      </c>
    </row>
    <row r="985" spans="1:24" x14ac:dyDescent="0.3">
      <c r="A985">
        <v>984</v>
      </c>
      <c r="B985" s="8">
        <v>328</v>
      </c>
      <c r="C985">
        <v>3</v>
      </c>
      <c r="D985" t="s">
        <v>19</v>
      </c>
      <c r="E985" t="s">
        <v>23</v>
      </c>
      <c r="F985">
        <v>27</v>
      </c>
      <c r="G985" t="str">
        <f>IF(Table2[[#This Row],[Age]]&gt;=30,"Experienced",IF(Table2[[#This Row],[Age]]&gt;=25,"Mid Level", "Entry Level"))</f>
        <v>Mid Level</v>
      </c>
      <c r="H985" t="s">
        <v>26</v>
      </c>
      <c r="I985" t="s">
        <v>44</v>
      </c>
      <c r="J985" s="4">
        <v>45797</v>
      </c>
      <c r="K985" s="4" t="str">
        <f>TEXT(Table2[[#This Row],[Enrollment_date]],"Mmm")</f>
        <v>May</v>
      </c>
      <c r="L985" s="4" t="str">
        <f>TEXT(Table2[[#This Row],[Enrollment_date]],"Ddd")</f>
        <v>Tue</v>
      </c>
      <c r="M985" s="4" t="s">
        <v>34</v>
      </c>
      <c r="N985" t="s">
        <v>37</v>
      </c>
      <c r="O985" t="s">
        <v>38</v>
      </c>
      <c r="P985" s="8">
        <v>4</v>
      </c>
      <c r="Q985" s="6">
        <v>0.85416666666666663</v>
      </c>
      <c r="R985" s="6">
        <v>65</v>
      </c>
      <c r="S985" s="6" t="str">
        <f>IF(Table2[[#This Row],[Avg_score]]&gt;=79,"Distinction",IF(Table2[[#This Row],[Avg_score]]&gt;=60,"Pass","Fail"))</f>
        <v>Pass</v>
      </c>
      <c r="T985" t="s">
        <v>40</v>
      </c>
      <c r="U985">
        <f>IF(Table2[[#This Row],[Completed]]="Yes",1,0)</f>
        <v>0</v>
      </c>
      <c r="V985" t="s">
        <v>40</v>
      </c>
      <c r="W985" t="s">
        <v>40</v>
      </c>
      <c r="X985" s="4">
        <v>45838</v>
      </c>
    </row>
    <row r="986" spans="1:24" x14ac:dyDescent="0.3">
      <c r="A986">
        <v>985</v>
      </c>
      <c r="B986" s="8">
        <v>329</v>
      </c>
      <c r="C986">
        <v>1</v>
      </c>
      <c r="D986" t="s">
        <v>19</v>
      </c>
      <c r="E986" t="s">
        <v>23</v>
      </c>
      <c r="F986">
        <v>26</v>
      </c>
      <c r="G986" t="str">
        <f>IF(Table2[[#This Row],[Age]]&gt;=30,"Experienced",IF(Table2[[#This Row],[Age]]&gt;=25,"Mid Level", "Entry Level"))</f>
        <v>Mid Level</v>
      </c>
      <c r="H986" t="s">
        <v>25</v>
      </c>
      <c r="I986" t="s">
        <v>32</v>
      </c>
      <c r="J986" s="4">
        <v>45731</v>
      </c>
      <c r="K986" s="4" t="str">
        <f>TEXT(Table2[[#This Row],[Enrollment_date]],"Mmm")</f>
        <v>Mar</v>
      </c>
      <c r="L986" s="4" t="str">
        <f>TEXT(Table2[[#This Row],[Enrollment_date]],"Ddd")</f>
        <v>Sat</v>
      </c>
      <c r="M986" s="4" t="s">
        <v>34</v>
      </c>
      <c r="N986" t="s">
        <v>35</v>
      </c>
      <c r="O986" t="s">
        <v>38</v>
      </c>
      <c r="P986" s="8">
        <v>4</v>
      </c>
      <c r="Q986" s="6">
        <v>0.89583333333333337</v>
      </c>
      <c r="R986" s="6">
        <v>79</v>
      </c>
      <c r="S986" s="6" t="str">
        <f>IF(Table2[[#This Row],[Avg_score]]&gt;=79,"Distinction",IF(Table2[[#This Row],[Avg_score]]&gt;=60,"Pass","Fail"))</f>
        <v>Distinction</v>
      </c>
      <c r="T986" t="s">
        <v>39</v>
      </c>
      <c r="U986">
        <f>IF(Table2[[#This Row],[Completed]]="Yes",1,0)</f>
        <v>1</v>
      </c>
      <c r="V986" t="s">
        <v>39</v>
      </c>
      <c r="W986" t="s">
        <v>40</v>
      </c>
      <c r="X986" s="4">
        <v>45838</v>
      </c>
    </row>
    <row r="987" spans="1:24" x14ac:dyDescent="0.3">
      <c r="A987">
        <v>986</v>
      </c>
      <c r="B987" s="8">
        <v>329</v>
      </c>
      <c r="C987">
        <v>2</v>
      </c>
      <c r="D987" t="s">
        <v>21</v>
      </c>
      <c r="E987" t="s">
        <v>23</v>
      </c>
      <c r="F987">
        <v>26</v>
      </c>
      <c r="G987" t="str">
        <f>IF(Table2[[#This Row],[Age]]&gt;=30,"Experienced",IF(Table2[[#This Row],[Age]]&gt;=25,"Mid Level", "Entry Level"))</f>
        <v>Mid Level</v>
      </c>
      <c r="H987" t="s">
        <v>25</v>
      </c>
      <c r="I987" t="s">
        <v>32</v>
      </c>
      <c r="J987" s="4">
        <v>45731</v>
      </c>
      <c r="K987" s="4" t="str">
        <f>TEXT(Table2[[#This Row],[Enrollment_date]],"Mmm")</f>
        <v>Mar</v>
      </c>
      <c r="L987" s="4" t="str">
        <f>TEXT(Table2[[#This Row],[Enrollment_date]],"Ddd")</f>
        <v>Sat</v>
      </c>
      <c r="M987" s="4" t="s">
        <v>34</v>
      </c>
      <c r="N987" t="s">
        <v>36</v>
      </c>
      <c r="O987" t="s">
        <v>38</v>
      </c>
      <c r="P987" s="8">
        <v>4</v>
      </c>
      <c r="Q987" s="6">
        <v>0.83333333333333337</v>
      </c>
      <c r="R987" s="6">
        <v>68</v>
      </c>
      <c r="S987" s="6" t="str">
        <f>IF(Table2[[#This Row],[Avg_score]]&gt;=79,"Distinction",IF(Table2[[#This Row],[Avg_score]]&gt;=60,"Pass","Fail"))</f>
        <v>Pass</v>
      </c>
      <c r="T987" t="s">
        <v>39</v>
      </c>
      <c r="U987">
        <f>IF(Table2[[#This Row],[Completed]]="Yes",1,0)</f>
        <v>1</v>
      </c>
      <c r="V987" t="s">
        <v>39</v>
      </c>
      <c r="W987" t="s">
        <v>40</v>
      </c>
      <c r="X987" s="4">
        <v>45838</v>
      </c>
    </row>
    <row r="988" spans="1:24" x14ac:dyDescent="0.3">
      <c r="A988">
        <v>987</v>
      </c>
      <c r="B988" s="8">
        <v>329</v>
      </c>
      <c r="C988">
        <v>3</v>
      </c>
      <c r="D988" t="s">
        <v>21</v>
      </c>
      <c r="E988" t="s">
        <v>23</v>
      </c>
      <c r="F988">
        <v>26</v>
      </c>
      <c r="G988" t="str">
        <f>IF(Table2[[#This Row],[Age]]&gt;=30,"Experienced",IF(Table2[[#This Row],[Age]]&gt;=25,"Mid Level", "Entry Level"))</f>
        <v>Mid Level</v>
      </c>
      <c r="H988" t="s">
        <v>25</v>
      </c>
      <c r="I988" t="s">
        <v>32</v>
      </c>
      <c r="J988" s="4">
        <v>45731</v>
      </c>
      <c r="K988" s="4" t="str">
        <f>TEXT(Table2[[#This Row],[Enrollment_date]],"Mmm")</f>
        <v>Mar</v>
      </c>
      <c r="L988" s="4" t="str">
        <f>TEXT(Table2[[#This Row],[Enrollment_date]],"Ddd")</f>
        <v>Sat</v>
      </c>
      <c r="M988" s="4" t="s">
        <v>34</v>
      </c>
      <c r="N988" t="s">
        <v>37</v>
      </c>
      <c r="O988" t="s">
        <v>38</v>
      </c>
      <c r="P988" s="8">
        <v>4</v>
      </c>
      <c r="Q988" s="6">
        <v>0.83333333333333337</v>
      </c>
      <c r="R988" s="6">
        <v>51.5</v>
      </c>
      <c r="S988" s="6" t="str">
        <f>IF(Table2[[#This Row],[Avg_score]]&gt;=79,"Distinction",IF(Table2[[#This Row],[Avg_score]]&gt;=60,"Pass","Fail"))</f>
        <v>Fail</v>
      </c>
      <c r="T988" t="s">
        <v>39</v>
      </c>
      <c r="U988">
        <f>IF(Table2[[#This Row],[Completed]]="Yes",1,0)</f>
        <v>1</v>
      </c>
      <c r="V988" t="s">
        <v>39</v>
      </c>
      <c r="W988" t="s">
        <v>40</v>
      </c>
      <c r="X988" s="4">
        <v>45838</v>
      </c>
    </row>
    <row r="989" spans="1:24" x14ac:dyDescent="0.3">
      <c r="A989">
        <v>988</v>
      </c>
      <c r="B989" s="8">
        <v>330</v>
      </c>
      <c r="C989">
        <v>1</v>
      </c>
      <c r="D989" t="s">
        <v>19</v>
      </c>
      <c r="E989" t="s">
        <v>23</v>
      </c>
      <c r="F989">
        <v>19</v>
      </c>
      <c r="G989" t="str">
        <f>IF(Table2[[#This Row],[Age]]&gt;=30,"Experienced",IF(Table2[[#This Row],[Age]]&gt;=25,"Mid Level", "Entry Level"))</f>
        <v>Entry Level</v>
      </c>
      <c r="H989" t="s">
        <v>24</v>
      </c>
      <c r="I989" t="s">
        <v>30</v>
      </c>
      <c r="J989" s="4">
        <v>45727</v>
      </c>
      <c r="K989" s="4" t="str">
        <f>TEXT(Table2[[#This Row],[Enrollment_date]],"Mmm")</f>
        <v>Mar</v>
      </c>
      <c r="L989" s="4" t="str">
        <f>TEXT(Table2[[#This Row],[Enrollment_date]],"Ddd")</f>
        <v>Tue</v>
      </c>
      <c r="M989" s="4" t="s">
        <v>34</v>
      </c>
      <c r="N989" t="s">
        <v>35</v>
      </c>
      <c r="O989" t="s">
        <v>38</v>
      </c>
      <c r="P989" s="8">
        <v>4</v>
      </c>
      <c r="Q989" s="6">
        <v>0.85416666666666663</v>
      </c>
      <c r="R989" s="6">
        <v>70.5</v>
      </c>
      <c r="S989" s="6" t="str">
        <f>IF(Table2[[#This Row],[Avg_score]]&gt;=79,"Distinction",IF(Table2[[#This Row],[Avg_score]]&gt;=60,"Pass","Fail"))</f>
        <v>Pass</v>
      </c>
      <c r="T989" t="s">
        <v>39</v>
      </c>
      <c r="U989">
        <f>IF(Table2[[#This Row],[Completed]]="Yes",1,0)</f>
        <v>1</v>
      </c>
      <c r="V989" t="s">
        <v>39</v>
      </c>
      <c r="W989" t="s">
        <v>40</v>
      </c>
      <c r="X989" s="4">
        <v>45838</v>
      </c>
    </row>
    <row r="990" spans="1:24" x14ac:dyDescent="0.3">
      <c r="A990">
        <v>989</v>
      </c>
      <c r="B990" s="8">
        <v>330</v>
      </c>
      <c r="C990">
        <v>2</v>
      </c>
      <c r="D990" t="s">
        <v>19</v>
      </c>
      <c r="E990" t="s">
        <v>23</v>
      </c>
      <c r="F990">
        <v>19</v>
      </c>
      <c r="G990" t="str">
        <f>IF(Table2[[#This Row],[Age]]&gt;=30,"Experienced",IF(Table2[[#This Row],[Age]]&gt;=25,"Mid Level", "Entry Level"))</f>
        <v>Entry Level</v>
      </c>
      <c r="H990" t="s">
        <v>24</v>
      </c>
      <c r="I990" t="s">
        <v>30</v>
      </c>
      <c r="J990" s="4">
        <v>45727</v>
      </c>
      <c r="K990" s="4" t="str">
        <f>TEXT(Table2[[#This Row],[Enrollment_date]],"Mmm")</f>
        <v>Mar</v>
      </c>
      <c r="L990" s="4" t="str">
        <f>TEXT(Table2[[#This Row],[Enrollment_date]],"Ddd")</f>
        <v>Tue</v>
      </c>
      <c r="M990" s="4" t="s">
        <v>34</v>
      </c>
      <c r="N990" t="s">
        <v>36</v>
      </c>
      <c r="O990" t="s">
        <v>38</v>
      </c>
      <c r="P990" s="8">
        <v>4</v>
      </c>
      <c r="Q990" s="6">
        <v>0.91666666666666663</v>
      </c>
      <c r="R990" s="6">
        <v>72</v>
      </c>
      <c r="S990" s="6" t="str">
        <f>IF(Table2[[#This Row],[Avg_score]]&gt;=79,"Distinction",IF(Table2[[#This Row],[Avg_score]]&gt;=60,"Pass","Fail"))</f>
        <v>Pass</v>
      </c>
      <c r="T990" t="s">
        <v>39</v>
      </c>
      <c r="U990">
        <f>IF(Table2[[#This Row],[Completed]]="Yes",1,0)</f>
        <v>1</v>
      </c>
      <c r="V990" t="s">
        <v>39</v>
      </c>
      <c r="W990" t="s">
        <v>40</v>
      </c>
      <c r="X990" s="4">
        <v>45838</v>
      </c>
    </row>
    <row r="991" spans="1:24" x14ac:dyDescent="0.3">
      <c r="A991">
        <v>990</v>
      </c>
      <c r="B991" s="8">
        <v>330</v>
      </c>
      <c r="C991">
        <v>3</v>
      </c>
      <c r="D991" t="s">
        <v>19</v>
      </c>
      <c r="E991" t="s">
        <v>23</v>
      </c>
      <c r="F991">
        <v>19</v>
      </c>
      <c r="G991" t="str">
        <f>IF(Table2[[#This Row],[Age]]&gt;=30,"Experienced",IF(Table2[[#This Row],[Age]]&gt;=25,"Mid Level", "Entry Level"))</f>
        <v>Entry Level</v>
      </c>
      <c r="H991" t="s">
        <v>24</v>
      </c>
      <c r="I991" t="s">
        <v>30</v>
      </c>
      <c r="J991" s="4">
        <v>45727</v>
      </c>
      <c r="K991" s="4" t="str">
        <f>TEXT(Table2[[#This Row],[Enrollment_date]],"Mmm")</f>
        <v>Mar</v>
      </c>
      <c r="L991" s="4" t="str">
        <f>TEXT(Table2[[#This Row],[Enrollment_date]],"Ddd")</f>
        <v>Tue</v>
      </c>
      <c r="M991" s="4" t="s">
        <v>34</v>
      </c>
      <c r="N991" t="s">
        <v>37</v>
      </c>
      <c r="O991" t="s">
        <v>38</v>
      </c>
      <c r="P991" s="8">
        <v>4</v>
      </c>
      <c r="Q991" s="6">
        <v>0.89583333333333337</v>
      </c>
      <c r="R991" s="6">
        <v>77</v>
      </c>
      <c r="S991" s="6" t="str">
        <f>IF(Table2[[#This Row],[Avg_score]]&gt;=79,"Distinction",IF(Table2[[#This Row],[Avg_score]]&gt;=60,"Pass","Fail"))</f>
        <v>Pass</v>
      </c>
      <c r="T991" t="s">
        <v>39</v>
      </c>
      <c r="U991">
        <f>IF(Table2[[#This Row],[Completed]]="Yes",1,0)</f>
        <v>1</v>
      </c>
      <c r="V991" t="s">
        <v>39</v>
      </c>
      <c r="W991" t="s">
        <v>40</v>
      </c>
      <c r="X991" s="4">
        <v>45838</v>
      </c>
    </row>
    <row r="992" spans="1:24" x14ac:dyDescent="0.3">
      <c r="A992">
        <v>991</v>
      </c>
      <c r="B992" s="8">
        <v>331</v>
      </c>
      <c r="C992">
        <v>1</v>
      </c>
      <c r="D992" t="s">
        <v>19</v>
      </c>
      <c r="E992" t="s">
        <v>22</v>
      </c>
      <c r="F992">
        <v>29</v>
      </c>
      <c r="G992" t="str">
        <f>IF(Table2[[#This Row],[Age]]&gt;=30,"Experienced",IF(Table2[[#This Row],[Age]]&gt;=25,"Mid Level", "Entry Level"))</f>
        <v>Mid Level</v>
      </c>
      <c r="H992" t="s">
        <v>27</v>
      </c>
      <c r="I992" t="s">
        <v>44</v>
      </c>
      <c r="J992" s="4">
        <v>45770</v>
      </c>
      <c r="K992" s="4" t="str">
        <f>TEXT(Table2[[#This Row],[Enrollment_date]],"Mmm")</f>
        <v>Apr</v>
      </c>
      <c r="L992" s="4" t="str">
        <f>TEXT(Table2[[#This Row],[Enrollment_date]],"Ddd")</f>
        <v>Wed</v>
      </c>
      <c r="M992" s="4" t="s">
        <v>34</v>
      </c>
      <c r="N992" t="s">
        <v>35</v>
      </c>
      <c r="O992" t="s">
        <v>38</v>
      </c>
      <c r="P992" s="8">
        <v>4</v>
      </c>
      <c r="Q992" s="6">
        <v>0.83333333333333337</v>
      </c>
      <c r="R992" s="6">
        <v>74.5</v>
      </c>
      <c r="S992" s="6" t="str">
        <f>IF(Table2[[#This Row],[Avg_score]]&gt;=79,"Distinction",IF(Table2[[#This Row],[Avg_score]]&gt;=60,"Pass","Fail"))</f>
        <v>Pass</v>
      </c>
      <c r="T992" t="s">
        <v>39</v>
      </c>
      <c r="U992">
        <f>IF(Table2[[#This Row],[Completed]]="Yes",1,0)</f>
        <v>1</v>
      </c>
      <c r="V992" t="s">
        <v>39</v>
      </c>
      <c r="W992" t="s">
        <v>40</v>
      </c>
      <c r="X992" s="4">
        <v>45838</v>
      </c>
    </row>
    <row r="993" spans="1:24" x14ac:dyDescent="0.3">
      <c r="A993">
        <v>992</v>
      </c>
      <c r="B993" s="8">
        <v>331</v>
      </c>
      <c r="C993">
        <v>2</v>
      </c>
      <c r="D993" t="s">
        <v>19</v>
      </c>
      <c r="E993" t="s">
        <v>22</v>
      </c>
      <c r="F993">
        <v>29</v>
      </c>
      <c r="G993" t="str">
        <f>IF(Table2[[#This Row],[Age]]&gt;=30,"Experienced",IF(Table2[[#This Row],[Age]]&gt;=25,"Mid Level", "Entry Level"))</f>
        <v>Mid Level</v>
      </c>
      <c r="H993" t="s">
        <v>27</v>
      </c>
      <c r="I993" t="s">
        <v>44</v>
      </c>
      <c r="J993" s="4">
        <v>45770</v>
      </c>
      <c r="K993" s="4" t="str">
        <f>TEXT(Table2[[#This Row],[Enrollment_date]],"Mmm")</f>
        <v>Apr</v>
      </c>
      <c r="L993" s="4" t="str">
        <f>TEXT(Table2[[#This Row],[Enrollment_date]],"Ddd")</f>
        <v>Wed</v>
      </c>
      <c r="M993" s="4" t="s">
        <v>34</v>
      </c>
      <c r="N993" t="s">
        <v>36</v>
      </c>
      <c r="O993" t="s">
        <v>38</v>
      </c>
      <c r="P993" s="8">
        <v>4</v>
      </c>
      <c r="Q993" s="6">
        <v>0.8125</v>
      </c>
      <c r="R993" s="6">
        <v>76</v>
      </c>
      <c r="S993" s="6" t="str">
        <f>IF(Table2[[#This Row],[Avg_score]]&gt;=79,"Distinction",IF(Table2[[#This Row],[Avg_score]]&gt;=60,"Pass","Fail"))</f>
        <v>Pass</v>
      </c>
      <c r="T993" t="s">
        <v>39</v>
      </c>
      <c r="U993">
        <f>IF(Table2[[#This Row],[Completed]]="Yes",1,0)</f>
        <v>1</v>
      </c>
      <c r="V993" t="s">
        <v>39</v>
      </c>
      <c r="W993" t="s">
        <v>40</v>
      </c>
      <c r="X993" s="4">
        <v>45838</v>
      </c>
    </row>
    <row r="994" spans="1:24" x14ac:dyDescent="0.3">
      <c r="A994">
        <v>993</v>
      </c>
      <c r="B994" s="8">
        <v>331</v>
      </c>
      <c r="C994">
        <v>3</v>
      </c>
      <c r="D994" t="s">
        <v>20</v>
      </c>
      <c r="E994" t="s">
        <v>22</v>
      </c>
      <c r="F994">
        <v>29</v>
      </c>
      <c r="G994" t="str">
        <f>IF(Table2[[#This Row],[Age]]&gt;=30,"Experienced",IF(Table2[[#This Row],[Age]]&gt;=25,"Mid Level", "Entry Level"))</f>
        <v>Mid Level</v>
      </c>
      <c r="H994" t="s">
        <v>27</v>
      </c>
      <c r="I994" t="s">
        <v>44</v>
      </c>
      <c r="J994" s="4">
        <v>45770</v>
      </c>
      <c r="K994" s="4" t="str">
        <f>TEXT(Table2[[#This Row],[Enrollment_date]],"Mmm")</f>
        <v>Apr</v>
      </c>
      <c r="L994" s="4" t="str">
        <f>TEXT(Table2[[#This Row],[Enrollment_date]],"Ddd")</f>
        <v>Wed</v>
      </c>
      <c r="M994" s="4" t="s">
        <v>34</v>
      </c>
      <c r="N994" t="s">
        <v>37</v>
      </c>
      <c r="O994" t="s">
        <v>38</v>
      </c>
      <c r="P994" s="8">
        <v>4</v>
      </c>
      <c r="Q994" s="6">
        <v>0.8125</v>
      </c>
      <c r="R994" s="6">
        <v>80</v>
      </c>
      <c r="S994" s="6" t="str">
        <f>IF(Table2[[#This Row],[Avg_score]]&gt;=79,"Distinction",IF(Table2[[#This Row],[Avg_score]]&gt;=60,"Pass","Fail"))</f>
        <v>Distinction</v>
      </c>
      <c r="T994" t="s">
        <v>39</v>
      </c>
      <c r="U994">
        <f>IF(Table2[[#This Row],[Completed]]="Yes",1,0)</f>
        <v>1</v>
      </c>
      <c r="V994" t="s">
        <v>39</v>
      </c>
      <c r="W994" t="s">
        <v>40</v>
      </c>
      <c r="X994" s="4">
        <v>45838</v>
      </c>
    </row>
    <row r="995" spans="1:24" x14ac:dyDescent="0.3">
      <c r="A995">
        <v>994</v>
      </c>
      <c r="B995" s="8">
        <v>332</v>
      </c>
      <c r="C995">
        <v>1</v>
      </c>
      <c r="D995" t="s">
        <v>21</v>
      </c>
      <c r="E995" t="s">
        <v>23</v>
      </c>
      <c r="F995">
        <v>28</v>
      </c>
      <c r="G995" t="str">
        <f>IF(Table2[[#This Row],[Age]]&gt;=30,"Experienced",IF(Table2[[#This Row],[Age]]&gt;=25,"Mid Level", "Entry Level"))</f>
        <v>Mid Level</v>
      </c>
      <c r="H995" t="s">
        <v>28</v>
      </c>
      <c r="I995" t="s">
        <v>44</v>
      </c>
      <c r="J995" s="4">
        <v>45785</v>
      </c>
      <c r="K995" s="4" t="str">
        <f>TEXT(Table2[[#This Row],[Enrollment_date]],"Mmm")</f>
        <v>May</v>
      </c>
      <c r="L995" s="4" t="str">
        <f>TEXT(Table2[[#This Row],[Enrollment_date]],"Ddd")</f>
        <v>Thu</v>
      </c>
      <c r="M995" s="4" t="s">
        <v>34</v>
      </c>
      <c r="N995" t="s">
        <v>35</v>
      </c>
      <c r="O995" t="s">
        <v>38</v>
      </c>
      <c r="P995" s="8">
        <v>4</v>
      </c>
      <c r="Q995" s="6">
        <v>0.8125</v>
      </c>
      <c r="R995" s="6">
        <v>79.5</v>
      </c>
      <c r="S995" s="6" t="str">
        <f>IF(Table2[[#This Row],[Avg_score]]&gt;=79,"Distinction",IF(Table2[[#This Row],[Avg_score]]&gt;=60,"Pass","Fail"))</f>
        <v>Distinction</v>
      </c>
      <c r="T995" t="s">
        <v>39</v>
      </c>
      <c r="U995">
        <f>IF(Table2[[#This Row],[Completed]]="Yes",1,0)</f>
        <v>1</v>
      </c>
      <c r="V995" t="s">
        <v>39</v>
      </c>
      <c r="W995" t="s">
        <v>39</v>
      </c>
      <c r="X995" s="4">
        <v>45838</v>
      </c>
    </row>
    <row r="996" spans="1:24" x14ac:dyDescent="0.3">
      <c r="A996">
        <v>995</v>
      </c>
      <c r="B996" s="8">
        <v>332</v>
      </c>
      <c r="C996">
        <v>2</v>
      </c>
      <c r="D996" t="s">
        <v>19</v>
      </c>
      <c r="E996" t="s">
        <v>23</v>
      </c>
      <c r="F996">
        <v>28</v>
      </c>
      <c r="G996" t="str">
        <f>IF(Table2[[#This Row],[Age]]&gt;=30,"Experienced",IF(Table2[[#This Row],[Age]]&gt;=25,"Mid Level", "Entry Level"))</f>
        <v>Mid Level</v>
      </c>
      <c r="H996" t="s">
        <v>28</v>
      </c>
      <c r="I996" t="s">
        <v>44</v>
      </c>
      <c r="J996" s="4">
        <v>45785</v>
      </c>
      <c r="K996" s="4" t="str">
        <f>TEXT(Table2[[#This Row],[Enrollment_date]],"Mmm")</f>
        <v>May</v>
      </c>
      <c r="L996" s="4" t="str">
        <f>TEXT(Table2[[#This Row],[Enrollment_date]],"Ddd")</f>
        <v>Thu</v>
      </c>
      <c r="M996" s="4" t="s">
        <v>34</v>
      </c>
      <c r="N996" t="s">
        <v>36</v>
      </c>
      <c r="O996" t="s">
        <v>38</v>
      </c>
      <c r="P996" s="8">
        <v>4</v>
      </c>
      <c r="Q996" s="6">
        <v>0.875</v>
      </c>
      <c r="R996" s="6">
        <v>82.5</v>
      </c>
      <c r="S996" s="6" t="str">
        <f>IF(Table2[[#This Row],[Avg_score]]&gt;=79,"Distinction",IF(Table2[[#This Row],[Avg_score]]&gt;=60,"Pass","Fail"))</f>
        <v>Distinction</v>
      </c>
      <c r="T996" t="s">
        <v>39</v>
      </c>
      <c r="U996">
        <f>IF(Table2[[#This Row],[Completed]]="Yes",1,0)</f>
        <v>1</v>
      </c>
      <c r="V996" t="s">
        <v>39</v>
      </c>
      <c r="W996" t="s">
        <v>39</v>
      </c>
      <c r="X996" s="4">
        <v>45838</v>
      </c>
    </row>
    <row r="997" spans="1:24" x14ac:dyDescent="0.3">
      <c r="A997">
        <v>996</v>
      </c>
      <c r="B997" s="8">
        <v>332</v>
      </c>
      <c r="C997">
        <v>3</v>
      </c>
      <c r="D997" t="s">
        <v>20</v>
      </c>
      <c r="E997" t="s">
        <v>23</v>
      </c>
      <c r="F997">
        <v>28</v>
      </c>
      <c r="G997" t="str">
        <f>IF(Table2[[#This Row],[Age]]&gt;=30,"Experienced",IF(Table2[[#This Row],[Age]]&gt;=25,"Mid Level", "Entry Level"))</f>
        <v>Mid Level</v>
      </c>
      <c r="H997" t="s">
        <v>28</v>
      </c>
      <c r="I997" t="s">
        <v>44</v>
      </c>
      <c r="J997" s="4">
        <v>45785</v>
      </c>
      <c r="K997" s="4" t="str">
        <f>TEXT(Table2[[#This Row],[Enrollment_date]],"Mmm")</f>
        <v>May</v>
      </c>
      <c r="L997" s="4" t="str">
        <f>TEXT(Table2[[#This Row],[Enrollment_date]],"Ddd")</f>
        <v>Thu</v>
      </c>
      <c r="M997" s="4" t="s">
        <v>34</v>
      </c>
      <c r="N997" t="s">
        <v>37</v>
      </c>
      <c r="O997" t="s">
        <v>38</v>
      </c>
      <c r="P997" s="8">
        <v>4</v>
      </c>
      <c r="Q997" s="6">
        <v>0.70833333333333337</v>
      </c>
      <c r="R997" s="6">
        <v>94</v>
      </c>
      <c r="S997" s="6" t="str">
        <f>IF(Table2[[#This Row],[Avg_score]]&gt;=79,"Distinction",IF(Table2[[#This Row],[Avg_score]]&gt;=60,"Pass","Fail"))</f>
        <v>Distinction</v>
      </c>
      <c r="T997" t="s">
        <v>39</v>
      </c>
      <c r="U997">
        <f>IF(Table2[[#This Row],[Completed]]="Yes",1,0)</f>
        <v>1</v>
      </c>
      <c r="V997" t="s">
        <v>39</v>
      </c>
      <c r="W997" t="s">
        <v>39</v>
      </c>
      <c r="X997" s="4">
        <v>45838</v>
      </c>
    </row>
    <row r="998" spans="1:24" x14ac:dyDescent="0.3">
      <c r="A998">
        <v>997</v>
      </c>
      <c r="B998" s="8">
        <v>333</v>
      </c>
      <c r="C998">
        <v>1</v>
      </c>
      <c r="D998" t="s">
        <v>20</v>
      </c>
      <c r="E998" t="s">
        <v>23</v>
      </c>
      <c r="F998">
        <v>34</v>
      </c>
      <c r="G998" t="str">
        <f>IF(Table2[[#This Row],[Age]]&gt;=30,"Experienced",IF(Table2[[#This Row],[Age]]&gt;=25,"Mid Level", "Entry Level"))</f>
        <v>Experienced</v>
      </c>
      <c r="H998" t="s">
        <v>29</v>
      </c>
      <c r="I998" t="s">
        <v>68</v>
      </c>
      <c r="J998" s="4">
        <v>45766</v>
      </c>
      <c r="K998" s="4" t="str">
        <f>TEXT(Table2[[#This Row],[Enrollment_date]],"Mmm")</f>
        <v>Apr</v>
      </c>
      <c r="L998" s="4" t="str">
        <f>TEXT(Table2[[#This Row],[Enrollment_date]],"Ddd")</f>
        <v>Sat</v>
      </c>
      <c r="M998" s="4" t="s">
        <v>34</v>
      </c>
      <c r="N998" t="s">
        <v>35</v>
      </c>
      <c r="O998" t="s">
        <v>38</v>
      </c>
      <c r="P998" s="8">
        <v>4</v>
      </c>
      <c r="Q998" s="6">
        <v>0.8125</v>
      </c>
      <c r="R998" s="6">
        <v>71.5</v>
      </c>
      <c r="S998" s="6" t="str">
        <f>IF(Table2[[#This Row],[Avg_score]]&gt;=79,"Distinction",IF(Table2[[#This Row],[Avg_score]]&gt;=60,"Pass","Fail"))</f>
        <v>Pass</v>
      </c>
      <c r="T998" t="s">
        <v>40</v>
      </c>
      <c r="U998">
        <f>IF(Table2[[#This Row],[Completed]]="Yes",1,0)</f>
        <v>0</v>
      </c>
      <c r="V998" t="s">
        <v>40</v>
      </c>
      <c r="W998" t="s">
        <v>40</v>
      </c>
      <c r="X998" s="4">
        <v>45838</v>
      </c>
    </row>
    <row r="999" spans="1:24" x14ac:dyDescent="0.3">
      <c r="A999">
        <v>998</v>
      </c>
      <c r="B999" s="8">
        <v>333</v>
      </c>
      <c r="C999">
        <v>2</v>
      </c>
      <c r="D999" t="s">
        <v>19</v>
      </c>
      <c r="E999" t="s">
        <v>23</v>
      </c>
      <c r="F999">
        <v>34</v>
      </c>
      <c r="G999" t="str">
        <f>IF(Table2[[#This Row],[Age]]&gt;=30,"Experienced",IF(Table2[[#This Row],[Age]]&gt;=25,"Mid Level", "Entry Level"))</f>
        <v>Experienced</v>
      </c>
      <c r="H999" t="s">
        <v>29</v>
      </c>
      <c r="I999" t="s">
        <v>68</v>
      </c>
      <c r="J999" s="4">
        <v>45766</v>
      </c>
      <c r="K999" s="4" t="str">
        <f>TEXT(Table2[[#This Row],[Enrollment_date]],"Mmm")</f>
        <v>Apr</v>
      </c>
      <c r="L999" s="4" t="str">
        <f>TEXT(Table2[[#This Row],[Enrollment_date]],"Ddd")</f>
        <v>Sat</v>
      </c>
      <c r="M999" s="4" t="s">
        <v>34</v>
      </c>
      <c r="N999" t="s">
        <v>36</v>
      </c>
      <c r="O999" t="s">
        <v>38</v>
      </c>
      <c r="P999" s="8">
        <v>4</v>
      </c>
      <c r="Q999" s="6">
        <v>0.83333333333333337</v>
      </c>
      <c r="R999" s="6">
        <v>73.5</v>
      </c>
      <c r="S999" s="6" t="str">
        <f>IF(Table2[[#This Row],[Avg_score]]&gt;=79,"Distinction",IF(Table2[[#This Row],[Avg_score]]&gt;=60,"Pass","Fail"))</f>
        <v>Pass</v>
      </c>
      <c r="T999" t="s">
        <v>40</v>
      </c>
      <c r="U999">
        <f>IF(Table2[[#This Row],[Completed]]="Yes",1,0)</f>
        <v>0</v>
      </c>
      <c r="V999" t="s">
        <v>40</v>
      </c>
      <c r="W999" t="s">
        <v>40</v>
      </c>
      <c r="X999" s="4">
        <v>45838</v>
      </c>
    </row>
    <row r="1000" spans="1:24" x14ac:dyDescent="0.3">
      <c r="A1000">
        <v>999</v>
      </c>
      <c r="B1000" s="8">
        <v>333</v>
      </c>
      <c r="C1000">
        <v>3</v>
      </c>
      <c r="D1000" t="s">
        <v>21</v>
      </c>
      <c r="E1000" t="s">
        <v>23</v>
      </c>
      <c r="F1000">
        <v>34</v>
      </c>
      <c r="G1000" t="str">
        <f>IF(Table2[[#This Row],[Age]]&gt;=30,"Experienced",IF(Table2[[#This Row],[Age]]&gt;=25,"Mid Level", "Entry Level"))</f>
        <v>Experienced</v>
      </c>
      <c r="H1000" t="s">
        <v>29</v>
      </c>
      <c r="I1000" t="s">
        <v>68</v>
      </c>
      <c r="J1000" s="4">
        <v>45766</v>
      </c>
      <c r="K1000" s="4" t="str">
        <f>TEXT(Table2[[#This Row],[Enrollment_date]],"Mmm")</f>
        <v>Apr</v>
      </c>
      <c r="L1000" s="4" t="str">
        <f>TEXT(Table2[[#This Row],[Enrollment_date]],"Ddd")</f>
        <v>Sat</v>
      </c>
      <c r="M1000" s="4" t="s">
        <v>34</v>
      </c>
      <c r="N1000" t="s">
        <v>37</v>
      </c>
      <c r="O1000" t="s">
        <v>38</v>
      </c>
      <c r="P1000" s="8">
        <v>4</v>
      </c>
      <c r="Q1000" s="6">
        <v>0.79166666666666663</v>
      </c>
      <c r="R1000" s="6">
        <v>87.5</v>
      </c>
      <c r="S1000" s="6" t="str">
        <f>IF(Table2[[#This Row],[Avg_score]]&gt;=79,"Distinction",IF(Table2[[#This Row],[Avg_score]]&gt;=60,"Pass","Fail"))</f>
        <v>Distinction</v>
      </c>
      <c r="T1000" t="s">
        <v>40</v>
      </c>
      <c r="U1000">
        <f>IF(Table2[[#This Row],[Completed]]="Yes",1,0)</f>
        <v>0</v>
      </c>
      <c r="V1000" t="s">
        <v>40</v>
      </c>
      <c r="W1000" t="s">
        <v>40</v>
      </c>
      <c r="X1000" s="4">
        <v>45838</v>
      </c>
    </row>
    <row r="1001" spans="1:24" x14ac:dyDescent="0.3">
      <c r="A1001">
        <v>1000</v>
      </c>
      <c r="B1001" s="8">
        <v>334</v>
      </c>
      <c r="C1001">
        <v>1</v>
      </c>
      <c r="D1001" t="s">
        <v>19</v>
      </c>
      <c r="E1001" t="s">
        <v>22</v>
      </c>
      <c r="F1001">
        <v>31</v>
      </c>
      <c r="G1001" t="str">
        <f>IF(Table2[[#This Row],[Age]]&gt;=30,"Experienced",IF(Table2[[#This Row],[Age]]&gt;=25,"Mid Level", "Entry Level"))</f>
        <v>Experienced</v>
      </c>
      <c r="H1001" t="s">
        <v>26</v>
      </c>
      <c r="I1001" t="s">
        <v>32</v>
      </c>
      <c r="J1001" s="4">
        <v>45797</v>
      </c>
      <c r="K1001" s="4" t="str">
        <f>TEXT(Table2[[#This Row],[Enrollment_date]],"Mmm")</f>
        <v>May</v>
      </c>
      <c r="L1001" s="4" t="str">
        <f>TEXT(Table2[[#This Row],[Enrollment_date]],"Ddd")</f>
        <v>Tue</v>
      </c>
      <c r="M1001" s="4" t="s">
        <v>34</v>
      </c>
      <c r="N1001" t="s">
        <v>35</v>
      </c>
      <c r="O1001" t="s">
        <v>38</v>
      </c>
      <c r="P1001" s="8">
        <v>4</v>
      </c>
      <c r="Q1001" s="6">
        <v>0.95833333333333337</v>
      </c>
      <c r="R1001" s="6">
        <v>56.5</v>
      </c>
      <c r="S1001" s="6" t="str">
        <f>IF(Table2[[#This Row],[Avg_score]]&gt;=79,"Distinction",IF(Table2[[#This Row],[Avg_score]]&gt;=60,"Pass","Fail"))</f>
        <v>Fail</v>
      </c>
      <c r="T1001" t="s">
        <v>40</v>
      </c>
      <c r="U1001">
        <f>IF(Table2[[#This Row],[Completed]]="Yes",1,0)</f>
        <v>0</v>
      </c>
      <c r="V1001" t="s">
        <v>40</v>
      </c>
      <c r="W1001" t="s">
        <v>40</v>
      </c>
      <c r="X1001" s="4">
        <v>45838</v>
      </c>
    </row>
    <row r="1002" spans="1:24" x14ac:dyDescent="0.3">
      <c r="A1002">
        <v>1001</v>
      </c>
      <c r="B1002" s="8">
        <v>334</v>
      </c>
      <c r="C1002">
        <v>2</v>
      </c>
      <c r="D1002" t="s">
        <v>20</v>
      </c>
      <c r="E1002" t="s">
        <v>22</v>
      </c>
      <c r="F1002">
        <v>31</v>
      </c>
      <c r="G1002" t="str">
        <f>IF(Table2[[#This Row],[Age]]&gt;=30,"Experienced",IF(Table2[[#This Row],[Age]]&gt;=25,"Mid Level", "Entry Level"))</f>
        <v>Experienced</v>
      </c>
      <c r="H1002" t="s">
        <v>26</v>
      </c>
      <c r="I1002" t="s">
        <v>32</v>
      </c>
      <c r="J1002" s="4">
        <v>45797</v>
      </c>
      <c r="K1002" s="4" t="str">
        <f>TEXT(Table2[[#This Row],[Enrollment_date]],"Mmm")</f>
        <v>May</v>
      </c>
      <c r="L1002" s="4" t="str">
        <f>TEXT(Table2[[#This Row],[Enrollment_date]],"Ddd")</f>
        <v>Tue</v>
      </c>
      <c r="M1002" s="4" t="s">
        <v>34</v>
      </c>
      <c r="N1002" t="s">
        <v>36</v>
      </c>
      <c r="O1002" t="s">
        <v>38</v>
      </c>
      <c r="P1002" s="8">
        <v>4</v>
      </c>
      <c r="Q1002" s="6">
        <v>0.79166666666666663</v>
      </c>
      <c r="R1002" s="6">
        <v>52</v>
      </c>
      <c r="S1002" s="6" t="str">
        <f>IF(Table2[[#This Row],[Avg_score]]&gt;=79,"Distinction",IF(Table2[[#This Row],[Avg_score]]&gt;=60,"Pass","Fail"))</f>
        <v>Fail</v>
      </c>
      <c r="T1002" t="s">
        <v>40</v>
      </c>
      <c r="U1002">
        <f>IF(Table2[[#This Row],[Completed]]="Yes",1,0)</f>
        <v>0</v>
      </c>
      <c r="V1002" t="s">
        <v>40</v>
      </c>
      <c r="W1002" t="s">
        <v>40</v>
      </c>
      <c r="X1002" s="4">
        <v>45838</v>
      </c>
    </row>
    <row r="1003" spans="1:24" x14ac:dyDescent="0.3">
      <c r="A1003">
        <v>1002</v>
      </c>
      <c r="B1003" s="8">
        <v>334</v>
      </c>
      <c r="C1003">
        <v>3</v>
      </c>
      <c r="D1003" t="s">
        <v>19</v>
      </c>
      <c r="E1003" t="s">
        <v>22</v>
      </c>
      <c r="F1003">
        <v>31</v>
      </c>
      <c r="G1003" t="str">
        <f>IF(Table2[[#This Row],[Age]]&gt;=30,"Experienced",IF(Table2[[#This Row],[Age]]&gt;=25,"Mid Level", "Entry Level"))</f>
        <v>Experienced</v>
      </c>
      <c r="H1003" t="s">
        <v>26</v>
      </c>
      <c r="I1003" t="s">
        <v>32</v>
      </c>
      <c r="J1003" s="4">
        <v>45797</v>
      </c>
      <c r="K1003" s="4" t="str">
        <f>TEXT(Table2[[#This Row],[Enrollment_date]],"Mmm")</f>
        <v>May</v>
      </c>
      <c r="L1003" s="4" t="str">
        <f>TEXT(Table2[[#This Row],[Enrollment_date]],"Ddd")</f>
        <v>Tue</v>
      </c>
      <c r="M1003" s="4" t="s">
        <v>34</v>
      </c>
      <c r="N1003" t="s">
        <v>37</v>
      </c>
      <c r="O1003" t="s">
        <v>38</v>
      </c>
      <c r="P1003" s="8">
        <v>4</v>
      </c>
      <c r="Q1003" s="6">
        <v>0.77083333333333337</v>
      </c>
      <c r="R1003" s="6">
        <v>79.5</v>
      </c>
      <c r="S1003" s="6" t="str">
        <f>IF(Table2[[#This Row],[Avg_score]]&gt;=79,"Distinction",IF(Table2[[#This Row],[Avg_score]]&gt;=60,"Pass","Fail"))</f>
        <v>Distinction</v>
      </c>
      <c r="T1003" t="s">
        <v>40</v>
      </c>
      <c r="U1003">
        <f>IF(Table2[[#This Row],[Completed]]="Yes",1,0)</f>
        <v>0</v>
      </c>
      <c r="V1003" t="s">
        <v>40</v>
      </c>
      <c r="W1003" t="s">
        <v>40</v>
      </c>
      <c r="X1003" s="4">
        <v>45838</v>
      </c>
    </row>
    <row r="1004" spans="1:24" x14ac:dyDescent="0.3">
      <c r="A1004">
        <v>1003</v>
      </c>
      <c r="B1004" s="8">
        <v>335</v>
      </c>
      <c r="C1004">
        <v>1</v>
      </c>
      <c r="D1004" t="s">
        <v>19</v>
      </c>
      <c r="E1004" t="s">
        <v>23</v>
      </c>
      <c r="F1004">
        <v>28</v>
      </c>
      <c r="G1004" t="str">
        <f>IF(Table2[[#This Row],[Age]]&gt;=30,"Experienced",IF(Table2[[#This Row],[Age]]&gt;=25,"Mid Level", "Entry Level"))</f>
        <v>Mid Level</v>
      </c>
      <c r="H1004" t="s">
        <v>25</v>
      </c>
      <c r="I1004" t="s">
        <v>68</v>
      </c>
      <c r="J1004" s="4">
        <v>45741</v>
      </c>
      <c r="K1004" s="4" t="str">
        <f>TEXT(Table2[[#This Row],[Enrollment_date]],"Mmm")</f>
        <v>Mar</v>
      </c>
      <c r="L1004" s="4" t="str">
        <f>TEXT(Table2[[#This Row],[Enrollment_date]],"Ddd")</f>
        <v>Tue</v>
      </c>
      <c r="M1004" s="4" t="s">
        <v>34</v>
      </c>
      <c r="N1004" t="s">
        <v>35</v>
      </c>
      <c r="O1004" t="s">
        <v>38</v>
      </c>
      <c r="P1004" s="8">
        <v>4</v>
      </c>
      <c r="Q1004" s="6">
        <v>0.79166666666666663</v>
      </c>
      <c r="R1004" s="6">
        <v>80.5</v>
      </c>
      <c r="S1004" s="6" t="str">
        <f>IF(Table2[[#This Row],[Avg_score]]&gt;=79,"Distinction",IF(Table2[[#This Row],[Avg_score]]&gt;=60,"Pass","Fail"))</f>
        <v>Distinction</v>
      </c>
      <c r="T1004" t="s">
        <v>39</v>
      </c>
      <c r="U1004">
        <f>IF(Table2[[#This Row],[Completed]]="Yes",1,0)</f>
        <v>1</v>
      </c>
      <c r="V1004" t="s">
        <v>39</v>
      </c>
      <c r="W1004" t="s">
        <v>40</v>
      </c>
      <c r="X1004" s="4">
        <v>45838</v>
      </c>
    </row>
    <row r="1005" spans="1:24" x14ac:dyDescent="0.3">
      <c r="A1005">
        <v>1004</v>
      </c>
      <c r="B1005" s="8">
        <v>335</v>
      </c>
      <c r="C1005">
        <v>2</v>
      </c>
      <c r="D1005" t="s">
        <v>19</v>
      </c>
      <c r="E1005" t="s">
        <v>23</v>
      </c>
      <c r="F1005">
        <v>28</v>
      </c>
      <c r="G1005" t="str">
        <f>IF(Table2[[#This Row],[Age]]&gt;=30,"Experienced",IF(Table2[[#This Row],[Age]]&gt;=25,"Mid Level", "Entry Level"))</f>
        <v>Mid Level</v>
      </c>
      <c r="H1005" t="s">
        <v>25</v>
      </c>
      <c r="I1005" t="s">
        <v>68</v>
      </c>
      <c r="J1005" s="4">
        <v>45741</v>
      </c>
      <c r="K1005" s="4" t="str">
        <f>TEXT(Table2[[#This Row],[Enrollment_date]],"Mmm")</f>
        <v>Mar</v>
      </c>
      <c r="L1005" s="4" t="str">
        <f>TEXT(Table2[[#This Row],[Enrollment_date]],"Ddd")</f>
        <v>Tue</v>
      </c>
      <c r="M1005" s="4" t="s">
        <v>34</v>
      </c>
      <c r="N1005" t="s">
        <v>36</v>
      </c>
      <c r="O1005" t="s">
        <v>38</v>
      </c>
      <c r="P1005" s="8">
        <v>4</v>
      </c>
      <c r="Q1005" s="6">
        <v>0.79166666666666663</v>
      </c>
      <c r="R1005" s="6">
        <v>67.5</v>
      </c>
      <c r="S1005" s="6" t="str">
        <f>IF(Table2[[#This Row],[Avg_score]]&gt;=79,"Distinction",IF(Table2[[#This Row],[Avg_score]]&gt;=60,"Pass","Fail"))</f>
        <v>Pass</v>
      </c>
      <c r="T1005" t="s">
        <v>39</v>
      </c>
      <c r="U1005">
        <f>IF(Table2[[#This Row],[Completed]]="Yes",1,0)</f>
        <v>1</v>
      </c>
      <c r="V1005" t="s">
        <v>39</v>
      </c>
      <c r="W1005" t="s">
        <v>40</v>
      </c>
      <c r="X1005" s="4">
        <v>45838</v>
      </c>
    </row>
    <row r="1006" spans="1:24" x14ac:dyDescent="0.3">
      <c r="A1006">
        <v>1005</v>
      </c>
      <c r="B1006" s="8">
        <v>335</v>
      </c>
      <c r="C1006">
        <v>3</v>
      </c>
      <c r="D1006" t="s">
        <v>21</v>
      </c>
      <c r="E1006" t="s">
        <v>23</v>
      </c>
      <c r="F1006">
        <v>28</v>
      </c>
      <c r="G1006" t="str">
        <f>IF(Table2[[#This Row],[Age]]&gt;=30,"Experienced",IF(Table2[[#This Row],[Age]]&gt;=25,"Mid Level", "Entry Level"))</f>
        <v>Mid Level</v>
      </c>
      <c r="H1006" t="s">
        <v>25</v>
      </c>
      <c r="I1006" t="s">
        <v>68</v>
      </c>
      <c r="J1006" s="4">
        <v>45741</v>
      </c>
      <c r="K1006" s="4" t="str">
        <f>TEXT(Table2[[#This Row],[Enrollment_date]],"Mmm")</f>
        <v>Mar</v>
      </c>
      <c r="L1006" s="4" t="str">
        <f>TEXT(Table2[[#This Row],[Enrollment_date]],"Ddd")</f>
        <v>Tue</v>
      </c>
      <c r="M1006" s="4" t="s">
        <v>34</v>
      </c>
      <c r="N1006" t="s">
        <v>37</v>
      </c>
      <c r="O1006" t="s">
        <v>38</v>
      </c>
      <c r="P1006" s="8">
        <v>4</v>
      </c>
      <c r="Q1006" s="6">
        <v>0.875</v>
      </c>
      <c r="R1006" s="6">
        <v>58.5</v>
      </c>
      <c r="S1006" s="6" t="str">
        <f>IF(Table2[[#This Row],[Avg_score]]&gt;=79,"Distinction",IF(Table2[[#This Row],[Avg_score]]&gt;=60,"Pass","Fail"))</f>
        <v>Fail</v>
      </c>
      <c r="T1006" t="s">
        <v>39</v>
      </c>
      <c r="U1006">
        <f>IF(Table2[[#This Row],[Completed]]="Yes",1,0)</f>
        <v>1</v>
      </c>
      <c r="V1006" t="s">
        <v>39</v>
      </c>
      <c r="W1006" t="s">
        <v>40</v>
      </c>
      <c r="X1006" s="4">
        <v>45838</v>
      </c>
    </row>
    <row r="1007" spans="1:24" x14ac:dyDescent="0.3">
      <c r="A1007">
        <v>1006</v>
      </c>
      <c r="B1007" s="8">
        <v>336</v>
      </c>
      <c r="C1007">
        <v>1</v>
      </c>
      <c r="D1007" t="s">
        <v>19</v>
      </c>
      <c r="E1007" t="s">
        <v>23</v>
      </c>
      <c r="F1007">
        <v>27</v>
      </c>
      <c r="G1007" t="str">
        <f>IF(Table2[[#This Row],[Age]]&gt;=30,"Experienced",IF(Table2[[#This Row],[Age]]&gt;=25,"Mid Level", "Entry Level"))</f>
        <v>Mid Level</v>
      </c>
      <c r="H1007" t="s">
        <v>27</v>
      </c>
      <c r="I1007" t="s">
        <v>44</v>
      </c>
      <c r="J1007" s="4">
        <v>45700</v>
      </c>
      <c r="K1007" s="4" t="str">
        <f>TEXT(Table2[[#This Row],[Enrollment_date]],"Mmm")</f>
        <v>Feb</v>
      </c>
      <c r="L1007" s="4" t="str">
        <f>TEXT(Table2[[#This Row],[Enrollment_date]],"Ddd")</f>
        <v>Wed</v>
      </c>
      <c r="M1007" s="4" t="s">
        <v>34</v>
      </c>
      <c r="N1007" t="s">
        <v>35</v>
      </c>
      <c r="O1007" t="s">
        <v>38</v>
      </c>
      <c r="P1007" s="8">
        <v>4</v>
      </c>
      <c r="Q1007" s="6">
        <v>0.875</v>
      </c>
      <c r="R1007" s="6">
        <v>75</v>
      </c>
      <c r="S1007" s="6" t="str">
        <f>IF(Table2[[#This Row],[Avg_score]]&gt;=79,"Distinction",IF(Table2[[#This Row],[Avg_score]]&gt;=60,"Pass","Fail"))</f>
        <v>Pass</v>
      </c>
      <c r="T1007" t="s">
        <v>39</v>
      </c>
      <c r="U1007">
        <f>IF(Table2[[#This Row],[Completed]]="Yes",1,0)</f>
        <v>1</v>
      </c>
      <c r="V1007" t="s">
        <v>40</v>
      </c>
      <c r="W1007" t="s">
        <v>39</v>
      </c>
      <c r="X1007" s="4">
        <v>45838</v>
      </c>
    </row>
    <row r="1008" spans="1:24" x14ac:dyDescent="0.3">
      <c r="A1008">
        <v>1007</v>
      </c>
      <c r="B1008" s="8">
        <v>336</v>
      </c>
      <c r="C1008">
        <v>2</v>
      </c>
      <c r="D1008" t="s">
        <v>19</v>
      </c>
      <c r="E1008" t="s">
        <v>23</v>
      </c>
      <c r="F1008">
        <v>27</v>
      </c>
      <c r="G1008" t="str">
        <f>IF(Table2[[#This Row],[Age]]&gt;=30,"Experienced",IF(Table2[[#This Row],[Age]]&gt;=25,"Mid Level", "Entry Level"))</f>
        <v>Mid Level</v>
      </c>
      <c r="H1008" t="s">
        <v>27</v>
      </c>
      <c r="I1008" t="s">
        <v>44</v>
      </c>
      <c r="J1008" s="4">
        <v>45700</v>
      </c>
      <c r="K1008" s="4" t="str">
        <f>TEXT(Table2[[#This Row],[Enrollment_date]],"Mmm")</f>
        <v>Feb</v>
      </c>
      <c r="L1008" s="4" t="str">
        <f>TEXT(Table2[[#This Row],[Enrollment_date]],"Ddd")</f>
        <v>Wed</v>
      </c>
      <c r="M1008" s="4" t="s">
        <v>34</v>
      </c>
      <c r="N1008" t="s">
        <v>36</v>
      </c>
      <c r="O1008" t="s">
        <v>38</v>
      </c>
      <c r="P1008" s="8">
        <v>4</v>
      </c>
      <c r="Q1008" s="6">
        <v>0.83333333333333337</v>
      </c>
      <c r="R1008" s="6">
        <v>84</v>
      </c>
      <c r="S1008" s="6" t="str">
        <f>IF(Table2[[#This Row],[Avg_score]]&gt;=79,"Distinction",IF(Table2[[#This Row],[Avg_score]]&gt;=60,"Pass","Fail"))</f>
        <v>Distinction</v>
      </c>
      <c r="T1008" t="s">
        <v>39</v>
      </c>
      <c r="U1008">
        <f>IF(Table2[[#This Row],[Completed]]="Yes",1,0)</f>
        <v>1</v>
      </c>
      <c r="V1008" t="s">
        <v>40</v>
      </c>
      <c r="W1008" t="s">
        <v>39</v>
      </c>
      <c r="X1008" s="4">
        <v>45838</v>
      </c>
    </row>
    <row r="1009" spans="1:24" x14ac:dyDescent="0.3">
      <c r="A1009">
        <v>1008</v>
      </c>
      <c r="B1009" s="8">
        <v>336</v>
      </c>
      <c r="C1009">
        <v>3</v>
      </c>
      <c r="D1009" t="s">
        <v>19</v>
      </c>
      <c r="E1009" t="s">
        <v>23</v>
      </c>
      <c r="F1009">
        <v>27</v>
      </c>
      <c r="G1009" t="str">
        <f>IF(Table2[[#This Row],[Age]]&gt;=30,"Experienced",IF(Table2[[#This Row],[Age]]&gt;=25,"Mid Level", "Entry Level"))</f>
        <v>Mid Level</v>
      </c>
      <c r="H1009" t="s">
        <v>27</v>
      </c>
      <c r="I1009" t="s">
        <v>44</v>
      </c>
      <c r="J1009" s="4">
        <v>45700</v>
      </c>
      <c r="K1009" s="4" t="str">
        <f>TEXT(Table2[[#This Row],[Enrollment_date]],"Mmm")</f>
        <v>Feb</v>
      </c>
      <c r="L1009" s="4" t="str">
        <f>TEXT(Table2[[#This Row],[Enrollment_date]],"Ddd")</f>
        <v>Wed</v>
      </c>
      <c r="M1009" s="4" t="s">
        <v>34</v>
      </c>
      <c r="N1009" t="s">
        <v>37</v>
      </c>
      <c r="O1009" t="s">
        <v>38</v>
      </c>
      <c r="P1009" s="8">
        <v>4</v>
      </c>
      <c r="Q1009" s="6">
        <v>0.875</v>
      </c>
      <c r="R1009" s="6">
        <v>68</v>
      </c>
      <c r="S1009" s="6" t="str">
        <f>IF(Table2[[#This Row],[Avg_score]]&gt;=79,"Distinction",IF(Table2[[#This Row],[Avg_score]]&gt;=60,"Pass","Fail"))</f>
        <v>Pass</v>
      </c>
      <c r="T1009" t="s">
        <v>39</v>
      </c>
      <c r="U1009">
        <f>IF(Table2[[#This Row],[Completed]]="Yes",1,0)</f>
        <v>1</v>
      </c>
      <c r="V1009" t="s">
        <v>40</v>
      </c>
      <c r="W1009" t="s">
        <v>39</v>
      </c>
      <c r="X1009" s="4">
        <v>45838</v>
      </c>
    </row>
    <row r="1010" spans="1:24" x14ac:dyDescent="0.3">
      <c r="A1010">
        <v>1009</v>
      </c>
      <c r="B1010" s="8">
        <v>337</v>
      </c>
      <c r="C1010">
        <v>1</v>
      </c>
      <c r="D1010" t="s">
        <v>20</v>
      </c>
      <c r="E1010" t="s">
        <v>23</v>
      </c>
      <c r="F1010">
        <v>29</v>
      </c>
      <c r="G1010" t="str">
        <f>IF(Table2[[#This Row],[Age]]&gt;=30,"Experienced",IF(Table2[[#This Row],[Age]]&gt;=25,"Mid Level", "Entry Level"))</f>
        <v>Mid Level</v>
      </c>
      <c r="H1010" t="s">
        <v>27</v>
      </c>
      <c r="I1010" t="s">
        <v>68</v>
      </c>
      <c r="J1010" s="4">
        <v>45748</v>
      </c>
      <c r="K1010" s="4" t="str">
        <f>TEXT(Table2[[#This Row],[Enrollment_date]],"Mmm")</f>
        <v>Apr</v>
      </c>
      <c r="L1010" s="4" t="str">
        <f>TEXT(Table2[[#This Row],[Enrollment_date]],"Ddd")</f>
        <v>Tue</v>
      </c>
      <c r="M1010" s="4" t="s">
        <v>34</v>
      </c>
      <c r="N1010" t="s">
        <v>35</v>
      </c>
      <c r="O1010" t="s">
        <v>38</v>
      </c>
      <c r="P1010" s="8">
        <v>4</v>
      </c>
      <c r="Q1010" s="6">
        <v>0.83333333333333337</v>
      </c>
      <c r="R1010" s="6">
        <v>69</v>
      </c>
      <c r="S1010" s="6" t="str">
        <f>IF(Table2[[#This Row],[Avg_score]]&gt;=79,"Distinction",IF(Table2[[#This Row],[Avg_score]]&gt;=60,"Pass","Fail"))</f>
        <v>Pass</v>
      </c>
      <c r="T1010" t="s">
        <v>40</v>
      </c>
      <c r="U1010">
        <f>IF(Table2[[#This Row],[Completed]]="Yes",1,0)</f>
        <v>0</v>
      </c>
      <c r="V1010" t="s">
        <v>40</v>
      </c>
      <c r="W1010" t="s">
        <v>40</v>
      </c>
      <c r="X1010" s="4">
        <v>45838</v>
      </c>
    </row>
    <row r="1011" spans="1:24" x14ac:dyDescent="0.3">
      <c r="A1011">
        <v>1010</v>
      </c>
      <c r="B1011" s="8">
        <v>337</v>
      </c>
      <c r="C1011">
        <v>2</v>
      </c>
      <c r="D1011" t="s">
        <v>19</v>
      </c>
      <c r="E1011" t="s">
        <v>23</v>
      </c>
      <c r="F1011">
        <v>29</v>
      </c>
      <c r="G1011" t="str">
        <f>IF(Table2[[#This Row],[Age]]&gt;=30,"Experienced",IF(Table2[[#This Row],[Age]]&gt;=25,"Mid Level", "Entry Level"))</f>
        <v>Mid Level</v>
      </c>
      <c r="H1011" t="s">
        <v>27</v>
      </c>
      <c r="I1011" t="s">
        <v>68</v>
      </c>
      <c r="J1011" s="4">
        <v>45748</v>
      </c>
      <c r="K1011" s="4" t="str">
        <f>TEXT(Table2[[#This Row],[Enrollment_date]],"Mmm")</f>
        <v>Apr</v>
      </c>
      <c r="L1011" s="4" t="str">
        <f>TEXT(Table2[[#This Row],[Enrollment_date]],"Ddd")</f>
        <v>Tue</v>
      </c>
      <c r="M1011" s="4" t="s">
        <v>34</v>
      </c>
      <c r="N1011" t="s">
        <v>36</v>
      </c>
      <c r="O1011" t="s">
        <v>38</v>
      </c>
      <c r="P1011" s="8">
        <v>4</v>
      </c>
      <c r="Q1011" s="6">
        <v>0.83333333333333337</v>
      </c>
      <c r="R1011" s="6">
        <v>68</v>
      </c>
      <c r="S1011" s="6" t="str">
        <f>IF(Table2[[#This Row],[Avg_score]]&gt;=79,"Distinction",IF(Table2[[#This Row],[Avg_score]]&gt;=60,"Pass","Fail"))</f>
        <v>Pass</v>
      </c>
      <c r="T1011" t="s">
        <v>40</v>
      </c>
      <c r="U1011">
        <f>IF(Table2[[#This Row],[Completed]]="Yes",1,0)</f>
        <v>0</v>
      </c>
      <c r="V1011" t="s">
        <v>40</v>
      </c>
      <c r="W1011" t="s">
        <v>40</v>
      </c>
      <c r="X1011" s="4">
        <v>45838</v>
      </c>
    </row>
    <row r="1012" spans="1:24" x14ac:dyDescent="0.3">
      <c r="A1012">
        <v>1011</v>
      </c>
      <c r="B1012" s="8">
        <v>337</v>
      </c>
      <c r="C1012">
        <v>3</v>
      </c>
      <c r="D1012" t="s">
        <v>19</v>
      </c>
      <c r="E1012" t="s">
        <v>23</v>
      </c>
      <c r="F1012">
        <v>29</v>
      </c>
      <c r="G1012" t="str">
        <f>IF(Table2[[#This Row],[Age]]&gt;=30,"Experienced",IF(Table2[[#This Row],[Age]]&gt;=25,"Mid Level", "Entry Level"))</f>
        <v>Mid Level</v>
      </c>
      <c r="H1012" t="s">
        <v>27</v>
      </c>
      <c r="I1012" t="s">
        <v>68</v>
      </c>
      <c r="J1012" s="4">
        <v>45748</v>
      </c>
      <c r="K1012" s="4" t="str">
        <f>TEXT(Table2[[#This Row],[Enrollment_date]],"Mmm")</f>
        <v>Apr</v>
      </c>
      <c r="L1012" s="4" t="str">
        <f>TEXT(Table2[[#This Row],[Enrollment_date]],"Ddd")</f>
        <v>Tue</v>
      </c>
      <c r="M1012" s="4" t="s">
        <v>34</v>
      </c>
      <c r="N1012" t="s">
        <v>37</v>
      </c>
      <c r="O1012" t="s">
        <v>38</v>
      </c>
      <c r="P1012" s="8">
        <v>4</v>
      </c>
      <c r="Q1012" s="6">
        <v>0.8125</v>
      </c>
      <c r="R1012" s="6">
        <v>80</v>
      </c>
      <c r="S1012" s="6" t="str">
        <f>IF(Table2[[#This Row],[Avg_score]]&gt;=79,"Distinction",IF(Table2[[#This Row],[Avg_score]]&gt;=60,"Pass","Fail"))</f>
        <v>Distinction</v>
      </c>
      <c r="T1012" t="s">
        <v>40</v>
      </c>
      <c r="U1012">
        <f>IF(Table2[[#This Row],[Completed]]="Yes",1,0)</f>
        <v>0</v>
      </c>
      <c r="V1012" t="s">
        <v>40</v>
      </c>
      <c r="W1012" t="s">
        <v>40</v>
      </c>
      <c r="X1012" s="4">
        <v>45838</v>
      </c>
    </row>
    <row r="1013" spans="1:24" x14ac:dyDescent="0.3">
      <c r="A1013">
        <v>1012</v>
      </c>
      <c r="B1013" s="8">
        <v>338</v>
      </c>
      <c r="C1013">
        <v>1</v>
      </c>
      <c r="D1013" t="s">
        <v>19</v>
      </c>
      <c r="E1013" t="s">
        <v>23</v>
      </c>
      <c r="F1013">
        <v>26</v>
      </c>
      <c r="G1013" t="str">
        <f>IF(Table2[[#This Row],[Age]]&gt;=30,"Experienced",IF(Table2[[#This Row],[Age]]&gt;=25,"Mid Level", "Entry Level"))</f>
        <v>Mid Level</v>
      </c>
      <c r="H1013" t="s">
        <v>24</v>
      </c>
      <c r="I1013" t="s">
        <v>68</v>
      </c>
      <c r="J1013" s="4">
        <v>45677</v>
      </c>
      <c r="K1013" s="4" t="str">
        <f>TEXT(Table2[[#This Row],[Enrollment_date]],"Mmm")</f>
        <v>Jan</v>
      </c>
      <c r="L1013" s="4" t="str">
        <f>TEXT(Table2[[#This Row],[Enrollment_date]],"Ddd")</f>
        <v>Mon</v>
      </c>
      <c r="M1013" s="4" t="s">
        <v>34</v>
      </c>
      <c r="N1013" t="s">
        <v>35</v>
      </c>
      <c r="O1013" t="s">
        <v>38</v>
      </c>
      <c r="P1013" s="8">
        <v>4</v>
      </c>
      <c r="Q1013" s="6">
        <v>0.85416666666666663</v>
      </c>
      <c r="R1013" s="6">
        <v>76.5</v>
      </c>
      <c r="S1013" s="6" t="str">
        <f>IF(Table2[[#This Row],[Avg_score]]&gt;=79,"Distinction",IF(Table2[[#This Row],[Avg_score]]&gt;=60,"Pass","Fail"))</f>
        <v>Pass</v>
      </c>
      <c r="T1013" t="s">
        <v>39</v>
      </c>
      <c r="U1013">
        <f>IF(Table2[[#This Row],[Completed]]="Yes",1,0)</f>
        <v>1</v>
      </c>
      <c r="V1013" t="s">
        <v>40</v>
      </c>
      <c r="W1013" t="s">
        <v>40</v>
      </c>
      <c r="X1013" s="4">
        <v>45838</v>
      </c>
    </row>
    <row r="1014" spans="1:24" x14ac:dyDescent="0.3">
      <c r="A1014">
        <v>1013</v>
      </c>
      <c r="B1014" s="8">
        <v>338</v>
      </c>
      <c r="C1014">
        <v>2</v>
      </c>
      <c r="D1014" t="s">
        <v>21</v>
      </c>
      <c r="E1014" t="s">
        <v>23</v>
      </c>
      <c r="F1014">
        <v>26</v>
      </c>
      <c r="G1014" t="str">
        <f>IF(Table2[[#This Row],[Age]]&gt;=30,"Experienced",IF(Table2[[#This Row],[Age]]&gt;=25,"Mid Level", "Entry Level"))</f>
        <v>Mid Level</v>
      </c>
      <c r="H1014" t="s">
        <v>24</v>
      </c>
      <c r="I1014" t="s">
        <v>68</v>
      </c>
      <c r="J1014" s="4">
        <v>45677</v>
      </c>
      <c r="K1014" s="4" t="str">
        <f>TEXT(Table2[[#This Row],[Enrollment_date]],"Mmm")</f>
        <v>Jan</v>
      </c>
      <c r="L1014" s="4" t="str">
        <f>TEXT(Table2[[#This Row],[Enrollment_date]],"Ddd")</f>
        <v>Mon</v>
      </c>
      <c r="M1014" s="4" t="s">
        <v>34</v>
      </c>
      <c r="N1014" t="s">
        <v>36</v>
      </c>
      <c r="O1014" t="s">
        <v>38</v>
      </c>
      <c r="P1014" s="8">
        <v>4</v>
      </c>
      <c r="Q1014" s="6">
        <v>0.89583333333333337</v>
      </c>
      <c r="R1014" s="6">
        <v>88</v>
      </c>
      <c r="S1014" s="6" t="str">
        <f>IF(Table2[[#This Row],[Avg_score]]&gt;=79,"Distinction",IF(Table2[[#This Row],[Avg_score]]&gt;=60,"Pass","Fail"))</f>
        <v>Distinction</v>
      </c>
      <c r="T1014" t="s">
        <v>39</v>
      </c>
      <c r="U1014">
        <f>IF(Table2[[#This Row],[Completed]]="Yes",1,0)</f>
        <v>1</v>
      </c>
      <c r="V1014" t="s">
        <v>40</v>
      </c>
      <c r="W1014" t="s">
        <v>40</v>
      </c>
      <c r="X1014" s="4">
        <v>45838</v>
      </c>
    </row>
    <row r="1015" spans="1:24" x14ac:dyDescent="0.3">
      <c r="A1015">
        <v>1014</v>
      </c>
      <c r="B1015" s="8">
        <v>338</v>
      </c>
      <c r="C1015">
        <v>3</v>
      </c>
      <c r="D1015" t="s">
        <v>21</v>
      </c>
      <c r="E1015" t="s">
        <v>23</v>
      </c>
      <c r="F1015">
        <v>26</v>
      </c>
      <c r="G1015" t="str">
        <f>IF(Table2[[#This Row],[Age]]&gt;=30,"Experienced",IF(Table2[[#This Row],[Age]]&gt;=25,"Mid Level", "Entry Level"))</f>
        <v>Mid Level</v>
      </c>
      <c r="H1015" t="s">
        <v>24</v>
      </c>
      <c r="I1015" t="s">
        <v>68</v>
      </c>
      <c r="J1015" s="4">
        <v>45677</v>
      </c>
      <c r="K1015" s="4" t="str">
        <f>TEXT(Table2[[#This Row],[Enrollment_date]],"Mmm")</f>
        <v>Jan</v>
      </c>
      <c r="L1015" s="4" t="str">
        <f>TEXT(Table2[[#This Row],[Enrollment_date]],"Ddd")</f>
        <v>Mon</v>
      </c>
      <c r="M1015" s="4" t="s">
        <v>34</v>
      </c>
      <c r="N1015" t="s">
        <v>37</v>
      </c>
      <c r="O1015" t="s">
        <v>38</v>
      </c>
      <c r="P1015" s="8">
        <v>4</v>
      </c>
      <c r="Q1015" s="6">
        <v>0.875</v>
      </c>
      <c r="R1015" s="6">
        <v>74</v>
      </c>
      <c r="S1015" s="6" t="str">
        <f>IF(Table2[[#This Row],[Avg_score]]&gt;=79,"Distinction",IF(Table2[[#This Row],[Avg_score]]&gt;=60,"Pass","Fail"))</f>
        <v>Pass</v>
      </c>
      <c r="T1015" t="s">
        <v>39</v>
      </c>
      <c r="U1015">
        <f>IF(Table2[[#This Row],[Completed]]="Yes",1,0)</f>
        <v>1</v>
      </c>
      <c r="V1015" t="s">
        <v>40</v>
      </c>
      <c r="W1015" t="s">
        <v>40</v>
      </c>
      <c r="X1015" s="4">
        <v>45838</v>
      </c>
    </row>
    <row r="1016" spans="1:24" x14ac:dyDescent="0.3">
      <c r="A1016">
        <v>1015</v>
      </c>
      <c r="B1016" s="8">
        <v>339</v>
      </c>
      <c r="C1016">
        <v>1</v>
      </c>
      <c r="D1016" t="s">
        <v>21</v>
      </c>
      <c r="E1016" t="s">
        <v>23</v>
      </c>
      <c r="F1016">
        <v>29</v>
      </c>
      <c r="G1016" t="str">
        <f>IF(Table2[[#This Row],[Age]]&gt;=30,"Experienced",IF(Table2[[#This Row],[Age]]&gt;=25,"Mid Level", "Entry Level"))</f>
        <v>Mid Level</v>
      </c>
      <c r="H1016" t="s">
        <v>26</v>
      </c>
      <c r="I1016" t="s">
        <v>32</v>
      </c>
      <c r="J1016" s="4">
        <v>45665</v>
      </c>
      <c r="K1016" s="4" t="str">
        <f>TEXT(Table2[[#This Row],[Enrollment_date]],"Mmm")</f>
        <v>Jan</v>
      </c>
      <c r="L1016" s="4" t="str">
        <f>TEXT(Table2[[#This Row],[Enrollment_date]],"Ddd")</f>
        <v>Wed</v>
      </c>
      <c r="M1016" s="4" t="s">
        <v>34</v>
      </c>
      <c r="N1016" t="s">
        <v>35</v>
      </c>
      <c r="O1016" t="s">
        <v>38</v>
      </c>
      <c r="P1016" s="8">
        <v>4</v>
      </c>
      <c r="Q1016" s="6">
        <v>0.79166666666666663</v>
      </c>
      <c r="R1016" s="6">
        <v>52</v>
      </c>
      <c r="S1016" s="6" t="str">
        <f>IF(Table2[[#This Row],[Avg_score]]&gt;=79,"Distinction",IF(Table2[[#This Row],[Avg_score]]&gt;=60,"Pass","Fail"))</f>
        <v>Fail</v>
      </c>
      <c r="T1016" t="s">
        <v>39</v>
      </c>
      <c r="U1016">
        <f>IF(Table2[[#This Row],[Completed]]="Yes",1,0)</f>
        <v>1</v>
      </c>
      <c r="V1016" t="s">
        <v>39</v>
      </c>
      <c r="W1016" t="s">
        <v>40</v>
      </c>
      <c r="X1016" s="4">
        <v>45838</v>
      </c>
    </row>
    <row r="1017" spans="1:24" x14ac:dyDescent="0.3">
      <c r="A1017">
        <v>1016</v>
      </c>
      <c r="B1017" s="8">
        <v>339</v>
      </c>
      <c r="C1017">
        <v>2</v>
      </c>
      <c r="D1017" t="s">
        <v>19</v>
      </c>
      <c r="E1017" t="s">
        <v>23</v>
      </c>
      <c r="F1017">
        <v>29</v>
      </c>
      <c r="G1017" t="str">
        <f>IF(Table2[[#This Row],[Age]]&gt;=30,"Experienced",IF(Table2[[#This Row],[Age]]&gt;=25,"Mid Level", "Entry Level"))</f>
        <v>Mid Level</v>
      </c>
      <c r="H1017" t="s">
        <v>26</v>
      </c>
      <c r="I1017" t="s">
        <v>32</v>
      </c>
      <c r="J1017" s="4">
        <v>45665</v>
      </c>
      <c r="K1017" s="4" t="str">
        <f>TEXT(Table2[[#This Row],[Enrollment_date]],"Mmm")</f>
        <v>Jan</v>
      </c>
      <c r="L1017" s="4" t="str">
        <f>TEXT(Table2[[#This Row],[Enrollment_date]],"Ddd")</f>
        <v>Wed</v>
      </c>
      <c r="M1017" s="4" t="s">
        <v>34</v>
      </c>
      <c r="N1017" t="s">
        <v>36</v>
      </c>
      <c r="O1017" t="s">
        <v>38</v>
      </c>
      <c r="P1017" s="8">
        <v>4</v>
      </c>
      <c r="Q1017" s="6">
        <v>0.83333333333333337</v>
      </c>
      <c r="R1017" s="6">
        <v>65.5</v>
      </c>
      <c r="S1017" s="6" t="str">
        <f>IF(Table2[[#This Row],[Avg_score]]&gt;=79,"Distinction",IF(Table2[[#This Row],[Avg_score]]&gt;=60,"Pass","Fail"))</f>
        <v>Pass</v>
      </c>
      <c r="T1017" t="s">
        <v>39</v>
      </c>
      <c r="U1017">
        <f>IF(Table2[[#This Row],[Completed]]="Yes",1,0)</f>
        <v>1</v>
      </c>
      <c r="V1017" t="s">
        <v>39</v>
      </c>
      <c r="W1017" t="s">
        <v>40</v>
      </c>
      <c r="X1017" s="4">
        <v>45838</v>
      </c>
    </row>
    <row r="1018" spans="1:24" x14ac:dyDescent="0.3">
      <c r="A1018">
        <v>1017</v>
      </c>
      <c r="B1018" s="8">
        <v>339</v>
      </c>
      <c r="C1018">
        <v>3</v>
      </c>
      <c r="D1018" t="s">
        <v>19</v>
      </c>
      <c r="E1018" t="s">
        <v>23</v>
      </c>
      <c r="F1018">
        <v>29</v>
      </c>
      <c r="G1018" t="str">
        <f>IF(Table2[[#This Row],[Age]]&gt;=30,"Experienced",IF(Table2[[#This Row],[Age]]&gt;=25,"Mid Level", "Entry Level"))</f>
        <v>Mid Level</v>
      </c>
      <c r="H1018" t="s">
        <v>26</v>
      </c>
      <c r="I1018" t="s">
        <v>32</v>
      </c>
      <c r="J1018" s="4">
        <v>45665</v>
      </c>
      <c r="K1018" s="4" t="str">
        <f>TEXT(Table2[[#This Row],[Enrollment_date]],"Mmm")</f>
        <v>Jan</v>
      </c>
      <c r="L1018" s="4" t="str">
        <f>TEXT(Table2[[#This Row],[Enrollment_date]],"Ddd")</f>
        <v>Wed</v>
      </c>
      <c r="M1018" s="4" t="s">
        <v>34</v>
      </c>
      <c r="N1018" t="s">
        <v>37</v>
      </c>
      <c r="O1018" t="s">
        <v>38</v>
      </c>
      <c r="P1018" s="8">
        <v>4</v>
      </c>
      <c r="Q1018" s="6">
        <v>0.83333333333333337</v>
      </c>
      <c r="R1018" s="6">
        <v>74</v>
      </c>
      <c r="S1018" s="6" t="str">
        <f>IF(Table2[[#This Row],[Avg_score]]&gt;=79,"Distinction",IF(Table2[[#This Row],[Avg_score]]&gt;=60,"Pass","Fail"))</f>
        <v>Pass</v>
      </c>
      <c r="T1018" t="s">
        <v>39</v>
      </c>
      <c r="U1018">
        <f>IF(Table2[[#This Row],[Completed]]="Yes",1,0)</f>
        <v>1</v>
      </c>
      <c r="V1018" t="s">
        <v>39</v>
      </c>
      <c r="W1018" t="s">
        <v>40</v>
      </c>
      <c r="X1018" s="4">
        <v>45838</v>
      </c>
    </row>
    <row r="1019" spans="1:24" x14ac:dyDescent="0.3">
      <c r="A1019">
        <v>1018</v>
      </c>
      <c r="B1019" s="8">
        <v>340</v>
      </c>
      <c r="C1019">
        <v>1</v>
      </c>
      <c r="D1019" t="s">
        <v>19</v>
      </c>
      <c r="E1019" t="s">
        <v>22</v>
      </c>
      <c r="F1019">
        <v>32</v>
      </c>
      <c r="G1019" t="str">
        <f>IF(Table2[[#This Row],[Age]]&gt;=30,"Experienced",IF(Table2[[#This Row],[Age]]&gt;=25,"Mid Level", "Entry Level"))</f>
        <v>Experienced</v>
      </c>
      <c r="H1019" t="s">
        <v>25</v>
      </c>
      <c r="I1019" t="s">
        <v>32</v>
      </c>
      <c r="J1019" s="4">
        <v>45675</v>
      </c>
      <c r="K1019" s="4" t="str">
        <f>TEXT(Table2[[#This Row],[Enrollment_date]],"Mmm")</f>
        <v>Jan</v>
      </c>
      <c r="L1019" s="4" t="str">
        <f>TEXT(Table2[[#This Row],[Enrollment_date]],"Ddd")</f>
        <v>Sat</v>
      </c>
      <c r="M1019" s="4" t="s">
        <v>34</v>
      </c>
      <c r="N1019" t="s">
        <v>35</v>
      </c>
      <c r="O1019" t="s">
        <v>38</v>
      </c>
      <c r="P1019" s="8">
        <v>4</v>
      </c>
      <c r="Q1019" s="6">
        <v>0.83333333333333337</v>
      </c>
      <c r="R1019" s="6">
        <v>62</v>
      </c>
      <c r="S1019" s="6" t="str">
        <f>IF(Table2[[#This Row],[Avg_score]]&gt;=79,"Distinction",IF(Table2[[#This Row],[Avg_score]]&gt;=60,"Pass","Fail"))</f>
        <v>Pass</v>
      </c>
      <c r="T1019" t="s">
        <v>39</v>
      </c>
      <c r="U1019">
        <f>IF(Table2[[#This Row],[Completed]]="Yes",1,0)</f>
        <v>1</v>
      </c>
      <c r="V1019" t="s">
        <v>39</v>
      </c>
      <c r="W1019" t="s">
        <v>40</v>
      </c>
      <c r="X1019" s="4">
        <v>45838</v>
      </c>
    </row>
    <row r="1020" spans="1:24" x14ac:dyDescent="0.3">
      <c r="A1020">
        <v>1019</v>
      </c>
      <c r="B1020" s="8">
        <v>340</v>
      </c>
      <c r="C1020">
        <v>2</v>
      </c>
      <c r="D1020" t="s">
        <v>19</v>
      </c>
      <c r="E1020" t="s">
        <v>22</v>
      </c>
      <c r="F1020">
        <v>32</v>
      </c>
      <c r="G1020" t="str">
        <f>IF(Table2[[#This Row],[Age]]&gt;=30,"Experienced",IF(Table2[[#This Row],[Age]]&gt;=25,"Mid Level", "Entry Level"))</f>
        <v>Experienced</v>
      </c>
      <c r="H1020" t="s">
        <v>25</v>
      </c>
      <c r="I1020" t="s">
        <v>32</v>
      </c>
      <c r="J1020" s="4">
        <v>45675</v>
      </c>
      <c r="K1020" s="4" t="str">
        <f>TEXT(Table2[[#This Row],[Enrollment_date]],"Mmm")</f>
        <v>Jan</v>
      </c>
      <c r="L1020" s="4" t="str">
        <f>TEXT(Table2[[#This Row],[Enrollment_date]],"Ddd")</f>
        <v>Sat</v>
      </c>
      <c r="M1020" s="4" t="s">
        <v>34</v>
      </c>
      <c r="N1020" t="s">
        <v>36</v>
      </c>
      <c r="O1020" t="s">
        <v>38</v>
      </c>
      <c r="P1020" s="8">
        <v>4</v>
      </c>
      <c r="Q1020" s="6">
        <v>0.79166666666666663</v>
      </c>
      <c r="R1020" s="6">
        <v>86</v>
      </c>
      <c r="S1020" s="6" t="str">
        <f>IF(Table2[[#This Row],[Avg_score]]&gt;=79,"Distinction",IF(Table2[[#This Row],[Avg_score]]&gt;=60,"Pass","Fail"))</f>
        <v>Distinction</v>
      </c>
      <c r="T1020" t="s">
        <v>39</v>
      </c>
      <c r="U1020">
        <f>IF(Table2[[#This Row],[Completed]]="Yes",1,0)</f>
        <v>1</v>
      </c>
      <c r="V1020" t="s">
        <v>39</v>
      </c>
      <c r="W1020" t="s">
        <v>40</v>
      </c>
      <c r="X1020" s="4">
        <v>45838</v>
      </c>
    </row>
    <row r="1021" spans="1:24" x14ac:dyDescent="0.3">
      <c r="A1021">
        <v>1020</v>
      </c>
      <c r="B1021" s="8">
        <v>340</v>
      </c>
      <c r="C1021">
        <v>3</v>
      </c>
      <c r="D1021" t="s">
        <v>21</v>
      </c>
      <c r="E1021" t="s">
        <v>22</v>
      </c>
      <c r="F1021">
        <v>32</v>
      </c>
      <c r="G1021" t="str">
        <f>IF(Table2[[#This Row],[Age]]&gt;=30,"Experienced",IF(Table2[[#This Row],[Age]]&gt;=25,"Mid Level", "Entry Level"))</f>
        <v>Experienced</v>
      </c>
      <c r="H1021" t="s">
        <v>25</v>
      </c>
      <c r="I1021" t="s">
        <v>32</v>
      </c>
      <c r="J1021" s="4">
        <v>45675</v>
      </c>
      <c r="K1021" s="4" t="str">
        <f>TEXT(Table2[[#This Row],[Enrollment_date]],"Mmm")</f>
        <v>Jan</v>
      </c>
      <c r="L1021" s="4" t="str">
        <f>TEXT(Table2[[#This Row],[Enrollment_date]],"Ddd")</f>
        <v>Sat</v>
      </c>
      <c r="M1021" s="4" t="s">
        <v>34</v>
      </c>
      <c r="N1021" t="s">
        <v>37</v>
      </c>
      <c r="O1021" t="s">
        <v>38</v>
      </c>
      <c r="P1021" s="8">
        <v>4</v>
      </c>
      <c r="Q1021" s="6">
        <v>0.875</v>
      </c>
      <c r="R1021" s="6">
        <v>82.5</v>
      </c>
      <c r="S1021" s="6" t="str">
        <f>IF(Table2[[#This Row],[Avg_score]]&gt;=79,"Distinction",IF(Table2[[#This Row],[Avg_score]]&gt;=60,"Pass","Fail"))</f>
        <v>Distinction</v>
      </c>
      <c r="T1021" t="s">
        <v>39</v>
      </c>
      <c r="U1021">
        <f>IF(Table2[[#This Row],[Completed]]="Yes",1,0)</f>
        <v>1</v>
      </c>
      <c r="V1021" t="s">
        <v>39</v>
      </c>
      <c r="W1021" t="s">
        <v>40</v>
      </c>
      <c r="X1021" s="4">
        <v>45838</v>
      </c>
    </row>
    <row r="1022" spans="1:24" x14ac:dyDescent="0.3">
      <c r="A1022">
        <v>1021</v>
      </c>
      <c r="B1022" s="8">
        <v>341</v>
      </c>
      <c r="C1022">
        <v>1</v>
      </c>
      <c r="D1022" t="s">
        <v>19</v>
      </c>
      <c r="E1022" t="s">
        <v>22</v>
      </c>
      <c r="F1022">
        <v>29</v>
      </c>
      <c r="G1022" t="str">
        <f>IF(Table2[[#This Row],[Age]]&gt;=30,"Experienced",IF(Table2[[#This Row],[Age]]&gt;=25,"Mid Level", "Entry Level"))</f>
        <v>Mid Level</v>
      </c>
      <c r="H1022" t="s">
        <v>29</v>
      </c>
      <c r="I1022" t="s">
        <v>44</v>
      </c>
      <c r="J1022" s="4">
        <v>45803</v>
      </c>
      <c r="K1022" s="4" t="str">
        <f>TEXT(Table2[[#This Row],[Enrollment_date]],"Mmm")</f>
        <v>May</v>
      </c>
      <c r="L1022" s="4" t="str">
        <f>TEXT(Table2[[#This Row],[Enrollment_date]],"Ddd")</f>
        <v>Mon</v>
      </c>
      <c r="M1022" s="4" t="s">
        <v>34</v>
      </c>
      <c r="N1022" t="s">
        <v>35</v>
      </c>
      <c r="O1022" t="s">
        <v>38</v>
      </c>
      <c r="P1022" s="8">
        <v>4</v>
      </c>
      <c r="Q1022" s="6">
        <v>0.89583333333333337</v>
      </c>
      <c r="R1022" s="6">
        <v>57</v>
      </c>
      <c r="S1022" s="6" t="str">
        <f>IF(Table2[[#This Row],[Avg_score]]&gt;=79,"Distinction",IF(Table2[[#This Row],[Avg_score]]&gt;=60,"Pass","Fail"))</f>
        <v>Fail</v>
      </c>
      <c r="T1022" t="s">
        <v>39</v>
      </c>
      <c r="U1022">
        <f>IF(Table2[[#This Row],[Completed]]="Yes",1,0)</f>
        <v>1</v>
      </c>
      <c r="V1022" t="s">
        <v>39</v>
      </c>
      <c r="W1022" t="s">
        <v>40</v>
      </c>
      <c r="X1022" s="4">
        <v>45838</v>
      </c>
    </row>
    <row r="1023" spans="1:24" x14ac:dyDescent="0.3">
      <c r="A1023">
        <v>1022</v>
      </c>
      <c r="B1023" s="8">
        <v>341</v>
      </c>
      <c r="C1023">
        <v>2</v>
      </c>
      <c r="D1023" t="s">
        <v>19</v>
      </c>
      <c r="E1023" t="s">
        <v>22</v>
      </c>
      <c r="F1023">
        <v>29</v>
      </c>
      <c r="G1023" t="str">
        <f>IF(Table2[[#This Row],[Age]]&gt;=30,"Experienced",IF(Table2[[#This Row],[Age]]&gt;=25,"Mid Level", "Entry Level"))</f>
        <v>Mid Level</v>
      </c>
      <c r="H1023" t="s">
        <v>29</v>
      </c>
      <c r="I1023" t="s">
        <v>44</v>
      </c>
      <c r="J1023" s="4">
        <v>45803</v>
      </c>
      <c r="K1023" s="4" t="str">
        <f>TEXT(Table2[[#This Row],[Enrollment_date]],"Mmm")</f>
        <v>May</v>
      </c>
      <c r="L1023" s="4" t="str">
        <f>TEXT(Table2[[#This Row],[Enrollment_date]],"Ddd")</f>
        <v>Mon</v>
      </c>
      <c r="M1023" s="4" t="s">
        <v>34</v>
      </c>
      <c r="N1023" t="s">
        <v>36</v>
      </c>
      <c r="O1023" t="s">
        <v>38</v>
      </c>
      <c r="P1023" s="8">
        <v>4</v>
      </c>
      <c r="Q1023" s="6">
        <v>0.9375</v>
      </c>
      <c r="R1023" s="6">
        <v>60</v>
      </c>
      <c r="S1023" s="6" t="str">
        <f>IF(Table2[[#This Row],[Avg_score]]&gt;=79,"Distinction",IF(Table2[[#This Row],[Avg_score]]&gt;=60,"Pass","Fail"))</f>
        <v>Pass</v>
      </c>
      <c r="T1023" t="s">
        <v>39</v>
      </c>
      <c r="U1023">
        <f>IF(Table2[[#This Row],[Completed]]="Yes",1,0)</f>
        <v>1</v>
      </c>
      <c r="V1023" t="s">
        <v>39</v>
      </c>
      <c r="W1023" t="s">
        <v>40</v>
      </c>
      <c r="X1023" s="4">
        <v>45838</v>
      </c>
    </row>
    <row r="1024" spans="1:24" x14ac:dyDescent="0.3">
      <c r="A1024">
        <v>1023</v>
      </c>
      <c r="B1024" s="8">
        <v>341</v>
      </c>
      <c r="C1024">
        <v>3</v>
      </c>
      <c r="D1024" t="s">
        <v>19</v>
      </c>
      <c r="E1024" t="s">
        <v>22</v>
      </c>
      <c r="F1024">
        <v>29</v>
      </c>
      <c r="G1024" t="str">
        <f>IF(Table2[[#This Row],[Age]]&gt;=30,"Experienced",IF(Table2[[#This Row],[Age]]&gt;=25,"Mid Level", "Entry Level"))</f>
        <v>Mid Level</v>
      </c>
      <c r="H1024" t="s">
        <v>29</v>
      </c>
      <c r="I1024" t="s">
        <v>44</v>
      </c>
      <c r="J1024" s="4">
        <v>45803</v>
      </c>
      <c r="K1024" s="4" t="str">
        <f>TEXT(Table2[[#This Row],[Enrollment_date]],"Mmm")</f>
        <v>May</v>
      </c>
      <c r="L1024" s="4" t="str">
        <f>TEXT(Table2[[#This Row],[Enrollment_date]],"Ddd")</f>
        <v>Mon</v>
      </c>
      <c r="M1024" s="4" t="s">
        <v>34</v>
      </c>
      <c r="N1024" t="s">
        <v>37</v>
      </c>
      <c r="O1024" t="s">
        <v>38</v>
      </c>
      <c r="P1024" s="8">
        <v>4</v>
      </c>
      <c r="Q1024" s="6">
        <v>0.77083333333333337</v>
      </c>
      <c r="R1024" s="6">
        <v>76</v>
      </c>
      <c r="S1024" s="6" t="str">
        <f>IF(Table2[[#This Row],[Avg_score]]&gt;=79,"Distinction",IF(Table2[[#This Row],[Avg_score]]&gt;=60,"Pass","Fail"))</f>
        <v>Pass</v>
      </c>
      <c r="T1024" t="s">
        <v>39</v>
      </c>
      <c r="U1024">
        <f>IF(Table2[[#This Row],[Completed]]="Yes",1,0)</f>
        <v>1</v>
      </c>
      <c r="V1024" t="s">
        <v>39</v>
      </c>
      <c r="W1024" t="s">
        <v>40</v>
      </c>
      <c r="X1024" s="4">
        <v>45838</v>
      </c>
    </row>
    <row r="1025" spans="1:24" x14ac:dyDescent="0.3">
      <c r="A1025">
        <v>1024</v>
      </c>
      <c r="B1025" s="8">
        <v>342</v>
      </c>
      <c r="C1025">
        <v>1</v>
      </c>
      <c r="D1025" t="s">
        <v>19</v>
      </c>
      <c r="E1025" t="s">
        <v>22</v>
      </c>
      <c r="F1025">
        <v>22</v>
      </c>
      <c r="G1025" t="str">
        <f>IF(Table2[[#This Row],[Age]]&gt;=30,"Experienced",IF(Table2[[#This Row],[Age]]&gt;=25,"Mid Level", "Entry Level"))</f>
        <v>Entry Level</v>
      </c>
      <c r="H1025" t="s">
        <v>24</v>
      </c>
      <c r="I1025" t="s">
        <v>44</v>
      </c>
      <c r="J1025" s="4">
        <v>45752</v>
      </c>
      <c r="K1025" s="4" t="str">
        <f>TEXT(Table2[[#This Row],[Enrollment_date]],"Mmm")</f>
        <v>Apr</v>
      </c>
      <c r="L1025" s="4" t="str">
        <f>TEXT(Table2[[#This Row],[Enrollment_date]],"Ddd")</f>
        <v>Sat</v>
      </c>
      <c r="M1025" s="4" t="s">
        <v>34</v>
      </c>
      <c r="N1025" t="s">
        <v>35</v>
      </c>
      <c r="O1025" t="s">
        <v>38</v>
      </c>
      <c r="P1025" s="8">
        <v>4</v>
      </c>
      <c r="Q1025" s="6">
        <v>0.8125</v>
      </c>
      <c r="R1025" s="6">
        <v>89.5</v>
      </c>
      <c r="S1025" s="6" t="str">
        <f>IF(Table2[[#This Row],[Avg_score]]&gt;=79,"Distinction",IF(Table2[[#This Row],[Avg_score]]&gt;=60,"Pass","Fail"))</f>
        <v>Distinction</v>
      </c>
      <c r="T1025" t="s">
        <v>39</v>
      </c>
      <c r="U1025">
        <f>IF(Table2[[#This Row],[Completed]]="Yes",1,0)</f>
        <v>1</v>
      </c>
      <c r="V1025" t="s">
        <v>40</v>
      </c>
      <c r="W1025" t="s">
        <v>40</v>
      </c>
      <c r="X1025" s="4">
        <v>45838</v>
      </c>
    </row>
    <row r="1026" spans="1:24" x14ac:dyDescent="0.3">
      <c r="A1026">
        <v>1025</v>
      </c>
      <c r="B1026" s="8">
        <v>342</v>
      </c>
      <c r="C1026">
        <v>2</v>
      </c>
      <c r="D1026" t="s">
        <v>19</v>
      </c>
      <c r="E1026" t="s">
        <v>22</v>
      </c>
      <c r="F1026">
        <v>22</v>
      </c>
      <c r="G1026" t="str">
        <f>IF(Table2[[#This Row],[Age]]&gt;=30,"Experienced",IF(Table2[[#This Row],[Age]]&gt;=25,"Mid Level", "Entry Level"))</f>
        <v>Entry Level</v>
      </c>
      <c r="H1026" t="s">
        <v>24</v>
      </c>
      <c r="I1026" t="s">
        <v>44</v>
      </c>
      <c r="J1026" s="4">
        <v>45752</v>
      </c>
      <c r="K1026" s="4" t="str">
        <f>TEXT(Table2[[#This Row],[Enrollment_date]],"Mmm")</f>
        <v>Apr</v>
      </c>
      <c r="L1026" s="4" t="str">
        <f>TEXT(Table2[[#This Row],[Enrollment_date]],"Ddd")</f>
        <v>Sat</v>
      </c>
      <c r="M1026" s="4" t="s">
        <v>34</v>
      </c>
      <c r="N1026" t="s">
        <v>36</v>
      </c>
      <c r="O1026" t="s">
        <v>38</v>
      </c>
      <c r="P1026" s="8">
        <v>4</v>
      </c>
      <c r="Q1026" s="6">
        <v>0.8125</v>
      </c>
      <c r="R1026" s="6">
        <v>70</v>
      </c>
      <c r="S1026" s="6" t="str">
        <f>IF(Table2[[#This Row],[Avg_score]]&gt;=79,"Distinction",IF(Table2[[#This Row],[Avg_score]]&gt;=60,"Pass","Fail"))</f>
        <v>Pass</v>
      </c>
      <c r="T1026" t="s">
        <v>39</v>
      </c>
      <c r="U1026">
        <f>IF(Table2[[#This Row],[Completed]]="Yes",1,0)</f>
        <v>1</v>
      </c>
      <c r="V1026" t="s">
        <v>40</v>
      </c>
      <c r="W1026" t="s">
        <v>40</v>
      </c>
      <c r="X1026" s="4">
        <v>45838</v>
      </c>
    </row>
    <row r="1027" spans="1:24" x14ac:dyDescent="0.3">
      <c r="A1027">
        <v>1026</v>
      </c>
      <c r="B1027" s="8">
        <v>342</v>
      </c>
      <c r="C1027">
        <v>3</v>
      </c>
      <c r="D1027" t="s">
        <v>19</v>
      </c>
      <c r="E1027" t="s">
        <v>22</v>
      </c>
      <c r="F1027">
        <v>22</v>
      </c>
      <c r="G1027" t="str">
        <f>IF(Table2[[#This Row],[Age]]&gt;=30,"Experienced",IF(Table2[[#This Row],[Age]]&gt;=25,"Mid Level", "Entry Level"))</f>
        <v>Entry Level</v>
      </c>
      <c r="H1027" t="s">
        <v>24</v>
      </c>
      <c r="I1027" t="s">
        <v>44</v>
      </c>
      <c r="J1027" s="4">
        <v>45752</v>
      </c>
      <c r="K1027" s="4" t="str">
        <f>TEXT(Table2[[#This Row],[Enrollment_date]],"Mmm")</f>
        <v>Apr</v>
      </c>
      <c r="L1027" s="4" t="str">
        <f>TEXT(Table2[[#This Row],[Enrollment_date]],"Ddd")</f>
        <v>Sat</v>
      </c>
      <c r="M1027" s="4" t="s">
        <v>34</v>
      </c>
      <c r="N1027" t="s">
        <v>37</v>
      </c>
      <c r="O1027" t="s">
        <v>38</v>
      </c>
      <c r="P1027" s="8">
        <v>4</v>
      </c>
      <c r="Q1027" s="6">
        <v>0.85416666666666663</v>
      </c>
      <c r="R1027" s="6">
        <v>81</v>
      </c>
      <c r="S1027" s="6" t="str">
        <f>IF(Table2[[#This Row],[Avg_score]]&gt;=79,"Distinction",IF(Table2[[#This Row],[Avg_score]]&gt;=60,"Pass","Fail"))</f>
        <v>Distinction</v>
      </c>
      <c r="T1027" t="s">
        <v>39</v>
      </c>
      <c r="U1027">
        <f>IF(Table2[[#This Row],[Completed]]="Yes",1,0)</f>
        <v>1</v>
      </c>
      <c r="V1027" t="s">
        <v>40</v>
      </c>
      <c r="W1027" t="s">
        <v>40</v>
      </c>
      <c r="X1027" s="4">
        <v>45838</v>
      </c>
    </row>
    <row r="1028" spans="1:24" x14ac:dyDescent="0.3">
      <c r="A1028">
        <v>1027</v>
      </c>
      <c r="B1028" s="8">
        <v>343</v>
      </c>
      <c r="C1028">
        <v>1</v>
      </c>
      <c r="D1028" t="s">
        <v>20</v>
      </c>
      <c r="E1028" t="s">
        <v>23</v>
      </c>
      <c r="F1028">
        <v>32</v>
      </c>
      <c r="G1028" t="str">
        <f>IF(Table2[[#This Row],[Age]]&gt;=30,"Experienced",IF(Table2[[#This Row],[Age]]&gt;=25,"Mid Level", "Entry Level"))</f>
        <v>Experienced</v>
      </c>
      <c r="H1028" t="s">
        <v>25</v>
      </c>
      <c r="I1028" t="s">
        <v>32</v>
      </c>
      <c r="J1028" s="4">
        <v>45793</v>
      </c>
      <c r="K1028" s="4" t="str">
        <f>TEXT(Table2[[#This Row],[Enrollment_date]],"Mmm")</f>
        <v>May</v>
      </c>
      <c r="L1028" s="4" t="str">
        <f>TEXT(Table2[[#This Row],[Enrollment_date]],"Ddd")</f>
        <v>Fri</v>
      </c>
      <c r="M1028" s="4" t="s">
        <v>34</v>
      </c>
      <c r="N1028" t="s">
        <v>35</v>
      </c>
      <c r="O1028" t="s">
        <v>38</v>
      </c>
      <c r="P1028" s="8">
        <v>4</v>
      </c>
      <c r="Q1028" s="6">
        <v>0.77083333333333337</v>
      </c>
      <c r="R1028" s="6">
        <v>68.5</v>
      </c>
      <c r="S1028" s="6" t="str">
        <f>IF(Table2[[#This Row],[Avg_score]]&gt;=79,"Distinction",IF(Table2[[#This Row],[Avg_score]]&gt;=60,"Pass","Fail"))</f>
        <v>Pass</v>
      </c>
      <c r="T1028" t="s">
        <v>39</v>
      </c>
      <c r="U1028">
        <f>IF(Table2[[#This Row],[Completed]]="Yes",1,0)</f>
        <v>1</v>
      </c>
      <c r="V1028" t="s">
        <v>40</v>
      </c>
      <c r="W1028" t="s">
        <v>39</v>
      </c>
      <c r="X1028" s="4">
        <v>45838</v>
      </c>
    </row>
    <row r="1029" spans="1:24" x14ac:dyDescent="0.3">
      <c r="A1029">
        <v>1028</v>
      </c>
      <c r="B1029" s="8">
        <v>343</v>
      </c>
      <c r="C1029">
        <v>2</v>
      </c>
      <c r="D1029" t="s">
        <v>19</v>
      </c>
      <c r="E1029" t="s">
        <v>23</v>
      </c>
      <c r="F1029">
        <v>32</v>
      </c>
      <c r="G1029" t="str">
        <f>IF(Table2[[#This Row],[Age]]&gt;=30,"Experienced",IF(Table2[[#This Row],[Age]]&gt;=25,"Mid Level", "Entry Level"))</f>
        <v>Experienced</v>
      </c>
      <c r="H1029" t="s">
        <v>25</v>
      </c>
      <c r="I1029" t="s">
        <v>32</v>
      </c>
      <c r="J1029" s="4">
        <v>45793</v>
      </c>
      <c r="K1029" s="4" t="str">
        <f>TEXT(Table2[[#This Row],[Enrollment_date]],"Mmm")</f>
        <v>May</v>
      </c>
      <c r="L1029" s="4" t="str">
        <f>TEXT(Table2[[#This Row],[Enrollment_date]],"Ddd")</f>
        <v>Fri</v>
      </c>
      <c r="M1029" s="4" t="s">
        <v>34</v>
      </c>
      <c r="N1029" t="s">
        <v>36</v>
      </c>
      <c r="O1029" t="s">
        <v>38</v>
      </c>
      <c r="P1029" s="8">
        <v>4</v>
      </c>
      <c r="Q1029" s="6">
        <v>0.85416666666666663</v>
      </c>
      <c r="R1029" s="6">
        <v>70.5</v>
      </c>
      <c r="S1029" s="6" t="str">
        <f>IF(Table2[[#This Row],[Avg_score]]&gt;=79,"Distinction",IF(Table2[[#This Row],[Avg_score]]&gt;=60,"Pass","Fail"))</f>
        <v>Pass</v>
      </c>
      <c r="T1029" t="s">
        <v>39</v>
      </c>
      <c r="U1029">
        <f>IF(Table2[[#This Row],[Completed]]="Yes",1,0)</f>
        <v>1</v>
      </c>
      <c r="V1029" t="s">
        <v>40</v>
      </c>
      <c r="W1029" t="s">
        <v>39</v>
      </c>
      <c r="X1029" s="4">
        <v>45838</v>
      </c>
    </row>
    <row r="1030" spans="1:24" x14ac:dyDescent="0.3">
      <c r="A1030">
        <v>1029</v>
      </c>
      <c r="B1030" s="8">
        <v>343</v>
      </c>
      <c r="C1030">
        <v>3</v>
      </c>
      <c r="D1030" t="s">
        <v>19</v>
      </c>
      <c r="E1030" t="s">
        <v>23</v>
      </c>
      <c r="F1030">
        <v>32</v>
      </c>
      <c r="G1030" t="str">
        <f>IF(Table2[[#This Row],[Age]]&gt;=30,"Experienced",IF(Table2[[#This Row],[Age]]&gt;=25,"Mid Level", "Entry Level"))</f>
        <v>Experienced</v>
      </c>
      <c r="H1030" t="s">
        <v>25</v>
      </c>
      <c r="I1030" t="s">
        <v>32</v>
      </c>
      <c r="J1030" s="4">
        <v>45793</v>
      </c>
      <c r="K1030" s="4" t="str">
        <f>TEXT(Table2[[#This Row],[Enrollment_date]],"Mmm")</f>
        <v>May</v>
      </c>
      <c r="L1030" s="4" t="str">
        <f>TEXT(Table2[[#This Row],[Enrollment_date]],"Ddd")</f>
        <v>Fri</v>
      </c>
      <c r="M1030" s="4" t="s">
        <v>34</v>
      </c>
      <c r="N1030" t="s">
        <v>37</v>
      </c>
      <c r="O1030" t="s">
        <v>38</v>
      </c>
      <c r="P1030" s="8">
        <v>4</v>
      </c>
      <c r="Q1030" s="6">
        <v>0.83333333333333337</v>
      </c>
      <c r="R1030" s="6">
        <v>67</v>
      </c>
      <c r="S1030" s="6" t="str">
        <f>IF(Table2[[#This Row],[Avg_score]]&gt;=79,"Distinction",IF(Table2[[#This Row],[Avg_score]]&gt;=60,"Pass","Fail"))</f>
        <v>Pass</v>
      </c>
      <c r="T1030" t="s">
        <v>39</v>
      </c>
      <c r="U1030">
        <f>IF(Table2[[#This Row],[Completed]]="Yes",1,0)</f>
        <v>1</v>
      </c>
      <c r="V1030" t="s">
        <v>40</v>
      </c>
      <c r="W1030" t="s">
        <v>39</v>
      </c>
      <c r="X1030" s="4">
        <v>45838</v>
      </c>
    </row>
    <row r="1031" spans="1:24" x14ac:dyDescent="0.3">
      <c r="A1031">
        <v>1030</v>
      </c>
      <c r="B1031" s="8">
        <v>344</v>
      </c>
      <c r="C1031">
        <v>1</v>
      </c>
      <c r="D1031" t="s">
        <v>19</v>
      </c>
      <c r="E1031" t="s">
        <v>23</v>
      </c>
      <c r="F1031">
        <v>30</v>
      </c>
      <c r="G1031" t="str">
        <f>IF(Table2[[#This Row],[Age]]&gt;=30,"Experienced",IF(Table2[[#This Row],[Age]]&gt;=25,"Mid Level", "Entry Level"))</f>
        <v>Experienced</v>
      </c>
      <c r="H1031" t="s">
        <v>29</v>
      </c>
      <c r="I1031" t="s">
        <v>30</v>
      </c>
      <c r="J1031" s="4">
        <v>45721</v>
      </c>
      <c r="K1031" s="4" t="str">
        <f>TEXT(Table2[[#This Row],[Enrollment_date]],"Mmm")</f>
        <v>Mar</v>
      </c>
      <c r="L1031" s="4" t="str">
        <f>TEXT(Table2[[#This Row],[Enrollment_date]],"Ddd")</f>
        <v>Wed</v>
      </c>
      <c r="M1031" s="4" t="s">
        <v>34</v>
      </c>
      <c r="N1031" t="s">
        <v>35</v>
      </c>
      <c r="O1031" t="s">
        <v>38</v>
      </c>
      <c r="P1031" s="8">
        <v>4</v>
      </c>
      <c r="Q1031" s="6">
        <v>0.9375</v>
      </c>
      <c r="R1031" s="6">
        <v>51.5</v>
      </c>
      <c r="S1031" s="6" t="str">
        <f>IF(Table2[[#This Row],[Avg_score]]&gt;=79,"Distinction",IF(Table2[[#This Row],[Avg_score]]&gt;=60,"Pass","Fail"))</f>
        <v>Fail</v>
      </c>
      <c r="T1031" t="s">
        <v>40</v>
      </c>
      <c r="U1031">
        <f>IF(Table2[[#This Row],[Completed]]="Yes",1,0)</f>
        <v>0</v>
      </c>
      <c r="V1031" t="s">
        <v>40</v>
      </c>
      <c r="W1031" t="s">
        <v>40</v>
      </c>
      <c r="X1031" s="4">
        <v>45838</v>
      </c>
    </row>
    <row r="1032" spans="1:24" x14ac:dyDescent="0.3">
      <c r="A1032">
        <v>1031</v>
      </c>
      <c r="B1032" s="8">
        <v>344</v>
      </c>
      <c r="C1032">
        <v>2</v>
      </c>
      <c r="D1032" t="s">
        <v>19</v>
      </c>
      <c r="E1032" t="s">
        <v>23</v>
      </c>
      <c r="F1032">
        <v>30</v>
      </c>
      <c r="G1032" t="str">
        <f>IF(Table2[[#This Row],[Age]]&gt;=30,"Experienced",IF(Table2[[#This Row],[Age]]&gt;=25,"Mid Level", "Entry Level"))</f>
        <v>Experienced</v>
      </c>
      <c r="H1032" t="s">
        <v>29</v>
      </c>
      <c r="I1032" t="s">
        <v>30</v>
      </c>
      <c r="J1032" s="4">
        <v>45721</v>
      </c>
      <c r="K1032" s="4" t="str">
        <f>TEXT(Table2[[#This Row],[Enrollment_date]],"Mmm")</f>
        <v>Mar</v>
      </c>
      <c r="L1032" s="4" t="str">
        <f>TEXT(Table2[[#This Row],[Enrollment_date]],"Ddd")</f>
        <v>Wed</v>
      </c>
      <c r="M1032" s="4" t="s">
        <v>34</v>
      </c>
      <c r="N1032" t="s">
        <v>36</v>
      </c>
      <c r="O1032" t="s">
        <v>38</v>
      </c>
      <c r="P1032" s="8">
        <v>4</v>
      </c>
      <c r="Q1032" s="6">
        <v>0.89583333333333337</v>
      </c>
      <c r="R1032" s="6">
        <v>56.5</v>
      </c>
      <c r="S1032" s="6" t="str">
        <f>IF(Table2[[#This Row],[Avg_score]]&gt;=79,"Distinction",IF(Table2[[#This Row],[Avg_score]]&gt;=60,"Pass","Fail"))</f>
        <v>Fail</v>
      </c>
      <c r="T1032" t="s">
        <v>40</v>
      </c>
      <c r="U1032">
        <f>IF(Table2[[#This Row],[Completed]]="Yes",1,0)</f>
        <v>0</v>
      </c>
      <c r="V1032" t="s">
        <v>40</v>
      </c>
      <c r="W1032" t="s">
        <v>40</v>
      </c>
      <c r="X1032" s="4">
        <v>45838</v>
      </c>
    </row>
    <row r="1033" spans="1:24" x14ac:dyDescent="0.3">
      <c r="A1033">
        <v>1032</v>
      </c>
      <c r="B1033" s="8">
        <v>344</v>
      </c>
      <c r="C1033">
        <v>3</v>
      </c>
      <c r="D1033" t="s">
        <v>19</v>
      </c>
      <c r="E1033" t="s">
        <v>23</v>
      </c>
      <c r="F1033">
        <v>30</v>
      </c>
      <c r="G1033" t="str">
        <f>IF(Table2[[#This Row],[Age]]&gt;=30,"Experienced",IF(Table2[[#This Row],[Age]]&gt;=25,"Mid Level", "Entry Level"))</f>
        <v>Experienced</v>
      </c>
      <c r="H1033" t="s">
        <v>29</v>
      </c>
      <c r="I1033" t="s">
        <v>30</v>
      </c>
      <c r="J1033" s="4">
        <v>45721</v>
      </c>
      <c r="K1033" s="4" t="str">
        <f>TEXT(Table2[[#This Row],[Enrollment_date]],"Mmm")</f>
        <v>Mar</v>
      </c>
      <c r="L1033" s="4" t="str">
        <f>TEXT(Table2[[#This Row],[Enrollment_date]],"Ddd")</f>
        <v>Wed</v>
      </c>
      <c r="M1033" s="4" t="s">
        <v>34</v>
      </c>
      <c r="N1033" t="s">
        <v>37</v>
      </c>
      <c r="O1033" t="s">
        <v>38</v>
      </c>
      <c r="P1033" s="8">
        <v>4</v>
      </c>
      <c r="Q1033" s="6">
        <v>0.75</v>
      </c>
      <c r="R1033" s="6">
        <v>64.5</v>
      </c>
      <c r="S1033" s="6" t="str">
        <f>IF(Table2[[#This Row],[Avg_score]]&gt;=79,"Distinction",IF(Table2[[#This Row],[Avg_score]]&gt;=60,"Pass","Fail"))</f>
        <v>Pass</v>
      </c>
      <c r="T1033" t="s">
        <v>40</v>
      </c>
      <c r="U1033">
        <f>IF(Table2[[#This Row],[Completed]]="Yes",1,0)</f>
        <v>0</v>
      </c>
      <c r="V1033" t="s">
        <v>40</v>
      </c>
      <c r="W1033" t="s">
        <v>40</v>
      </c>
      <c r="X1033" s="4">
        <v>45838</v>
      </c>
    </row>
    <row r="1034" spans="1:24" x14ac:dyDescent="0.3">
      <c r="A1034">
        <v>1033</v>
      </c>
      <c r="B1034" s="8">
        <v>345</v>
      </c>
      <c r="C1034">
        <v>1</v>
      </c>
      <c r="D1034" t="s">
        <v>21</v>
      </c>
      <c r="E1034" t="s">
        <v>22</v>
      </c>
      <c r="F1034">
        <v>18</v>
      </c>
      <c r="G1034" t="str">
        <f>IF(Table2[[#This Row],[Age]]&gt;=30,"Experienced",IF(Table2[[#This Row],[Age]]&gt;=25,"Mid Level", "Entry Level"))</f>
        <v>Entry Level</v>
      </c>
      <c r="H1034" t="s">
        <v>24</v>
      </c>
      <c r="I1034" t="s">
        <v>32</v>
      </c>
      <c r="J1034" s="4">
        <v>45785</v>
      </c>
      <c r="K1034" s="4" t="str">
        <f>TEXT(Table2[[#This Row],[Enrollment_date]],"Mmm")</f>
        <v>May</v>
      </c>
      <c r="L1034" s="4" t="str">
        <f>TEXT(Table2[[#This Row],[Enrollment_date]],"Ddd")</f>
        <v>Thu</v>
      </c>
      <c r="M1034" s="4" t="s">
        <v>34</v>
      </c>
      <c r="N1034" t="s">
        <v>35</v>
      </c>
      <c r="O1034" t="s">
        <v>38</v>
      </c>
      <c r="P1034" s="8">
        <v>4</v>
      </c>
      <c r="Q1034" s="6">
        <v>0.875</v>
      </c>
      <c r="R1034" s="6">
        <v>70.5</v>
      </c>
      <c r="S1034" s="6" t="str">
        <f>IF(Table2[[#This Row],[Avg_score]]&gt;=79,"Distinction",IF(Table2[[#This Row],[Avg_score]]&gt;=60,"Pass","Fail"))</f>
        <v>Pass</v>
      </c>
      <c r="T1034" t="s">
        <v>39</v>
      </c>
      <c r="U1034">
        <f>IF(Table2[[#This Row],[Completed]]="Yes",1,0)</f>
        <v>1</v>
      </c>
      <c r="V1034" t="s">
        <v>39</v>
      </c>
      <c r="W1034" t="s">
        <v>40</v>
      </c>
      <c r="X1034" s="4">
        <v>45838</v>
      </c>
    </row>
    <row r="1035" spans="1:24" x14ac:dyDescent="0.3">
      <c r="A1035">
        <v>1034</v>
      </c>
      <c r="B1035" s="8">
        <v>345</v>
      </c>
      <c r="C1035">
        <v>2</v>
      </c>
      <c r="D1035" t="s">
        <v>21</v>
      </c>
      <c r="E1035" t="s">
        <v>22</v>
      </c>
      <c r="F1035">
        <v>18</v>
      </c>
      <c r="G1035" t="str">
        <f>IF(Table2[[#This Row],[Age]]&gt;=30,"Experienced",IF(Table2[[#This Row],[Age]]&gt;=25,"Mid Level", "Entry Level"))</f>
        <v>Entry Level</v>
      </c>
      <c r="H1035" t="s">
        <v>24</v>
      </c>
      <c r="I1035" t="s">
        <v>32</v>
      </c>
      <c r="J1035" s="4">
        <v>45785</v>
      </c>
      <c r="K1035" s="4" t="str">
        <f>TEXT(Table2[[#This Row],[Enrollment_date]],"Mmm")</f>
        <v>May</v>
      </c>
      <c r="L1035" s="4" t="str">
        <f>TEXT(Table2[[#This Row],[Enrollment_date]],"Ddd")</f>
        <v>Thu</v>
      </c>
      <c r="M1035" s="4" t="s">
        <v>34</v>
      </c>
      <c r="N1035" t="s">
        <v>36</v>
      </c>
      <c r="O1035" t="s">
        <v>38</v>
      </c>
      <c r="P1035" s="8">
        <v>4</v>
      </c>
      <c r="Q1035" s="6">
        <v>0.83333333333333337</v>
      </c>
      <c r="R1035" s="6">
        <v>81.5</v>
      </c>
      <c r="S1035" s="6" t="str">
        <f>IF(Table2[[#This Row],[Avg_score]]&gt;=79,"Distinction",IF(Table2[[#This Row],[Avg_score]]&gt;=60,"Pass","Fail"))</f>
        <v>Distinction</v>
      </c>
      <c r="T1035" t="s">
        <v>39</v>
      </c>
      <c r="U1035">
        <f>IF(Table2[[#This Row],[Completed]]="Yes",1,0)</f>
        <v>1</v>
      </c>
      <c r="V1035" t="s">
        <v>39</v>
      </c>
      <c r="W1035" t="s">
        <v>40</v>
      </c>
      <c r="X1035" s="4">
        <v>45838</v>
      </c>
    </row>
    <row r="1036" spans="1:24" x14ac:dyDescent="0.3">
      <c r="A1036">
        <v>1035</v>
      </c>
      <c r="B1036" s="8">
        <v>345</v>
      </c>
      <c r="C1036">
        <v>3</v>
      </c>
      <c r="D1036" t="s">
        <v>21</v>
      </c>
      <c r="E1036" t="s">
        <v>22</v>
      </c>
      <c r="F1036">
        <v>18</v>
      </c>
      <c r="G1036" t="str">
        <f>IF(Table2[[#This Row],[Age]]&gt;=30,"Experienced",IF(Table2[[#This Row],[Age]]&gt;=25,"Mid Level", "Entry Level"))</f>
        <v>Entry Level</v>
      </c>
      <c r="H1036" t="s">
        <v>24</v>
      </c>
      <c r="I1036" t="s">
        <v>32</v>
      </c>
      <c r="J1036" s="4">
        <v>45785</v>
      </c>
      <c r="K1036" s="4" t="str">
        <f>TEXT(Table2[[#This Row],[Enrollment_date]],"Mmm")</f>
        <v>May</v>
      </c>
      <c r="L1036" s="4" t="str">
        <f>TEXT(Table2[[#This Row],[Enrollment_date]],"Ddd")</f>
        <v>Thu</v>
      </c>
      <c r="M1036" s="4" t="s">
        <v>34</v>
      </c>
      <c r="N1036" t="s">
        <v>37</v>
      </c>
      <c r="O1036" t="s">
        <v>38</v>
      </c>
      <c r="P1036" s="8">
        <v>4</v>
      </c>
      <c r="Q1036" s="6">
        <v>0.70833333333333337</v>
      </c>
      <c r="R1036" s="6">
        <v>70.5</v>
      </c>
      <c r="S1036" s="6" t="str">
        <f>IF(Table2[[#This Row],[Avg_score]]&gt;=79,"Distinction",IF(Table2[[#This Row],[Avg_score]]&gt;=60,"Pass","Fail"))</f>
        <v>Pass</v>
      </c>
      <c r="T1036" t="s">
        <v>39</v>
      </c>
      <c r="U1036">
        <f>IF(Table2[[#This Row],[Completed]]="Yes",1,0)</f>
        <v>1</v>
      </c>
      <c r="V1036" t="s">
        <v>39</v>
      </c>
      <c r="W1036" t="s">
        <v>40</v>
      </c>
      <c r="X1036" s="4">
        <v>45838</v>
      </c>
    </row>
    <row r="1037" spans="1:24" x14ac:dyDescent="0.3">
      <c r="A1037">
        <v>1036</v>
      </c>
      <c r="B1037" s="8">
        <v>346</v>
      </c>
      <c r="C1037">
        <v>1</v>
      </c>
      <c r="D1037" t="s">
        <v>19</v>
      </c>
      <c r="E1037" t="s">
        <v>23</v>
      </c>
      <c r="F1037">
        <v>35</v>
      </c>
      <c r="G1037" t="str">
        <f>IF(Table2[[#This Row],[Age]]&gt;=30,"Experienced",IF(Table2[[#This Row],[Age]]&gt;=25,"Mid Level", "Entry Level"))</f>
        <v>Experienced</v>
      </c>
      <c r="H1037" t="s">
        <v>25</v>
      </c>
      <c r="I1037" t="s">
        <v>30</v>
      </c>
      <c r="J1037" s="4">
        <v>45724</v>
      </c>
      <c r="K1037" s="4" t="str">
        <f>TEXT(Table2[[#This Row],[Enrollment_date]],"Mmm")</f>
        <v>Mar</v>
      </c>
      <c r="L1037" s="4" t="str">
        <f>TEXT(Table2[[#This Row],[Enrollment_date]],"Ddd")</f>
        <v>Sat</v>
      </c>
      <c r="M1037" s="4" t="s">
        <v>34</v>
      </c>
      <c r="N1037" t="s">
        <v>35</v>
      </c>
      <c r="O1037" t="s">
        <v>38</v>
      </c>
      <c r="P1037" s="8">
        <v>4</v>
      </c>
      <c r="Q1037" s="6">
        <v>0.83333333333333337</v>
      </c>
      <c r="R1037" s="6">
        <v>82</v>
      </c>
      <c r="S1037" s="6" t="str">
        <f>IF(Table2[[#This Row],[Avg_score]]&gt;=79,"Distinction",IF(Table2[[#This Row],[Avg_score]]&gt;=60,"Pass","Fail"))</f>
        <v>Distinction</v>
      </c>
      <c r="T1037" t="s">
        <v>39</v>
      </c>
      <c r="U1037">
        <f>IF(Table2[[#This Row],[Completed]]="Yes",1,0)</f>
        <v>1</v>
      </c>
      <c r="V1037" t="s">
        <v>39</v>
      </c>
      <c r="W1037" t="s">
        <v>40</v>
      </c>
      <c r="X1037" s="4">
        <v>45838</v>
      </c>
    </row>
    <row r="1038" spans="1:24" x14ac:dyDescent="0.3">
      <c r="A1038">
        <v>1037</v>
      </c>
      <c r="B1038" s="8">
        <v>346</v>
      </c>
      <c r="C1038">
        <v>2</v>
      </c>
      <c r="D1038" t="s">
        <v>21</v>
      </c>
      <c r="E1038" t="s">
        <v>23</v>
      </c>
      <c r="F1038">
        <v>35</v>
      </c>
      <c r="G1038" t="str">
        <f>IF(Table2[[#This Row],[Age]]&gt;=30,"Experienced",IF(Table2[[#This Row],[Age]]&gt;=25,"Mid Level", "Entry Level"))</f>
        <v>Experienced</v>
      </c>
      <c r="H1038" t="s">
        <v>25</v>
      </c>
      <c r="I1038" t="s">
        <v>30</v>
      </c>
      <c r="J1038" s="4">
        <v>45724</v>
      </c>
      <c r="K1038" s="4" t="str">
        <f>TEXT(Table2[[#This Row],[Enrollment_date]],"Mmm")</f>
        <v>Mar</v>
      </c>
      <c r="L1038" s="4" t="str">
        <f>TEXT(Table2[[#This Row],[Enrollment_date]],"Ddd")</f>
        <v>Sat</v>
      </c>
      <c r="M1038" s="4" t="s">
        <v>34</v>
      </c>
      <c r="N1038" t="s">
        <v>36</v>
      </c>
      <c r="O1038" t="s">
        <v>38</v>
      </c>
      <c r="P1038" s="8">
        <v>4</v>
      </c>
      <c r="Q1038" s="6">
        <v>0.77083333333333337</v>
      </c>
      <c r="R1038" s="6">
        <v>85</v>
      </c>
      <c r="S1038" s="6" t="str">
        <f>IF(Table2[[#This Row],[Avg_score]]&gt;=79,"Distinction",IF(Table2[[#This Row],[Avg_score]]&gt;=60,"Pass","Fail"))</f>
        <v>Distinction</v>
      </c>
      <c r="T1038" t="s">
        <v>39</v>
      </c>
      <c r="U1038">
        <f>IF(Table2[[#This Row],[Completed]]="Yes",1,0)</f>
        <v>1</v>
      </c>
      <c r="V1038" t="s">
        <v>39</v>
      </c>
      <c r="W1038" t="s">
        <v>40</v>
      </c>
      <c r="X1038" s="4">
        <v>45838</v>
      </c>
    </row>
    <row r="1039" spans="1:24" x14ac:dyDescent="0.3">
      <c r="A1039">
        <v>1038</v>
      </c>
      <c r="B1039" s="8">
        <v>346</v>
      </c>
      <c r="C1039">
        <v>3</v>
      </c>
      <c r="D1039" t="s">
        <v>19</v>
      </c>
      <c r="E1039" t="s">
        <v>23</v>
      </c>
      <c r="F1039">
        <v>35</v>
      </c>
      <c r="G1039" t="str">
        <f>IF(Table2[[#This Row],[Age]]&gt;=30,"Experienced",IF(Table2[[#This Row],[Age]]&gt;=25,"Mid Level", "Entry Level"))</f>
        <v>Experienced</v>
      </c>
      <c r="H1039" t="s">
        <v>25</v>
      </c>
      <c r="I1039" t="s">
        <v>30</v>
      </c>
      <c r="J1039" s="4">
        <v>45724</v>
      </c>
      <c r="K1039" s="4" t="str">
        <f>TEXT(Table2[[#This Row],[Enrollment_date]],"Mmm")</f>
        <v>Mar</v>
      </c>
      <c r="L1039" s="4" t="str">
        <f>TEXT(Table2[[#This Row],[Enrollment_date]],"Ddd")</f>
        <v>Sat</v>
      </c>
      <c r="M1039" s="4" t="s">
        <v>34</v>
      </c>
      <c r="N1039" t="s">
        <v>37</v>
      </c>
      <c r="O1039" t="s">
        <v>38</v>
      </c>
      <c r="P1039" s="8">
        <v>4</v>
      </c>
      <c r="Q1039" s="6">
        <v>0.875</v>
      </c>
      <c r="R1039" s="6">
        <v>70</v>
      </c>
      <c r="S1039" s="6" t="str">
        <f>IF(Table2[[#This Row],[Avg_score]]&gt;=79,"Distinction",IF(Table2[[#This Row],[Avg_score]]&gt;=60,"Pass","Fail"))</f>
        <v>Pass</v>
      </c>
      <c r="T1039" t="s">
        <v>39</v>
      </c>
      <c r="U1039">
        <f>IF(Table2[[#This Row],[Completed]]="Yes",1,0)</f>
        <v>1</v>
      </c>
      <c r="V1039" t="s">
        <v>39</v>
      </c>
      <c r="W1039" t="s">
        <v>40</v>
      </c>
      <c r="X1039" s="4">
        <v>45838</v>
      </c>
    </row>
    <row r="1040" spans="1:24" x14ac:dyDescent="0.3">
      <c r="A1040">
        <v>1039</v>
      </c>
      <c r="B1040" s="8">
        <v>347</v>
      </c>
      <c r="C1040">
        <v>1</v>
      </c>
      <c r="D1040" t="s">
        <v>19</v>
      </c>
      <c r="E1040" t="s">
        <v>23</v>
      </c>
      <c r="F1040">
        <v>24</v>
      </c>
      <c r="G1040" t="str">
        <f>IF(Table2[[#This Row],[Age]]&gt;=30,"Experienced",IF(Table2[[#This Row],[Age]]&gt;=25,"Mid Level", "Entry Level"))</f>
        <v>Entry Level</v>
      </c>
      <c r="H1040" t="s">
        <v>26</v>
      </c>
      <c r="I1040" t="s">
        <v>30</v>
      </c>
      <c r="J1040" s="4">
        <v>45783</v>
      </c>
      <c r="K1040" s="4" t="str">
        <f>TEXT(Table2[[#This Row],[Enrollment_date]],"Mmm")</f>
        <v>May</v>
      </c>
      <c r="L1040" s="4" t="str">
        <f>TEXT(Table2[[#This Row],[Enrollment_date]],"Ddd")</f>
        <v>Tue</v>
      </c>
      <c r="M1040" s="4" t="s">
        <v>34</v>
      </c>
      <c r="N1040" t="s">
        <v>35</v>
      </c>
      <c r="O1040" t="s">
        <v>38</v>
      </c>
      <c r="P1040" s="8">
        <v>4</v>
      </c>
      <c r="Q1040" s="6">
        <v>0.77083333333333337</v>
      </c>
      <c r="R1040" s="6">
        <v>95.5</v>
      </c>
      <c r="S1040" s="6" t="str">
        <f>IF(Table2[[#This Row],[Avg_score]]&gt;=79,"Distinction",IF(Table2[[#This Row],[Avg_score]]&gt;=60,"Pass","Fail"))</f>
        <v>Distinction</v>
      </c>
      <c r="T1040" t="s">
        <v>39</v>
      </c>
      <c r="U1040">
        <f>IF(Table2[[#This Row],[Completed]]="Yes",1,0)</f>
        <v>1</v>
      </c>
      <c r="V1040" t="s">
        <v>39</v>
      </c>
      <c r="W1040" t="s">
        <v>40</v>
      </c>
      <c r="X1040" s="4">
        <v>45838</v>
      </c>
    </row>
    <row r="1041" spans="1:24" x14ac:dyDescent="0.3">
      <c r="A1041">
        <v>1040</v>
      </c>
      <c r="B1041" s="8">
        <v>347</v>
      </c>
      <c r="C1041">
        <v>2</v>
      </c>
      <c r="D1041" t="s">
        <v>19</v>
      </c>
      <c r="E1041" t="s">
        <v>23</v>
      </c>
      <c r="F1041">
        <v>24</v>
      </c>
      <c r="G1041" t="str">
        <f>IF(Table2[[#This Row],[Age]]&gt;=30,"Experienced",IF(Table2[[#This Row],[Age]]&gt;=25,"Mid Level", "Entry Level"))</f>
        <v>Entry Level</v>
      </c>
      <c r="H1041" t="s">
        <v>26</v>
      </c>
      <c r="I1041" t="s">
        <v>30</v>
      </c>
      <c r="J1041" s="4">
        <v>45783</v>
      </c>
      <c r="K1041" s="4" t="str">
        <f>TEXT(Table2[[#This Row],[Enrollment_date]],"Mmm")</f>
        <v>May</v>
      </c>
      <c r="L1041" s="4" t="str">
        <f>TEXT(Table2[[#This Row],[Enrollment_date]],"Ddd")</f>
        <v>Tue</v>
      </c>
      <c r="M1041" s="4" t="s">
        <v>34</v>
      </c>
      <c r="N1041" t="s">
        <v>36</v>
      </c>
      <c r="O1041" t="s">
        <v>38</v>
      </c>
      <c r="P1041" s="8">
        <v>4</v>
      </c>
      <c r="Q1041" s="6">
        <v>0.77083333333333337</v>
      </c>
      <c r="R1041" s="6">
        <v>86</v>
      </c>
      <c r="S1041" s="6" t="str">
        <f>IF(Table2[[#This Row],[Avg_score]]&gt;=79,"Distinction",IF(Table2[[#This Row],[Avg_score]]&gt;=60,"Pass","Fail"))</f>
        <v>Distinction</v>
      </c>
      <c r="T1041" t="s">
        <v>39</v>
      </c>
      <c r="U1041">
        <f>IF(Table2[[#This Row],[Completed]]="Yes",1,0)</f>
        <v>1</v>
      </c>
      <c r="V1041" t="s">
        <v>39</v>
      </c>
      <c r="W1041" t="s">
        <v>40</v>
      </c>
      <c r="X1041" s="4">
        <v>45838</v>
      </c>
    </row>
    <row r="1042" spans="1:24" x14ac:dyDescent="0.3">
      <c r="A1042">
        <v>1041</v>
      </c>
      <c r="B1042" s="8">
        <v>347</v>
      </c>
      <c r="C1042">
        <v>3</v>
      </c>
      <c r="D1042" t="s">
        <v>19</v>
      </c>
      <c r="E1042" t="s">
        <v>23</v>
      </c>
      <c r="F1042">
        <v>24</v>
      </c>
      <c r="G1042" t="str">
        <f>IF(Table2[[#This Row],[Age]]&gt;=30,"Experienced",IF(Table2[[#This Row],[Age]]&gt;=25,"Mid Level", "Entry Level"))</f>
        <v>Entry Level</v>
      </c>
      <c r="H1042" t="s">
        <v>26</v>
      </c>
      <c r="I1042" t="s">
        <v>30</v>
      </c>
      <c r="J1042" s="4">
        <v>45783</v>
      </c>
      <c r="K1042" s="4" t="str">
        <f>TEXT(Table2[[#This Row],[Enrollment_date]],"Mmm")</f>
        <v>May</v>
      </c>
      <c r="L1042" s="4" t="str">
        <f>TEXT(Table2[[#This Row],[Enrollment_date]],"Ddd")</f>
        <v>Tue</v>
      </c>
      <c r="M1042" s="4" t="s">
        <v>34</v>
      </c>
      <c r="N1042" t="s">
        <v>37</v>
      </c>
      <c r="O1042" t="s">
        <v>38</v>
      </c>
      <c r="P1042" s="8">
        <v>4</v>
      </c>
      <c r="Q1042" s="6">
        <v>0.8125</v>
      </c>
      <c r="R1042" s="6">
        <v>89.5</v>
      </c>
      <c r="S1042" s="6" t="str">
        <f>IF(Table2[[#This Row],[Avg_score]]&gt;=79,"Distinction",IF(Table2[[#This Row],[Avg_score]]&gt;=60,"Pass","Fail"))</f>
        <v>Distinction</v>
      </c>
      <c r="T1042" t="s">
        <v>39</v>
      </c>
      <c r="U1042">
        <f>IF(Table2[[#This Row],[Completed]]="Yes",1,0)</f>
        <v>1</v>
      </c>
      <c r="V1042" t="s">
        <v>39</v>
      </c>
      <c r="W1042" t="s">
        <v>40</v>
      </c>
      <c r="X1042" s="4">
        <v>45838</v>
      </c>
    </row>
    <row r="1043" spans="1:24" x14ac:dyDescent="0.3">
      <c r="A1043">
        <v>1042</v>
      </c>
      <c r="B1043" s="8">
        <v>348</v>
      </c>
      <c r="C1043">
        <v>1</v>
      </c>
      <c r="D1043" t="s">
        <v>19</v>
      </c>
      <c r="E1043" t="s">
        <v>22</v>
      </c>
      <c r="F1043">
        <v>21</v>
      </c>
      <c r="G1043" t="str">
        <f>IF(Table2[[#This Row],[Age]]&gt;=30,"Experienced",IF(Table2[[#This Row],[Age]]&gt;=25,"Mid Level", "Entry Level"))</f>
        <v>Entry Level</v>
      </c>
      <c r="H1043" t="s">
        <v>28</v>
      </c>
      <c r="I1043" t="s">
        <v>68</v>
      </c>
      <c r="J1043" s="4">
        <v>45773</v>
      </c>
      <c r="K1043" s="4" t="str">
        <f>TEXT(Table2[[#This Row],[Enrollment_date]],"Mmm")</f>
        <v>Apr</v>
      </c>
      <c r="L1043" s="4" t="str">
        <f>TEXT(Table2[[#This Row],[Enrollment_date]],"Ddd")</f>
        <v>Sat</v>
      </c>
      <c r="M1043" s="4" t="s">
        <v>34</v>
      </c>
      <c r="N1043" t="s">
        <v>35</v>
      </c>
      <c r="O1043" t="s">
        <v>38</v>
      </c>
      <c r="P1043" s="8">
        <v>4</v>
      </c>
      <c r="Q1043" s="6">
        <v>0.79166666666666663</v>
      </c>
      <c r="R1043" s="6">
        <v>67</v>
      </c>
      <c r="S1043" s="6" t="str">
        <f>IF(Table2[[#This Row],[Avg_score]]&gt;=79,"Distinction",IF(Table2[[#This Row],[Avg_score]]&gt;=60,"Pass","Fail"))</f>
        <v>Pass</v>
      </c>
      <c r="T1043" t="s">
        <v>39</v>
      </c>
      <c r="U1043">
        <f>IF(Table2[[#This Row],[Completed]]="Yes",1,0)</f>
        <v>1</v>
      </c>
      <c r="V1043" t="s">
        <v>40</v>
      </c>
      <c r="W1043" t="s">
        <v>39</v>
      </c>
      <c r="X1043" s="4">
        <v>45838</v>
      </c>
    </row>
    <row r="1044" spans="1:24" x14ac:dyDescent="0.3">
      <c r="A1044">
        <v>1043</v>
      </c>
      <c r="B1044" s="8">
        <v>348</v>
      </c>
      <c r="C1044">
        <v>2</v>
      </c>
      <c r="D1044" t="s">
        <v>19</v>
      </c>
      <c r="E1044" t="s">
        <v>22</v>
      </c>
      <c r="F1044">
        <v>21</v>
      </c>
      <c r="G1044" t="str">
        <f>IF(Table2[[#This Row],[Age]]&gt;=30,"Experienced",IF(Table2[[#This Row],[Age]]&gt;=25,"Mid Level", "Entry Level"))</f>
        <v>Entry Level</v>
      </c>
      <c r="H1044" t="s">
        <v>28</v>
      </c>
      <c r="I1044" t="s">
        <v>68</v>
      </c>
      <c r="J1044" s="4">
        <v>45773</v>
      </c>
      <c r="K1044" s="4" t="str">
        <f>TEXT(Table2[[#This Row],[Enrollment_date]],"Mmm")</f>
        <v>Apr</v>
      </c>
      <c r="L1044" s="4" t="str">
        <f>TEXT(Table2[[#This Row],[Enrollment_date]],"Ddd")</f>
        <v>Sat</v>
      </c>
      <c r="M1044" s="4" t="s">
        <v>34</v>
      </c>
      <c r="N1044" t="s">
        <v>36</v>
      </c>
      <c r="O1044" t="s">
        <v>38</v>
      </c>
      <c r="P1044" s="8">
        <v>4</v>
      </c>
      <c r="Q1044" s="6">
        <v>0.85416666666666663</v>
      </c>
      <c r="R1044" s="6">
        <v>90</v>
      </c>
      <c r="S1044" s="6" t="str">
        <f>IF(Table2[[#This Row],[Avg_score]]&gt;=79,"Distinction",IF(Table2[[#This Row],[Avg_score]]&gt;=60,"Pass","Fail"))</f>
        <v>Distinction</v>
      </c>
      <c r="T1044" t="s">
        <v>39</v>
      </c>
      <c r="U1044">
        <f>IF(Table2[[#This Row],[Completed]]="Yes",1,0)</f>
        <v>1</v>
      </c>
      <c r="V1044" t="s">
        <v>40</v>
      </c>
      <c r="W1044" t="s">
        <v>39</v>
      </c>
      <c r="X1044" s="4">
        <v>45838</v>
      </c>
    </row>
    <row r="1045" spans="1:24" x14ac:dyDescent="0.3">
      <c r="A1045">
        <v>1044</v>
      </c>
      <c r="B1045" s="8">
        <v>348</v>
      </c>
      <c r="C1045">
        <v>3</v>
      </c>
      <c r="D1045" t="s">
        <v>19</v>
      </c>
      <c r="E1045" t="s">
        <v>22</v>
      </c>
      <c r="F1045">
        <v>21</v>
      </c>
      <c r="G1045" t="str">
        <f>IF(Table2[[#This Row],[Age]]&gt;=30,"Experienced",IF(Table2[[#This Row],[Age]]&gt;=25,"Mid Level", "Entry Level"))</f>
        <v>Entry Level</v>
      </c>
      <c r="H1045" t="s">
        <v>28</v>
      </c>
      <c r="I1045" t="s">
        <v>68</v>
      </c>
      <c r="J1045" s="4">
        <v>45773</v>
      </c>
      <c r="K1045" s="4" t="str">
        <f>TEXT(Table2[[#This Row],[Enrollment_date]],"Mmm")</f>
        <v>Apr</v>
      </c>
      <c r="L1045" s="4" t="str">
        <f>TEXT(Table2[[#This Row],[Enrollment_date]],"Ddd")</f>
        <v>Sat</v>
      </c>
      <c r="M1045" s="4" t="s">
        <v>34</v>
      </c>
      <c r="N1045" t="s">
        <v>37</v>
      </c>
      <c r="O1045" t="s">
        <v>38</v>
      </c>
      <c r="P1045" s="8">
        <v>4</v>
      </c>
      <c r="Q1045" s="6">
        <v>0.85416666666666663</v>
      </c>
      <c r="R1045" s="6">
        <v>75</v>
      </c>
      <c r="S1045" s="6" t="str">
        <f>IF(Table2[[#This Row],[Avg_score]]&gt;=79,"Distinction",IF(Table2[[#This Row],[Avg_score]]&gt;=60,"Pass","Fail"))</f>
        <v>Pass</v>
      </c>
      <c r="T1045" t="s">
        <v>39</v>
      </c>
      <c r="U1045">
        <f>IF(Table2[[#This Row],[Completed]]="Yes",1,0)</f>
        <v>1</v>
      </c>
      <c r="V1045" t="s">
        <v>40</v>
      </c>
      <c r="W1045" t="s">
        <v>39</v>
      </c>
      <c r="X1045" s="4">
        <v>45838</v>
      </c>
    </row>
    <row r="1046" spans="1:24" x14ac:dyDescent="0.3">
      <c r="A1046">
        <v>1045</v>
      </c>
      <c r="B1046" s="8">
        <v>349</v>
      </c>
      <c r="C1046">
        <v>1</v>
      </c>
      <c r="D1046" t="s">
        <v>20</v>
      </c>
      <c r="E1046" t="s">
        <v>22</v>
      </c>
      <c r="F1046">
        <v>32</v>
      </c>
      <c r="G1046" t="str">
        <f>IF(Table2[[#This Row],[Age]]&gt;=30,"Experienced",IF(Table2[[#This Row],[Age]]&gt;=25,"Mid Level", "Entry Level"))</f>
        <v>Experienced</v>
      </c>
      <c r="H1046" t="s">
        <v>25</v>
      </c>
      <c r="I1046" t="s">
        <v>30</v>
      </c>
      <c r="J1046" s="4">
        <v>45746</v>
      </c>
      <c r="K1046" s="4" t="str">
        <f>TEXT(Table2[[#This Row],[Enrollment_date]],"Mmm")</f>
        <v>Mar</v>
      </c>
      <c r="L1046" s="4" t="str">
        <f>TEXT(Table2[[#This Row],[Enrollment_date]],"Ddd")</f>
        <v>Sun</v>
      </c>
      <c r="M1046" s="4" t="s">
        <v>34</v>
      </c>
      <c r="N1046" t="s">
        <v>35</v>
      </c>
      <c r="O1046" t="s">
        <v>38</v>
      </c>
      <c r="P1046" s="8">
        <v>4</v>
      </c>
      <c r="Q1046" s="6">
        <v>0.875</v>
      </c>
      <c r="R1046" s="6">
        <v>71.5</v>
      </c>
      <c r="S1046" s="6" t="str">
        <f>IF(Table2[[#This Row],[Avg_score]]&gt;=79,"Distinction",IF(Table2[[#This Row],[Avg_score]]&gt;=60,"Pass","Fail"))</f>
        <v>Pass</v>
      </c>
      <c r="T1046" t="s">
        <v>39</v>
      </c>
      <c r="U1046">
        <f>IF(Table2[[#This Row],[Completed]]="Yes",1,0)</f>
        <v>1</v>
      </c>
      <c r="V1046" t="s">
        <v>39</v>
      </c>
      <c r="W1046" t="s">
        <v>39</v>
      </c>
      <c r="X1046" s="4">
        <v>45838</v>
      </c>
    </row>
    <row r="1047" spans="1:24" x14ac:dyDescent="0.3">
      <c r="A1047">
        <v>1046</v>
      </c>
      <c r="B1047" s="8">
        <v>349</v>
      </c>
      <c r="C1047">
        <v>2</v>
      </c>
      <c r="D1047" t="s">
        <v>19</v>
      </c>
      <c r="E1047" t="s">
        <v>22</v>
      </c>
      <c r="F1047">
        <v>32</v>
      </c>
      <c r="G1047" t="str">
        <f>IF(Table2[[#This Row],[Age]]&gt;=30,"Experienced",IF(Table2[[#This Row],[Age]]&gt;=25,"Mid Level", "Entry Level"))</f>
        <v>Experienced</v>
      </c>
      <c r="H1047" t="s">
        <v>25</v>
      </c>
      <c r="I1047" t="s">
        <v>30</v>
      </c>
      <c r="J1047" s="4">
        <v>45746</v>
      </c>
      <c r="K1047" s="4" t="str">
        <f>TEXT(Table2[[#This Row],[Enrollment_date]],"Mmm")</f>
        <v>Mar</v>
      </c>
      <c r="L1047" s="4" t="str">
        <f>TEXT(Table2[[#This Row],[Enrollment_date]],"Ddd")</f>
        <v>Sun</v>
      </c>
      <c r="M1047" s="4" t="s">
        <v>34</v>
      </c>
      <c r="N1047" t="s">
        <v>36</v>
      </c>
      <c r="O1047" t="s">
        <v>38</v>
      </c>
      <c r="P1047" s="8">
        <v>4</v>
      </c>
      <c r="Q1047" s="6">
        <v>0.79166666666666663</v>
      </c>
      <c r="R1047" s="6">
        <v>81</v>
      </c>
      <c r="S1047" s="6" t="str">
        <f>IF(Table2[[#This Row],[Avg_score]]&gt;=79,"Distinction",IF(Table2[[#This Row],[Avg_score]]&gt;=60,"Pass","Fail"))</f>
        <v>Distinction</v>
      </c>
      <c r="T1047" t="s">
        <v>39</v>
      </c>
      <c r="U1047">
        <f>IF(Table2[[#This Row],[Completed]]="Yes",1,0)</f>
        <v>1</v>
      </c>
      <c r="V1047" t="s">
        <v>39</v>
      </c>
      <c r="W1047" t="s">
        <v>39</v>
      </c>
      <c r="X1047" s="4">
        <v>45838</v>
      </c>
    </row>
    <row r="1048" spans="1:24" x14ac:dyDescent="0.3">
      <c r="A1048">
        <v>1047</v>
      </c>
      <c r="B1048" s="8">
        <v>349</v>
      </c>
      <c r="C1048">
        <v>3</v>
      </c>
      <c r="D1048" t="s">
        <v>19</v>
      </c>
      <c r="E1048" t="s">
        <v>22</v>
      </c>
      <c r="F1048">
        <v>32</v>
      </c>
      <c r="G1048" t="str">
        <f>IF(Table2[[#This Row],[Age]]&gt;=30,"Experienced",IF(Table2[[#This Row],[Age]]&gt;=25,"Mid Level", "Entry Level"))</f>
        <v>Experienced</v>
      </c>
      <c r="H1048" t="s">
        <v>25</v>
      </c>
      <c r="I1048" t="s">
        <v>30</v>
      </c>
      <c r="J1048" s="4">
        <v>45746</v>
      </c>
      <c r="K1048" s="4" t="str">
        <f>TEXT(Table2[[#This Row],[Enrollment_date]],"Mmm")</f>
        <v>Mar</v>
      </c>
      <c r="L1048" s="4" t="str">
        <f>TEXT(Table2[[#This Row],[Enrollment_date]],"Ddd")</f>
        <v>Sun</v>
      </c>
      <c r="M1048" s="4" t="s">
        <v>34</v>
      </c>
      <c r="N1048" t="s">
        <v>37</v>
      </c>
      <c r="O1048" t="s">
        <v>38</v>
      </c>
      <c r="P1048" s="8">
        <v>4</v>
      </c>
      <c r="Q1048" s="6">
        <v>0.875</v>
      </c>
      <c r="R1048" s="6">
        <v>91</v>
      </c>
      <c r="S1048" s="6" t="str">
        <f>IF(Table2[[#This Row],[Avg_score]]&gt;=79,"Distinction",IF(Table2[[#This Row],[Avg_score]]&gt;=60,"Pass","Fail"))</f>
        <v>Distinction</v>
      </c>
      <c r="T1048" t="s">
        <v>39</v>
      </c>
      <c r="U1048">
        <f>IF(Table2[[#This Row],[Completed]]="Yes",1,0)</f>
        <v>1</v>
      </c>
      <c r="V1048" t="s">
        <v>39</v>
      </c>
      <c r="W1048" t="s">
        <v>39</v>
      </c>
      <c r="X1048" s="4">
        <v>45838</v>
      </c>
    </row>
    <row r="1049" spans="1:24" x14ac:dyDescent="0.3">
      <c r="A1049">
        <v>1048</v>
      </c>
      <c r="B1049" s="8">
        <v>350</v>
      </c>
      <c r="C1049">
        <v>1</v>
      </c>
      <c r="D1049" t="s">
        <v>19</v>
      </c>
      <c r="E1049" t="s">
        <v>22</v>
      </c>
      <c r="F1049">
        <v>35</v>
      </c>
      <c r="G1049" t="str">
        <f>IF(Table2[[#This Row],[Age]]&gt;=30,"Experienced",IF(Table2[[#This Row],[Age]]&gt;=25,"Mid Level", "Entry Level"))</f>
        <v>Experienced</v>
      </c>
      <c r="H1049" t="s">
        <v>26</v>
      </c>
      <c r="I1049" t="s">
        <v>30</v>
      </c>
      <c r="J1049" s="4">
        <v>45734</v>
      </c>
      <c r="K1049" s="4" t="str">
        <f>TEXT(Table2[[#This Row],[Enrollment_date]],"Mmm")</f>
        <v>Mar</v>
      </c>
      <c r="L1049" s="4" t="str">
        <f>TEXT(Table2[[#This Row],[Enrollment_date]],"Ddd")</f>
        <v>Tue</v>
      </c>
      <c r="M1049" s="4" t="s">
        <v>34</v>
      </c>
      <c r="N1049" t="s">
        <v>35</v>
      </c>
      <c r="O1049" t="s">
        <v>38</v>
      </c>
      <c r="P1049" s="8">
        <v>4</v>
      </c>
      <c r="Q1049" s="6">
        <v>0.79166666666666663</v>
      </c>
      <c r="R1049" s="6">
        <v>49.5</v>
      </c>
      <c r="S1049" s="6" t="str">
        <f>IF(Table2[[#This Row],[Avg_score]]&gt;=79,"Distinction",IF(Table2[[#This Row],[Avg_score]]&gt;=60,"Pass","Fail"))</f>
        <v>Fail</v>
      </c>
      <c r="T1049" t="s">
        <v>39</v>
      </c>
      <c r="U1049">
        <f>IF(Table2[[#This Row],[Completed]]="Yes",1,0)</f>
        <v>1</v>
      </c>
      <c r="V1049" t="s">
        <v>40</v>
      </c>
      <c r="W1049" t="s">
        <v>40</v>
      </c>
      <c r="X1049" s="4">
        <v>45838</v>
      </c>
    </row>
    <row r="1050" spans="1:24" x14ac:dyDescent="0.3">
      <c r="A1050">
        <v>1049</v>
      </c>
      <c r="B1050" s="8">
        <v>350</v>
      </c>
      <c r="C1050">
        <v>2</v>
      </c>
      <c r="D1050" t="s">
        <v>21</v>
      </c>
      <c r="E1050" t="s">
        <v>22</v>
      </c>
      <c r="F1050">
        <v>35</v>
      </c>
      <c r="G1050" t="str">
        <f>IF(Table2[[#This Row],[Age]]&gt;=30,"Experienced",IF(Table2[[#This Row],[Age]]&gt;=25,"Mid Level", "Entry Level"))</f>
        <v>Experienced</v>
      </c>
      <c r="H1050" t="s">
        <v>26</v>
      </c>
      <c r="I1050" t="s">
        <v>30</v>
      </c>
      <c r="J1050" s="4">
        <v>45734</v>
      </c>
      <c r="K1050" s="4" t="str">
        <f>TEXT(Table2[[#This Row],[Enrollment_date]],"Mmm")</f>
        <v>Mar</v>
      </c>
      <c r="L1050" s="4" t="str">
        <f>TEXT(Table2[[#This Row],[Enrollment_date]],"Ddd")</f>
        <v>Tue</v>
      </c>
      <c r="M1050" s="4" t="s">
        <v>34</v>
      </c>
      <c r="N1050" t="s">
        <v>36</v>
      </c>
      <c r="O1050" t="s">
        <v>38</v>
      </c>
      <c r="P1050" s="8">
        <v>4</v>
      </c>
      <c r="Q1050" s="6">
        <v>0.75</v>
      </c>
      <c r="R1050" s="6">
        <v>72.5</v>
      </c>
      <c r="S1050" s="6" t="str">
        <f>IF(Table2[[#This Row],[Avg_score]]&gt;=79,"Distinction",IF(Table2[[#This Row],[Avg_score]]&gt;=60,"Pass","Fail"))</f>
        <v>Pass</v>
      </c>
      <c r="T1050" t="s">
        <v>39</v>
      </c>
      <c r="U1050">
        <f>IF(Table2[[#This Row],[Completed]]="Yes",1,0)</f>
        <v>1</v>
      </c>
      <c r="V1050" t="s">
        <v>40</v>
      </c>
      <c r="W1050" t="s">
        <v>40</v>
      </c>
      <c r="X1050" s="4">
        <v>45838</v>
      </c>
    </row>
    <row r="1051" spans="1:24" x14ac:dyDescent="0.3">
      <c r="A1051">
        <v>1050</v>
      </c>
      <c r="B1051" s="8">
        <v>350</v>
      </c>
      <c r="C1051">
        <v>3</v>
      </c>
      <c r="D1051" t="s">
        <v>19</v>
      </c>
      <c r="E1051" t="s">
        <v>22</v>
      </c>
      <c r="F1051">
        <v>35</v>
      </c>
      <c r="G1051" t="str">
        <f>IF(Table2[[#This Row],[Age]]&gt;=30,"Experienced",IF(Table2[[#This Row],[Age]]&gt;=25,"Mid Level", "Entry Level"))</f>
        <v>Experienced</v>
      </c>
      <c r="H1051" t="s">
        <v>26</v>
      </c>
      <c r="I1051" t="s">
        <v>30</v>
      </c>
      <c r="J1051" s="4">
        <v>45734</v>
      </c>
      <c r="K1051" s="4" t="str">
        <f>TEXT(Table2[[#This Row],[Enrollment_date]],"Mmm")</f>
        <v>Mar</v>
      </c>
      <c r="L1051" s="4" t="str">
        <f>TEXT(Table2[[#This Row],[Enrollment_date]],"Ddd")</f>
        <v>Tue</v>
      </c>
      <c r="M1051" s="4" t="s">
        <v>34</v>
      </c>
      <c r="N1051" t="s">
        <v>37</v>
      </c>
      <c r="O1051" t="s">
        <v>38</v>
      </c>
      <c r="P1051" s="8">
        <v>4</v>
      </c>
      <c r="Q1051" s="6">
        <v>0.85416666666666663</v>
      </c>
      <c r="R1051" s="6">
        <v>67</v>
      </c>
      <c r="S1051" s="6" t="str">
        <f>IF(Table2[[#This Row],[Avg_score]]&gt;=79,"Distinction",IF(Table2[[#This Row],[Avg_score]]&gt;=60,"Pass","Fail"))</f>
        <v>Pass</v>
      </c>
      <c r="T1051" t="s">
        <v>39</v>
      </c>
      <c r="U1051">
        <f>IF(Table2[[#This Row],[Completed]]="Yes",1,0)</f>
        <v>1</v>
      </c>
      <c r="V1051" t="s">
        <v>40</v>
      </c>
      <c r="W1051" t="s">
        <v>40</v>
      </c>
      <c r="X1051" s="4">
        <v>45838</v>
      </c>
    </row>
    <row r="1052" spans="1:24" x14ac:dyDescent="0.3">
      <c r="A1052">
        <v>1051</v>
      </c>
      <c r="B1052" s="8">
        <v>351</v>
      </c>
      <c r="C1052">
        <v>1</v>
      </c>
      <c r="D1052" t="s">
        <v>19</v>
      </c>
      <c r="E1052" t="s">
        <v>22</v>
      </c>
      <c r="F1052">
        <v>23</v>
      </c>
      <c r="G1052" t="str">
        <f>IF(Table2[[#This Row],[Age]]&gt;=30,"Experienced",IF(Table2[[#This Row],[Age]]&gt;=25,"Mid Level", "Entry Level"))</f>
        <v>Entry Level</v>
      </c>
      <c r="H1052" t="s">
        <v>29</v>
      </c>
      <c r="I1052" t="s">
        <v>32</v>
      </c>
      <c r="J1052" s="4">
        <v>45689</v>
      </c>
      <c r="K1052" s="4" t="str">
        <f>TEXT(Table2[[#This Row],[Enrollment_date]],"Mmm")</f>
        <v>Feb</v>
      </c>
      <c r="L1052" s="4" t="str">
        <f>TEXT(Table2[[#This Row],[Enrollment_date]],"Ddd")</f>
        <v>Sat</v>
      </c>
      <c r="M1052" s="4" t="s">
        <v>34</v>
      </c>
      <c r="N1052" t="s">
        <v>35</v>
      </c>
      <c r="O1052" t="s">
        <v>38</v>
      </c>
      <c r="P1052" s="8">
        <v>4</v>
      </c>
      <c r="Q1052" s="6">
        <v>0.875</v>
      </c>
      <c r="R1052" s="6">
        <v>53.5</v>
      </c>
      <c r="S1052" s="6" t="str">
        <f>IF(Table2[[#This Row],[Avg_score]]&gt;=79,"Distinction",IF(Table2[[#This Row],[Avg_score]]&gt;=60,"Pass","Fail"))</f>
        <v>Fail</v>
      </c>
      <c r="T1052" t="s">
        <v>39</v>
      </c>
      <c r="U1052">
        <f>IF(Table2[[#This Row],[Completed]]="Yes",1,0)</f>
        <v>1</v>
      </c>
      <c r="V1052" t="s">
        <v>39</v>
      </c>
      <c r="W1052" t="s">
        <v>40</v>
      </c>
      <c r="X1052" s="4">
        <v>45838</v>
      </c>
    </row>
    <row r="1053" spans="1:24" x14ac:dyDescent="0.3">
      <c r="A1053">
        <v>1052</v>
      </c>
      <c r="B1053" s="8">
        <v>351</v>
      </c>
      <c r="C1053">
        <v>2</v>
      </c>
      <c r="D1053" t="s">
        <v>21</v>
      </c>
      <c r="E1053" t="s">
        <v>22</v>
      </c>
      <c r="F1053">
        <v>23</v>
      </c>
      <c r="G1053" t="str">
        <f>IF(Table2[[#This Row],[Age]]&gt;=30,"Experienced",IF(Table2[[#This Row],[Age]]&gt;=25,"Mid Level", "Entry Level"))</f>
        <v>Entry Level</v>
      </c>
      <c r="H1053" t="s">
        <v>29</v>
      </c>
      <c r="I1053" t="s">
        <v>32</v>
      </c>
      <c r="J1053" s="4">
        <v>45689</v>
      </c>
      <c r="K1053" s="4" t="str">
        <f>TEXT(Table2[[#This Row],[Enrollment_date]],"Mmm")</f>
        <v>Feb</v>
      </c>
      <c r="L1053" s="4" t="str">
        <f>TEXT(Table2[[#This Row],[Enrollment_date]],"Ddd")</f>
        <v>Sat</v>
      </c>
      <c r="M1053" s="4" t="s">
        <v>34</v>
      </c>
      <c r="N1053" t="s">
        <v>36</v>
      </c>
      <c r="O1053" t="s">
        <v>38</v>
      </c>
      <c r="P1053" s="8">
        <v>4</v>
      </c>
      <c r="Q1053" s="6">
        <v>0.9375</v>
      </c>
      <c r="R1053" s="6">
        <v>73</v>
      </c>
      <c r="S1053" s="6" t="str">
        <f>IF(Table2[[#This Row],[Avg_score]]&gt;=79,"Distinction",IF(Table2[[#This Row],[Avg_score]]&gt;=60,"Pass","Fail"))</f>
        <v>Pass</v>
      </c>
      <c r="T1053" t="s">
        <v>39</v>
      </c>
      <c r="U1053">
        <f>IF(Table2[[#This Row],[Completed]]="Yes",1,0)</f>
        <v>1</v>
      </c>
      <c r="V1053" t="s">
        <v>39</v>
      </c>
      <c r="W1053" t="s">
        <v>40</v>
      </c>
      <c r="X1053" s="4">
        <v>45838</v>
      </c>
    </row>
    <row r="1054" spans="1:24" x14ac:dyDescent="0.3">
      <c r="A1054">
        <v>1053</v>
      </c>
      <c r="B1054" s="8">
        <v>351</v>
      </c>
      <c r="C1054">
        <v>3</v>
      </c>
      <c r="D1054" t="s">
        <v>19</v>
      </c>
      <c r="E1054" t="s">
        <v>22</v>
      </c>
      <c r="F1054">
        <v>23</v>
      </c>
      <c r="G1054" t="str">
        <f>IF(Table2[[#This Row],[Age]]&gt;=30,"Experienced",IF(Table2[[#This Row],[Age]]&gt;=25,"Mid Level", "Entry Level"))</f>
        <v>Entry Level</v>
      </c>
      <c r="H1054" t="s">
        <v>29</v>
      </c>
      <c r="I1054" t="s">
        <v>32</v>
      </c>
      <c r="J1054" s="4">
        <v>45689</v>
      </c>
      <c r="K1054" s="4" t="str">
        <f>TEXT(Table2[[#This Row],[Enrollment_date]],"Mmm")</f>
        <v>Feb</v>
      </c>
      <c r="L1054" s="4" t="str">
        <f>TEXT(Table2[[#This Row],[Enrollment_date]],"Ddd")</f>
        <v>Sat</v>
      </c>
      <c r="M1054" s="4" t="s">
        <v>34</v>
      </c>
      <c r="N1054" t="s">
        <v>37</v>
      </c>
      <c r="O1054" t="s">
        <v>38</v>
      </c>
      <c r="P1054" s="8">
        <v>4</v>
      </c>
      <c r="Q1054" s="6">
        <v>0.83333333333333337</v>
      </c>
      <c r="R1054" s="6">
        <v>85.5</v>
      </c>
      <c r="S1054" s="6" t="str">
        <f>IF(Table2[[#This Row],[Avg_score]]&gt;=79,"Distinction",IF(Table2[[#This Row],[Avg_score]]&gt;=60,"Pass","Fail"))</f>
        <v>Distinction</v>
      </c>
      <c r="T1054" t="s">
        <v>39</v>
      </c>
      <c r="U1054">
        <f>IF(Table2[[#This Row],[Completed]]="Yes",1,0)</f>
        <v>1</v>
      </c>
      <c r="V1054" t="s">
        <v>39</v>
      </c>
      <c r="W1054" t="s">
        <v>40</v>
      </c>
      <c r="X1054" s="4">
        <v>45838</v>
      </c>
    </row>
    <row r="1055" spans="1:24" x14ac:dyDescent="0.3">
      <c r="A1055">
        <v>1054</v>
      </c>
      <c r="B1055" s="8">
        <v>352</v>
      </c>
      <c r="C1055">
        <v>1</v>
      </c>
      <c r="D1055" t="s">
        <v>19</v>
      </c>
      <c r="E1055" t="s">
        <v>22</v>
      </c>
      <c r="F1055">
        <v>22</v>
      </c>
      <c r="G1055" t="str">
        <f>IF(Table2[[#This Row],[Age]]&gt;=30,"Experienced",IF(Table2[[#This Row],[Age]]&gt;=25,"Mid Level", "Entry Level"))</f>
        <v>Entry Level</v>
      </c>
      <c r="H1055" t="s">
        <v>28</v>
      </c>
      <c r="I1055" t="s">
        <v>44</v>
      </c>
      <c r="J1055" s="4">
        <v>45664</v>
      </c>
      <c r="K1055" s="4" t="str">
        <f>TEXT(Table2[[#This Row],[Enrollment_date]],"Mmm")</f>
        <v>Jan</v>
      </c>
      <c r="L1055" s="4" t="str">
        <f>TEXT(Table2[[#This Row],[Enrollment_date]],"Ddd")</f>
        <v>Tue</v>
      </c>
      <c r="M1055" s="4" t="s">
        <v>34</v>
      </c>
      <c r="N1055" t="s">
        <v>35</v>
      </c>
      <c r="O1055" t="s">
        <v>38</v>
      </c>
      <c r="P1055" s="8">
        <v>4</v>
      </c>
      <c r="Q1055" s="6">
        <v>0.8125</v>
      </c>
      <c r="R1055" s="6">
        <v>61</v>
      </c>
      <c r="S1055" s="6" t="str">
        <f>IF(Table2[[#This Row],[Avg_score]]&gt;=79,"Distinction",IF(Table2[[#This Row],[Avg_score]]&gt;=60,"Pass","Fail"))</f>
        <v>Pass</v>
      </c>
      <c r="T1055" t="s">
        <v>39</v>
      </c>
      <c r="U1055">
        <f>IF(Table2[[#This Row],[Completed]]="Yes",1,0)</f>
        <v>1</v>
      </c>
      <c r="V1055" t="s">
        <v>39</v>
      </c>
      <c r="W1055" t="s">
        <v>40</v>
      </c>
      <c r="X1055" s="4">
        <v>45838</v>
      </c>
    </row>
    <row r="1056" spans="1:24" x14ac:dyDescent="0.3">
      <c r="A1056">
        <v>1055</v>
      </c>
      <c r="B1056" s="8">
        <v>352</v>
      </c>
      <c r="C1056">
        <v>2</v>
      </c>
      <c r="D1056" t="s">
        <v>21</v>
      </c>
      <c r="E1056" t="s">
        <v>22</v>
      </c>
      <c r="F1056">
        <v>22</v>
      </c>
      <c r="G1056" t="str">
        <f>IF(Table2[[#This Row],[Age]]&gt;=30,"Experienced",IF(Table2[[#This Row],[Age]]&gt;=25,"Mid Level", "Entry Level"))</f>
        <v>Entry Level</v>
      </c>
      <c r="H1056" t="s">
        <v>28</v>
      </c>
      <c r="I1056" t="s">
        <v>44</v>
      </c>
      <c r="J1056" s="4">
        <v>45664</v>
      </c>
      <c r="K1056" s="4" t="str">
        <f>TEXT(Table2[[#This Row],[Enrollment_date]],"Mmm")</f>
        <v>Jan</v>
      </c>
      <c r="L1056" s="4" t="str">
        <f>TEXT(Table2[[#This Row],[Enrollment_date]],"Ddd")</f>
        <v>Tue</v>
      </c>
      <c r="M1056" s="4" t="s">
        <v>34</v>
      </c>
      <c r="N1056" t="s">
        <v>36</v>
      </c>
      <c r="O1056" t="s">
        <v>38</v>
      </c>
      <c r="P1056" s="8">
        <v>4</v>
      </c>
      <c r="Q1056" s="6">
        <v>0.89583333333333337</v>
      </c>
      <c r="R1056" s="6">
        <v>80.5</v>
      </c>
      <c r="S1056" s="6" t="str">
        <f>IF(Table2[[#This Row],[Avg_score]]&gt;=79,"Distinction",IF(Table2[[#This Row],[Avg_score]]&gt;=60,"Pass","Fail"))</f>
        <v>Distinction</v>
      </c>
      <c r="T1056" t="s">
        <v>39</v>
      </c>
      <c r="U1056">
        <f>IF(Table2[[#This Row],[Completed]]="Yes",1,0)</f>
        <v>1</v>
      </c>
      <c r="V1056" t="s">
        <v>39</v>
      </c>
      <c r="W1056" t="s">
        <v>40</v>
      </c>
      <c r="X1056" s="4">
        <v>45838</v>
      </c>
    </row>
    <row r="1057" spans="1:24" x14ac:dyDescent="0.3">
      <c r="A1057">
        <v>1056</v>
      </c>
      <c r="B1057" s="8">
        <v>352</v>
      </c>
      <c r="C1057">
        <v>3</v>
      </c>
      <c r="D1057" t="s">
        <v>20</v>
      </c>
      <c r="E1057" t="s">
        <v>22</v>
      </c>
      <c r="F1057">
        <v>22</v>
      </c>
      <c r="G1057" t="str">
        <f>IF(Table2[[#This Row],[Age]]&gt;=30,"Experienced",IF(Table2[[#This Row],[Age]]&gt;=25,"Mid Level", "Entry Level"))</f>
        <v>Entry Level</v>
      </c>
      <c r="H1057" t="s">
        <v>28</v>
      </c>
      <c r="I1057" t="s">
        <v>44</v>
      </c>
      <c r="J1057" s="4">
        <v>45664</v>
      </c>
      <c r="K1057" s="4" t="str">
        <f>TEXT(Table2[[#This Row],[Enrollment_date]],"Mmm")</f>
        <v>Jan</v>
      </c>
      <c r="L1057" s="4" t="str">
        <f>TEXT(Table2[[#This Row],[Enrollment_date]],"Ddd")</f>
        <v>Tue</v>
      </c>
      <c r="M1057" s="4" t="s">
        <v>34</v>
      </c>
      <c r="N1057" t="s">
        <v>37</v>
      </c>
      <c r="O1057" t="s">
        <v>38</v>
      </c>
      <c r="P1057" s="8">
        <v>4</v>
      </c>
      <c r="Q1057" s="6">
        <v>0.70833333333333337</v>
      </c>
      <c r="R1057" s="6">
        <v>65.5</v>
      </c>
      <c r="S1057" s="6" t="str">
        <f>IF(Table2[[#This Row],[Avg_score]]&gt;=79,"Distinction",IF(Table2[[#This Row],[Avg_score]]&gt;=60,"Pass","Fail"))</f>
        <v>Pass</v>
      </c>
      <c r="T1057" t="s">
        <v>39</v>
      </c>
      <c r="U1057">
        <f>IF(Table2[[#This Row],[Completed]]="Yes",1,0)</f>
        <v>1</v>
      </c>
      <c r="V1057" t="s">
        <v>39</v>
      </c>
      <c r="W1057" t="s">
        <v>40</v>
      </c>
      <c r="X1057" s="4">
        <v>45838</v>
      </c>
    </row>
    <row r="1058" spans="1:24" x14ac:dyDescent="0.3">
      <c r="A1058">
        <v>1057</v>
      </c>
      <c r="B1058" s="8">
        <v>353</v>
      </c>
      <c r="C1058">
        <v>1</v>
      </c>
      <c r="D1058" t="s">
        <v>19</v>
      </c>
      <c r="E1058" t="s">
        <v>23</v>
      </c>
      <c r="F1058">
        <v>35</v>
      </c>
      <c r="G1058" t="str">
        <f>IF(Table2[[#This Row],[Age]]&gt;=30,"Experienced",IF(Table2[[#This Row],[Age]]&gt;=25,"Mid Level", "Entry Level"))</f>
        <v>Experienced</v>
      </c>
      <c r="H1058" t="s">
        <v>26</v>
      </c>
      <c r="I1058" t="s">
        <v>30</v>
      </c>
      <c r="J1058" s="4">
        <v>45777</v>
      </c>
      <c r="K1058" s="4" t="str">
        <f>TEXT(Table2[[#This Row],[Enrollment_date]],"Mmm")</f>
        <v>Apr</v>
      </c>
      <c r="L1058" s="4" t="str">
        <f>TEXT(Table2[[#This Row],[Enrollment_date]],"Ddd")</f>
        <v>Wed</v>
      </c>
      <c r="M1058" s="4" t="s">
        <v>34</v>
      </c>
      <c r="N1058" t="s">
        <v>35</v>
      </c>
      <c r="O1058" t="s">
        <v>38</v>
      </c>
      <c r="P1058" s="8">
        <v>4</v>
      </c>
      <c r="Q1058" s="6">
        <v>0.79166666666666663</v>
      </c>
      <c r="R1058" s="6">
        <v>78.5</v>
      </c>
      <c r="S1058" s="6" t="str">
        <f>IF(Table2[[#This Row],[Avg_score]]&gt;=79,"Distinction",IF(Table2[[#This Row],[Avg_score]]&gt;=60,"Pass","Fail"))</f>
        <v>Pass</v>
      </c>
      <c r="T1058" t="s">
        <v>39</v>
      </c>
      <c r="U1058">
        <f>IF(Table2[[#This Row],[Completed]]="Yes",1,0)</f>
        <v>1</v>
      </c>
      <c r="V1058" t="s">
        <v>39</v>
      </c>
      <c r="W1058" t="s">
        <v>40</v>
      </c>
      <c r="X1058" s="4">
        <v>45838</v>
      </c>
    </row>
    <row r="1059" spans="1:24" x14ac:dyDescent="0.3">
      <c r="A1059">
        <v>1058</v>
      </c>
      <c r="B1059" s="8">
        <v>353</v>
      </c>
      <c r="C1059">
        <v>2</v>
      </c>
      <c r="D1059" t="s">
        <v>21</v>
      </c>
      <c r="E1059" t="s">
        <v>23</v>
      </c>
      <c r="F1059">
        <v>35</v>
      </c>
      <c r="G1059" t="str">
        <f>IF(Table2[[#This Row],[Age]]&gt;=30,"Experienced",IF(Table2[[#This Row],[Age]]&gt;=25,"Mid Level", "Entry Level"))</f>
        <v>Experienced</v>
      </c>
      <c r="H1059" t="s">
        <v>26</v>
      </c>
      <c r="I1059" t="s">
        <v>30</v>
      </c>
      <c r="J1059" s="4">
        <v>45777</v>
      </c>
      <c r="K1059" s="4" t="str">
        <f>TEXT(Table2[[#This Row],[Enrollment_date]],"Mmm")</f>
        <v>Apr</v>
      </c>
      <c r="L1059" s="4" t="str">
        <f>TEXT(Table2[[#This Row],[Enrollment_date]],"Ddd")</f>
        <v>Wed</v>
      </c>
      <c r="M1059" s="4" t="s">
        <v>34</v>
      </c>
      <c r="N1059" t="s">
        <v>36</v>
      </c>
      <c r="O1059" t="s">
        <v>38</v>
      </c>
      <c r="P1059" s="8">
        <v>4</v>
      </c>
      <c r="Q1059" s="6">
        <v>0.8125</v>
      </c>
      <c r="R1059" s="6">
        <v>75</v>
      </c>
      <c r="S1059" s="6" t="str">
        <f>IF(Table2[[#This Row],[Avg_score]]&gt;=79,"Distinction",IF(Table2[[#This Row],[Avg_score]]&gt;=60,"Pass","Fail"))</f>
        <v>Pass</v>
      </c>
      <c r="T1059" t="s">
        <v>39</v>
      </c>
      <c r="U1059">
        <f>IF(Table2[[#This Row],[Completed]]="Yes",1,0)</f>
        <v>1</v>
      </c>
      <c r="V1059" t="s">
        <v>39</v>
      </c>
      <c r="W1059" t="s">
        <v>40</v>
      </c>
      <c r="X1059" s="4">
        <v>45838</v>
      </c>
    </row>
    <row r="1060" spans="1:24" x14ac:dyDescent="0.3">
      <c r="A1060">
        <v>1059</v>
      </c>
      <c r="B1060" s="8">
        <v>353</v>
      </c>
      <c r="C1060">
        <v>3</v>
      </c>
      <c r="D1060" t="s">
        <v>19</v>
      </c>
      <c r="E1060" t="s">
        <v>23</v>
      </c>
      <c r="F1060">
        <v>35</v>
      </c>
      <c r="G1060" t="str">
        <f>IF(Table2[[#This Row],[Age]]&gt;=30,"Experienced",IF(Table2[[#This Row],[Age]]&gt;=25,"Mid Level", "Entry Level"))</f>
        <v>Experienced</v>
      </c>
      <c r="H1060" t="s">
        <v>26</v>
      </c>
      <c r="I1060" t="s">
        <v>30</v>
      </c>
      <c r="J1060" s="4">
        <v>45777</v>
      </c>
      <c r="K1060" s="4" t="str">
        <f>TEXT(Table2[[#This Row],[Enrollment_date]],"Mmm")</f>
        <v>Apr</v>
      </c>
      <c r="L1060" s="4" t="str">
        <f>TEXT(Table2[[#This Row],[Enrollment_date]],"Ddd")</f>
        <v>Wed</v>
      </c>
      <c r="M1060" s="4" t="s">
        <v>34</v>
      </c>
      <c r="N1060" t="s">
        <v>37</v>
      </c>
      <c r="O1060" t="s">
        <v>38</v>
      </c>
      <c r="P1060" s="8">
        <v>4</v>
      </c>
      <c r="Q1060" s="6">
        <v>0.8125</v>
      </c>
      <c r="R1060" s="6">
        <v>59</v>
      </c>
      <c r="S1060" s="6" t="str">
        <f>IF(Table2[[#This Row],[Avg_score]]&gt;=79,"Distinction",IF(Table2[[#This Row],[Avg_score]]&gt;=60,"Pass","Fail"))</f>
        <v>Fail</v>
      </c>
      <c r="T1060" t="s">
        <v>39</v>
      </c>
      <c r="U1060">
        <f>IF(Table2[[#This Row],[Completed]]="Yes",1,0)</f>
        <v>1</v>
      </c>
      <c r="V1060" t="s">
        <v>39</v>
      </c>
      <c r="W1060" t="s">
        <v>40</v>
      </c>
      <c r="X1060" s="4">
        <v>45838</v>
      </c>
    </row>
    <row r="1061" spans="1:24" x14ac:dyDescent="0.3">
      <c r="A1061">
        <v>1060</v>
      </c>
      <c r="B1061" s="8">
        <v>354</v>
      </c>
      <c r="C1061">
        <v>1</v>
      </c>
      <c r="D1061" t="s">
        <v>19</v>
      </c>
      <c r="E1061" t="s">
        <v>22</v>
      </c>
      <c r="F1061">
        <v>20</v>
      </c>
      <c r="G1061" t="str">
        <f>IF(Table2[[#This Row],[Age]]&gt;=30,"Experienced",IF(Table2[[#This Row],[Age]]&gt;=25,"Mid Level", "Entry Level"))</f>
        <v>Entry Level</v>
      </c>
      <c r="H1061" t="s">
        <v>25</v>
      </c>
      <c r="I1061" t="s">
        <v>30</v>
      </c>
      <c r="J1061" s="4">
        <v>45759</v>
      </c>
      <c r="K1061" s="4" t="str">
        <f>TEXT(Table2[[#This Row],[Enrollment_date]],"Mmm")</f>
        <v>Apr</v>
      </c>
      <c r="L1061" s="4" t="str">
        <f>TEXT(Table2[[#This Row],[Enrollment_date]],"Ddd")</f>
        <v>Sat</v>
      </c>
      <c r="M1061" s="4" t="s">
        <v>34</v>
      </c>
      <c r="N1061" t="s">
        <v>35</v>
      </c>
      <c r="O1061" t="s">
        <v>38</v>
      </c>
      <c r="P1061" s="8">
        <v>4</v>
      </c>
      <c r="Q1061" s="6">
        <v>0.8125</v>
      </c>
      <c r="R1061" s="6">
        <v>73</v>
      </c>
      <c r="S1061" s="6" t="str">
        <f>IF(Table2[[#This Row],[Avg_score]]&gt;=79,"Distinction",IF(Table2[[#This Row],[Avg_score]]&gt;=60,"Pass","Fail"))</f>
        <v>Pass</v>
      </c>
      <c r="T1061" t="s">
        <v>39</v>
      </c>
      <c r="U1061">
        <f>IF(Table2[[#This Row],[Completed]]="Yes",1,0)</f>
        <v>1</v>
      </c>
      <c r="V1061" t="s">
        <v>39</v>
      </c>
      <c r="W1061" t="s">
        <v>40</v>
      </c>
      <c r="X1061" s="4">
        <v>45838</v>
      </c>
    </row>
    <row r="1062" spans="1:24" x14ac:dyDescent="0.3">
      <c r="A1062">
        <v>1061</v>
      </c>
      <c r="B1062" s="8">
        <v>354</v>
      </c>
      <c r="C1062">
        <v>2</v>
      </c>
      <c r="D1062" t="s">
        <v>19</v>
      </c>
      <c r="E1062" t="s">
        <v>22</v>
      </c>
      <c r="F1062">
        <v>20</v>
      </c>
      <c r="G1062" t="str">
        <f>IF(Table2[[#This Row],[Age]]&gt;=30,"Experienced",IF(Table2[[#This Row],[Age]]&gt;=25,"Mid Level", "Entry Level"))</f>
        <v>Entry Level</v>
      </c>
      <c r="H1062" t="s">
        <v>25</v>
      </c>
      <c r="I1062" t="s">
        <v>30</v>
      </c>
      <c r="J1062" s="4">
        <v>45759</v>
      </c>
      <c r="K1062" s="4" t="str">
        <f>TEXT(Table2[[#This Row],[Enrollment_date]],"Mmm")</f>
        <v>Apr</v>
      </c>
      <c r="L1062" s="4" t="str">
        <f>TEXT(Table2[[#This Row],[Enrollment_date]],"Ddd")</f>
        <v>Sat</v>
      </c>
      <c r="M1062" s="4" t="s">
        <v>34</v>
      </c>
      <c r="N1062" t="s">
        <v>36</v>
      </c>
      <c r="O1062" t="s">
        <v>38</v>
      </c>
      <c r="P1062" s="8">
        <v>4</v>
      </c>
      <c r="Q1062" s="6">
        <v>0.6875</v>
      </c>
      <c r="R1062" s="6">
        <v>62</v>
      </c>
      <c r="S1062" s="6" t="str">
        <f>IF(Table2[[#This Row],[Avg_score]]&gt;=79,"Distinction",IF(Table2[[#This Row],[Avg_score]]&gt;=60,"Pass","Fail"))</f>
        <v>Pass</v>
      </c>
      <c r="T1062" t="s">
        <v>39</v>
      </c>
      <c r="U1062">
        <f>IF(Table2[[#This Row],[Completed]]="Yes",1,0)</f>
        <v>1</v>
      </c>
      <c r="V1062" t="s">
        <v>39</v>
      </c>
      <c r="W1062" t="s">
        <v>40</v>
      </c>
      <c r="X1062" s="4">
        <v>45838</v>
      </c>
    </row>
    <row r="1063" spans="1:24" x14ac:dyDescent="0.3">
      <c r="A1063">
        <v>1062</v>
      </c>
      <c r="B1063" s="8">
        <v>354</v>
      </c>
      <c r="C1063">
        <v>3</v>
      </c>
      <c r="D1063" t="s">
        <v>19</v>
      </c>
      <c r="E1063" t="s">
        <v>22</v>
      </c>
      <c r="F1063">
        <v>20</v>
      </c>
      <c r="G1063" t="str">
        <f>IF(Table2[[#This Row],[Age]]&gt;=30,"Experienced",IF(Table2[[#This Row],[Age]]&gt;=25,"Mid Level", "Entry Level"))</f>
        <v>Entry Level</v>
      </c>
      <c r="H1063" t="s">
        <v>25</v>
      </c>
      <c r="I1063" t="s">
        <v>30</v>
      </c>
      <c r="J1063" s="4">
        <v>45759</v>
      </c>
      <c r="K1063" s="4" t="str">
        <f>TEXT(Table2[[#This Row],[Enrollment_date]],"Mmm")</f>
        <v>Apr</v>
      </c>
      <c r="L1063" s="4" t="str">
        <f>TEXT(Table2[[#This Row],[Enrollment_date]],"Ddd")</f>
        <v>Sat</v>
      </c>
      <c r="M1063" s="4" t="s">
        <v>34</v>
      </c>
      <c r="N1063" t="s">
        <v>37</v>
      </c>
      <c r="O1063" t="s">
        <v>38</v>
      </c>
      <c r="P1063" s="8">
        <v>4</v>
      </c>
      <c r="Q1063" s="6">
        <v>0.83333333333333337</v>
      </c>
      <c r="R1063" s="6">
        <v>80</v>
      </c>
      <c r="S1063" s="6" t="str">
        <f>IF(Table2[[#This Row],[Avg_score]]&gt;=79,"Distinction",IF(Table2[[#This Row],[Avg_score]]&gt;=60,"Pass","Fail"))</f>
        <v>Distinction</v>
      </c>
      <c r="T1063" t="s">
        <v>39</v>
      </c>
      <c r="U1063">
        <f>IF(Table2[[#This Row],[Completed]]="Yes",1,0)</f>
        <v>1</v>
      </c>
      <c r="V1063" t="s">
        <v>39</v>
      </c>
      <c r="W1063" t="s">
        <v>40</v>
      </c>
      <c r="X1063" s="4">
        <v>45838</v>
      </c>
    </row>
    <row r="1064" spans="1:24" x14ac:dyDescent="0.3">
      <c r="A1064">
        <v>1063</v>
      </c>
      <c r="B1064" s="8">
        <v>355</v>
      </c>
      <c r="C1064">
        <v>1</v>
      </c>
      <c r="D1064" t="s">
        <v>19</v>
      </c>
      <c r="E1064" t="s">
        <v>23</v>
      </c>
      <c r="F1064">
        <v>34</v>
      </c>
      <c r="G1064" t="str">
        <f>IF(Table2[[#This Row],[Age]]&gt;=30,"Experienced",IF(Table2[[#This Row],[Age]]&gt;=25,"Mid Level", "Entry Level"))</f>
        <v>Experienced</v>
      </c>
      <c r="H1064" t="s">
        <v>27</v>
      </c>
      <c r="I1064" t="s">
        <v>44</v>
      </c>
      <c r="J1064" s="4">
        <v>45805</v>
      </c>
      <c r="K1064" s="4" t="str">
        <f>TEXT(Table2[[#This Row],[Enrollment_date]],"Mmm")</f>
        <v>May</v>
      </c>
      <c r="L1064" s="4" t="str">
        <f>TEXT(Table2[[#This Row],[Enrollment_date]],"Ddd")</f>
        <v>Wed</v>
      </c>
      <c r="M1064" s="4" t="s">
        <v>34</v>
      </c>
      <c r="N1064" t="s">
        <v>35</v>
      </c>
      <c r="O1064" t="s">
        <v>38</v>
      </c>
      <c r="P1064" s="8">
        <v>4</v>
      </c>
      <c r="Q1064" s="6">
        <v>0.85416666666666663</v>
      </c>
      <c r="R1064" s="6">
        <v>67</v>
      </c>
      <c r="S1064" s="6" t="str">
        <f>IF(Table2[[#This Row],[Avg_score]]&gt;=79,"Distinction",IF(Table2[[#This Row],[Avg_score]]&gt;=60,"Pass","Fail"))</f>
        <v>Pass</v>
      </c>
      <c r="T1064" t="s">
        <v>39</v>
      </c>
      <c r="U1064">
        <f>IF(Table2[[#This Row],[Completed]]="Yes",1,0)</f>
        <v>1</v>
      </c>
      <c r="V1064" t="s">
        <v>40</v>
      </c>
      <c r="W1064" t="s">
        <v>40</v>
      </c>
      <c r="X1064" s="4">
        <v>45838</v>
      </c>
    </row>
    <row r="1065" spans="1:24" x14ac:dyDescent="0.3">
      <c r="A1065">
        <v>1064</v>
      </c>
      <c r="B1065" s="8">
        <v>355</v>
      </c>
      <c r="C1065">
        <v>2</v>
      </c>
      <c r="D1065" t="s">
        <v>21</v>
      </c>
      <c r="E1065" t="s">
        <v>23</v>
      </c>
      <c r="F1065">
        <v>34</v>
      </c>
      <c r="G1065" t="str">
        <f>IF(Table2[[#This Row],[Age]]&gt;=30,"Experienced",IF(Table2[[#This Row],[Age]]&gt;=25,"Mid Level", "Entry Level"))</f>
        <v>Experienced</v>
      </c>
      <c r="H1065" t="s">
        <v>27</v>
      </c>
      <c r="I1065" t="s">
        <v>44</v>
      </c>
      <c r="J1065" s="4">
        <v>45805</v>
      </c>
      <c r="K1065" s="4" t="str">
        <f>TEXT(Table2[[#This Row],[Enrollment_date]],"Mmm")</f>
        <v>May</v>
      </c>
      <c r="L1065" s="4" t="str">
        <f>TEXT(Table2[[#This Row],[Enrollment_date]],"Ddd")</f>
        <v>Wed</v>
      </c>
      <c r="M1065" s="4" t="s">
        <v>34</v>
      </c>
      <c r="N1065" t="s">
        <v>36</v>
      </c>
      <c r="O1065" t="s">
        <v>38</v>
      </c>
      <c r="P1065" s="8">
        <v>4</v>
      </c>
      <c r="Q1065" s="6">
        <v>0.83333333333333337</v>
      </c>
      <c r="R1065" s="6">
        <v>91</v>
      </c>
      <c r="S1065" s="6" t="str">
        <f>IF(Table2[[#This Row],[Avg_score]]&gt;=79,"Distinction",IF(Table2[[#This Row],[Avg_score]]&gt;=60,"Pass","Fail"))</f>
        <v>Distinction</v>
      </c>
      <c r="T1065" t="s">
        <v>39</v>
      </c>
      <c r="U1065">
        <f>IF(Table2[[#This Row],[Completed]]="Yes",1,0)</f>
        <v>1</v>
      </c>
      <c r="V1065" t="s">
        <v>40</v>
      </c>
      <c r="W1065" t="s">
        <v>40</v>
      </c>
      <c r="X1065" s="4">
        <v>45838</v>
      </c>
    </row>
    <row r="1066" spans="1:24" x14ac:dyDescent="0.3">
      <c r="A1066">
        <v>1065</v>
      </c>
      <c r="B1066" s="8">
        <v>355</v>
      </c>
      <c r="C1066">
        <v>3</v>
      </c>
      <c r="D1066" t="s">
        <v>19</v>
      </c>
      <c r="E1066" t="s">
        <v>23</v>
      </c>
      <c r="F1066">
        <v>34</v>
      </c>
      <c r="G1066" t="str">
        <f>IF(Table2[[#This Row],[Age]]&gt;=30,"Experienced",IF(Table2[[#This Row],[Age]]&gt;=25,"Mid Level", "Entry Level"))</f>
        <v>Experienced</v>
      </c>
      <c r="H1066" t="s">
        <v>27</v>
      </c>
      <c r="I1066" t="s">
        <v>44</v>
      </c>
      <c r="J1066" s="4">
        <v>45805</v>
      </c>
      <c r="K1066" s="4" t="str">
        <f>TEXT(Table2[[#This Row],[Enrollment_date]],"Mmm")</f>
        <v>May</v>
      </c>
      <c r="L1066" s="4" t="str">
        <f>TEXT(Table2[[#This Row],[Enrollment_date]],"Ddd")</f>
        <v>Wed</v>
      </c>
      <c r="M1066" s="4" t="s">
        <v>34</v>
      </c>
      <c r="N1066" t="s">
        <v>37</v>
      </c>
      <c r="O1066" t="s">
        <v>38</v>
      </c>
      <c r="P1066" s="8">
        <v>4</v>
      </c>
      <c r="Q1066" s="6">
        <v>0.83333333333333337</v>
      </c>
      <c r="R1066" s="6">
        <v>62.5</v>
      </c>
      <c r="S1066" s="6" t="str">
        <f>IF(Table2[[#This Row],[Avg_score]]&gt;=79,"Distinction",IF(Table2[[#This Row],[Avg_score]]&gt;=60,"Pass","Fail"))</f>
        <v>Pass</v>
      </c>
      <c r="T1066" t="s">
        <v>39</v>
      </c>
      <c r="U1066">
        <f>IF(Table2[[#This Row],[Completed]]="Yes",1,0)</f>
        <v>1</v>
      </c>
      <c r="V1066" t="s">
        <v>40</v>
      </c>
      <c r="W1066" t="s">
        <v>40</v>
      </c>
      <c r="X1066" s="4">
        <v>45838</v>
      </c>
    </row>
    <row r="1067" spans="1:24" x14ac:dyDescent="0.3">
      <c r="A1067">
        <v>1066</v>
      </c>
      <c r="B1067" s="8">
        <v>356</v>
      </c>
      <c r="C1067">
        <v>1</v>
      </c>
      <c r="D1067" t="s">
        <v>19</v>
      </c>
      <c r="E1067" t="s">
        <v>22</v>
      </c>
      <c r="F1067">
        <v>22</v>
      </c>
      <c r="G1067" t="str">
        <f>IF(Table2[[#This Row],[Age]]&gt;=30,"Experienced",IF(Table2[[#This Row],[Age]]&gt;=25,"Mid Level", "Entry Level"))</f>
        <v>Entry Level</v>
      </c>
      <c r="H1067" t="s">
        <v>29</v>
      </c>
      <c r="I1067" t="s">
        <v>68</v>
      </c>
      <c r="J1067" s="4">
        <v>45773</v>
      </c>
      <c r="K1067" s="4" t="str">
        <f>TEXT(Table2[[#This Row],[Enrollment_date]],"Mmm")</f>
        <v>Apr</v>
      </c>
      <c r="L1067" s="4" t="str">
        <f>TEXT(Table2[[#This Row],[Enrollment_date]],"Ddd")</f>
        <v>Sat</v>
      </c>
      <c r="M1067" s="4" t="s">
        <v>34</v>
      </c>
      <c r="N1067" t="s">
        <v>35</v>
      </c>
      <c r="O1067" t="s">
        <v>38</v>
      </c>
      <c r="P1067" s="8">
        <v>4</v>
      </c>
      <c r="Q1067" s="6">
        <v>0.79166666666666663</v>
      </c>
      <c r="R1067" s="6">
        <v>92</v>
      </c>
      <c r="S1067" s="6" t="str">
        <f>IF(Table2[[#This Row],[Avg_score]]&gt;=79,"Distinction",IF(Table2[[#This Row],[Avg_score]]&gt;=60,"Pass","Fail"))</f>
        <v>Distinction</v>
      </c>
      <c r="T1067" t="s">
        <v>40</v>
      </c>
      <c r="U1067">
        <f>IF(Table2[[#This Row],[Completed]]="Yes",1,0)</f>
        <v>0</v>
      </c>
      <c r="V1067" t="s">
        <v>40</v>
      </c>
      <c r="W1067" t="s">
        <v>40</v>
      </c>
      <c r="X1067" s="4">
        <v>45838</v>
      </c>
    </row>
    <row r="1068" spans="1:24" x14ac:dyDescent="0.3">
      <c r="A1068">
        <v>1067</v>
      </c>
      <c r="B1068" s="8">
        <v>356</v>
      </c>
      <c r="C1068">
        <v>2</v>
      </c>
      <c r="D1068" t="s">
        <v>20</v>
      </c>
      <c r="E1068" t="s">
        <v>22</v>
      </c>
      <c r="F1068">
        <v>22</v>
      </c>
      <c r="G1068" t="str">
        <f>IF(Table2[[#This Row],[Age]]&gt;=30,"Experienced",IF(Table2[[#This Row],[Age]]&gt;=25,"Mid Level", "Entry Level"))</f>
        <v>Entry Level</v>
      </c>
      <c r="H1068" t="s">
        <v>29</v>
      </c>
      <c r="I1068" t="s">
        <v>68</v>
      </c>
      <c r="J1068" s="4">
        <v>45773</v>
      </c>
      <c r="K1068" s="4" t="str">
        <f>TEXT(Table2[[#This Row],[Enrollment_date]],"Mmm")</f>
        <v>Apr</v>
      </c>
      <c r="L1068" s="4" t="str">
        <f>TEXT(Table2[[#This Row],[Enrollment_date]],"Ddd")</f>
        <v>Sat</v>
      </c>
      <c r="M1068" s="4" t="s">
        <v>34</v>
      </c>
      <c r="N1068" t="s">
        <v>36</v>
      </c>
      <c r="O1068" t="s">
        <v>38</v>
      </c>
      <c r="P1068" s="8">
        <v>4</v>
      </c>
      <c r="Q1068" s="6">
        <v>0.8125</v>
      </c>
      <c r="R1068" s="6">
        <v>61.5</v>
      </c>
      <c r="S1068" s="6" t="str">
        <f>IF(Table2[[#This Row],[Avg_score]]&gt;=79,"Distinction",IF(Table2[[#This Row],[Avg_score]]&gt;=60,"Pass","Fail"))</f>
        <v>Pass</v>
      </c>
      <c r="T1068" t="s">
        <v>40</v>
      </c>
      <c r="U1068">
        <f>IF(Table2[[#This Row],[Completed]]="Yes",1,0)</f>
        <v>0</v>
      </c>
      <c r="V1068" t="s">
        <v>40</v>
      </c>
      <c r="W1068" t="s">
        <v>40</v>
      </c>
      <c r="X1068" s="4">
        <v>45838</v>
      </c>
    </row>
    <row r="1069" spans="1:24" x14ac:dyDescent="0.3">
      <c r="A1069">
        <v>1068</v>
      </c>
      <c r="B1069" s="8">
        <v>356</v>
      </c>
      <c r="C1069">
        <v>3</v>
      </c>
      <c r="D1069" t="s">
        <v>19</v>
      </c>
      <c r="E1069" t="s">
        <v>22</v>
      </c>
      <c r="F1069">
        <v>22</v>
      </c>
      <c r="G1069" t="str">
        <f>IF(Table2[[#This Row],[Age]]&gt;=30,"Experienced",IF(Table2[[#This Row],[Age]]&gt;=25,"Mid Level", "Entry Level"))</f>
        <v>Entry Level</v>
      </c>
      <c r="H1069" t="s">
        <v>29</v>
      </c>
      <c r="I1069" t="s">
        <v>68</v>
      </c>
      <c r="J1069" s="4">
        <v>45773</v>
      </c>
      <c r="K1069" s="4" t="str">
        <f>TEXT(Table2[[#This Row],[Enrollment_date]],"Mmm")</f>
        <v>Apr</v>
      </c>
      <c r="L1069" s="4" t="str">
        <f>TEXT(Table2[[#This Row],[Enrollment_date]],"Ddd")</f>
        <v>Sat</v>
      </c>
      <c r="M1069" s="4" t="s">
        <v>34</v>
      </c>
      <c r="N1069" t="s">
        <v>37</v>
      </c>
      <c r="O1069" t="s">
        <v>38</v>
      </c>
      <c r="P1069" s="8">
        <v>4</v>
      </c>
      <c r="Q1069" s="6">
        <v>0.83333333333333337</v>
      </c>
      <c r="R1069" s="6">
        <v>70</v>
      </c>
      <c r="S1069" s="6" t="str">
        <f>IF(Table2[[#This Row],[Avg_score]]&gt;=79,"Distinction",IF(Table2[[#This Row],[Avg_score]]&gt;=60,"Pass","Fail"))</f>
        <v>Pass</v>
      </c>
      <c r="T1069" t="s">
        <v>40</v>
      </c>
      <c r="U1069">
        <f>IF(Table2[[#This Row],[Completed]]="Yes",1,0)</f>
        <v>0</v>
      </c>
      <c r="V1069" t="s">
        <v>40</v>
      </c>
      <c r="W1069" t="s">
        <v>40</v>
      </c>
      <c r="X1069" s="4">
        <v>45838</v>
      </c>
    </row>
    <row r="1070" spans="1:24" x14ac:dyDescent="0.3">
      <c r="A1070">
        <v>1069</v>
      </c>
      <c r="B1070" s="8">
        <v>357</v>
      </c>
      <c r="C1070">
        <v>1</v>
      </c>
      <c r="D1070" t="s">
        <v>19</v>
      </c>
      <c r="E1070" t="s">
        <v>23</v>
      </c>
      <c r="F1070">
        <v>34</v>
      </c>
      <c r="G1070" t="str">
        <f>IF(Table2[[#This Row],[Age]]&gt;=30,"Experienced",IF(Table2[[#This Row],[Age]]&gt;=25,"Mid Level", "Entry Level"))</f>
        <v>Experienced</v>
      </c>
      <c r="H1070" t="s">
        <v>29</v>
      </c>
      <c r="I1070" t="s">
        <v>32</v>
      </c>
      <c r="J1070" s="4">
        <v>45799</v>
      </c>
      <c r="K1070" s="4" t="str">
        <f>TEXT(Table2[[#This Row],[Enrollment_date]],"Mmm")</f>
        <v>May</v>
      </c>
      <c r="L1070" s="4" t="str">
        <f>TEXT(Table2[[#This Row],[Enrollment_date]],"Ddd")</f>
        <v>Thu</v>
      </c>
      <c r="M1070" s="4" t="s">
        <v>34</v>
      </c>
      <c r="N1070" t="s">
        <v>35</v>
      </c>
      <c r="O1070" t="s">
        <v>38</v>
      </c>
      <c r="P1070" s="8">
        <v>4</v>
      </c>
      <c r="Q1070" s="6">
        <v>0.77083333333333337</v>
      </c>
      <c r="R1070" s="6">
        <v>64</v>
      </c>
      <c r="S1070" s="6" t="str">
        <f>IF(Table2[[#This Row],[Avg_score]]&gt;=79,"Distinction",IF(Table2[[#This Row],[Avg_score]]&gt;=60,"Pass","Fail"))</f>
        <v>Pass</v>
      </c>
      <c r="T1070" t="s">
        <v>39</v>
      </c>
      <c r="U1070">
        <f>IF(Table2[[#This Row],[Completed]]="Yes",1,0)</f>
        <v>1</v>
      </c>
      <c r="V1070" t="s">
        <v>40</v>
      </c>
      <c r="W1070" t="s">
        <v>39</v>
      </c>
      <c r="X1070" s="4">
        <v>45838</v>
      </c>
    </row>
    <row r="1071" spans="1:24" x14ac:dyDescent="0.3">
      <c r="A1071">
        <v>1070</v>
      </c>
      <c r="B1071" s="8">
        <v>357</v>
      </c>
      <c r="C1071">
        <v>2</v>
      </c>
      <c r="D1071" t="s">
        <v>20</v>
      </c>
      <c r="E1071" t="s">
        <v>23</v>
      </c>
      <c r="F1071">
        <v>34</v>
      </c>
      <c r="G1071" t="str">
        <f>IF(Table2[[#This Row],[Age]]&gt;=30,"Experienced",IF(Table2[[#This Row],[Age]]&gt;=25,"Mid Level", "Entry Level"))</f>
        <v>Experienced</v>
      </c>
      <c r="H1071" t="s">
        <v>29</v>
      </c>
      <c r="I1071" t="s">
        <v>32</v>
      </c>
      <c r="J1071" s="4">
        <v>45799</v>
      </c>
      <c r="K1071" s="4" t="str">
        <f>TEXT(Table2[[#This Row],[Enrollment_date]],"Mmm")</f>
        <v>May</v>
      </c>
      <c r="L1071" s="4" t="str">
        <f>TEXT(Table2[[#This Row],[Enrollment_date]],"Ddd")</f>
        <v>Thu</v>
      </c>
      <c r="M1071" s="4" t="s">
        <v>34</v>
      </c>
      <c r="N1071" t="s">
        <v>36</v>
      </c>
      <c r="O1071" t="s">
        <v>38</v>
      </c>
      <c r="P1071" s="8">
        <v>4</v>
      </c>
      <c r="Q1071" s="6">
        <v>0.89583333333333337</v>
      </c>
      <c r="R1071" s="6">
        <v>84</v>
      </c>
      <c r="S1071" s="6" t="str">
        <f>IF(Table2[[#This Row],[Avg_score]]&gt;=79,"Distinction",IF(Table2[[#This Row],[Avg_score]]&gt;=60,"Pass","Fail"))</f>
        <v>Distinction</v>
      </c>
      <c r="T1071" t="s">
        <v>39</v>
      </c>
      <c r="U1071">
        <f>IF(Table2[[#This Row],[Completed]]="Yes",1,0)</f>
        <v>1</v>
      </c>
      <c r="V1071" t="s">
        <v>40</v>
      </c>
      <c r="W1071" t="s">
        <v>39</v>
      </c>
      <c r="X1071" s="4">
        <v>45838</v>
      </c>
    </row>
    <row r="1072" spans="1:24" x14ac:dyDescent="0.3">
      <c r="A1072">
        <v>1071</v>
      </c>
      <c r="B1072" s="8">
        <v>357</v>
      </c>
      <c r="C1072">
        <v>3</v>
      </c>
      <c r="D1072" t="s">
        <v>21</v>
      </c>
      <c r="E1072" t="s">
        <v>23</v>
      </c>
      <c r="F1072">
        <v>34</v>
      </c>
      <c r="G1072" t="str">
        <f>IF(Table2[[#This Row],[Age]]&gt;=30,"Experienced",IF(Table2[[#This Row],[Age]]&gt;=25,"Mid Level", "Entry Level"))</f>
        <v>Experienced</v>
      </c>
      <c r="H1072" t="s">
        <v>29</v>
      </c>
      <c r="I1072" t="s">
        <v>32</v>
      </c>
      <c r="J1072" s="4">
        <v>45799</v>
      </c>
      <c r="K1072" s="4" t="str">
        <f>TEXT(Table2[[#This Row],[Enrollment_date]],"Mmm")</f>
        <v>May</v>
      </c>
      <c r="L1072" s="4" t="str">
        <f>TEXT(Table2[[#This Row],[Enrollment_date]],"Ddd")</f>
        <v>Thu</v>
      </c>
      <c r="M1072" s="4" t="s">
        <v>34</v>
      </c>
      <c r="N1072" t="s">
        <v>37</v>
      </c>
      <c r="O1072" t="s">
        <v>38</v>
      </c>
      <c r="P1072" s="8">
        <v>4</v>
      </c>
      <c r="Q1072" s="6">
        <v>0.79166666666666663</v>
      </c>
      <c r="R1072" s="6">
        <v>65</v>
      </c>
      <c r="S1072" s="6" t="str">
        <f>IF(Table2[[#This Row],[Avg_score]]&gt;=79,"Distinction",IF(Table2[[#This Row],[Avg_score]]&gt;=60,"Pass","Fail"))</f>
        <v>Pass</v>
      </c>
      <c r="T1072" t="s">
        <v>39</v>
      </c>
      <c r="U1072">
        <f>IF(Table2[[#This Row],[Completed]]="Yes",1,0)</f>
        <v>1</v>
      </c>
      <c r="V1072" t="s">
        <v>40</v>
      </c>
      <c r="W1072" t="s">
        <v>39</v>
      </c>
      <c r="X1072" s="4">
        <v>45838</v>
      </c>
    </row>
    <row r="1073" spans="1:24" x14ac:dyDescent="0.3">
      <c r="A1073">
        <v>1072</v>
      </c>
      <c r="B1073" s="8">
        <v>358</v>
      </c>
      <c r="C1073">
        <v>1</v>
      </c>
      <c r="D1073" t="s">
        <v>19</v>
      </c>
      <c r="E1073" t="s">
        <v>22</v>
      </c>
      <c r="F1073">
        <v>22</v>
      </c>
      <c r="G1073" t="str">
        <f>IF(Table2[[#This Row],[Age]]&gt;=30,"Experienced",IF(Table2[[#This Row],[Age]]&gt;=25,"Mid Level", "Entry Level"))</f>
        <v>Entry Level</v>
      </c>
      <c r="H1073" t="s">
        <v>27</v>
      </c>
      <c r="I1073" t="s">
        <v>68</v>
      </c>
      <c r="J1073" s="4">
        <v>45689</v>
      </c>
      <c r="K1073" s="4" t="str">
        <f>TEXT(Table2[[#This Row],[Enrollment_date]],"Mmm")</f>
        <v>Feb</v>
      </c>
      <c r="L1073" s="4" t="str">
        <f>TEXT(Table2[[#This Row],[Enrollment_date]],"Ddd")</f>
        <v>Sat</v>
      </c>
      <c r="M1073" s="4" t="s">
        <v>34</v>
      </c>
      <c r="N1073" t="s">
        <v>35</v>
      </c>
      <c r="O1073" t="s">
        <v>38</v>
      </c>
      <c r="P1073" s="8">
        <v>4</v>
      </c>
      <c r="Q1073" s="6">
        <v>0.8125</v>
      </c>
      <c r="R1073" s="6">
        <v>51</v>
      </c>
      <c r="S1073" s="6" t="str">
        <f>IF(Table2[[#This Row],[Avg_score]]&gt;=79,"Distinction",IF(Table2[[#This Row],[Avg_score]]&gt;=60,"Pass","Fail"))</f>
        <v>Fail</v>
      </c>
      <c r="T1073" t="s">
        <v>39</v>
      </c>
      <c r="U1073">
        <f>IF(Table2[[#This Row],[Completed]]="Yes",1,0)</f>
        <v>1</v>
      </c>
      <c r="V1073" t="s">
        <v>39</v>
      </c>
      <c r="W1073" t="s">
        <v>40</v>
      </c>
      <c r="X1073" s="4">
        <v>45838</v>
      </c>
    </row>
    <row r="1074" spans="1:24" x14ac:dyDescent="0.3">
      <c r="A1074">
        <v>1073</v>
      </c>
      <c r="B1074" s="8">
        <v>358</v>
      </c>
      <c r="C1074">
        <v>2</v>
      </c>
      <c r="D1074" t="s">
        <v>19</v>
      </c>
      <c r="E1074" t="s">
        <v>22</v>
      </c>
      <c r="F1074">
        <v>22</v>
      </c>
      <c r="G1074" t="str">
        <f>IF(Table2[[#This Row],[Age]]&gt;=30,"Experienced",IF(Table2[[#This Row],[Age]]&gt;=25,"Mid Level", "Entry Level"))</f>
        <v>Entry Level</v>
      </c>
      <c r="H1074" t="s">
        <v>27</v>
      </c>
      <c r="I1074" t="s">
        <v>68</v>
      </c>
      <c r="J1074" s="4">
        <v>45689</v>
      </c>
      <c r="K1074" s="4" t="str">
        <f>TEXT(Table2[[#This Row],[Enrollment_date]],"Mmm")</f>
        <v>Feb</v>
      </c>
      <c r="L1074" s="4" t="str">
        <f>TEXT(Table2[[#This Row],[Enrollment_date]],"Ddd")</f>
        <v>Sat</v>
      </c>
      <c r="M1074" s="4" t="s">
        <v>34</v>
      </c>
      <c r="N1074" t="s">
        <v>36</v>
      </c>
      <c r="O1074" t="s">
        <v>38</v>
      </c>
      <c r="P1074" s="8">
        <v>4</v>
      </c>
      <c r="Q1074" s="6">
        <v>0.85416666666666663</v>
      </c>
      <c r="R1074" s="6">
        <v>83</v>
      </c>
      <c r="S1074" s="6" t="str">
        <f>IF(Table2[[#This Row],[Avg_score]]&gt;=79,"Distinction",IF(Table2[[#This Row],[Avg_score]]&gt;=60,"Pass","Fail"))</f>
        <v>Distinction</v>
      </c>
      <c r="T1074" t="s">
        <v>39</v>
      </c>
      <c r="U1074">
        <f>IF(Table2[[#This Row],[Completed]]="Yes",1,0)</f>
        <v>1</v>
      </c>
      <c r="V1074" t="s">
        <v>39</v>
      </c>
      <c r="W1074" t="s">
        <v>40</v>
      </c>
      <c r="X1074" s="4">
        <v>45838</v>
      </c>
    </row>
    <row r="1075" spans="1:24" x14ac:dyDescent="0.3">
      <c r="A1075">
        <v>1074</v>
      </c>
      <c r="B1075" s="8">
        <v>358</v>
      </c>
      <c r="C1075">
        <v>3</v>
      </c>
      <c r="D1075" t="s">
        <v>19</v>
      </c>
      <c r="E1075" t="s">
        <v>22</v>
      </c>
      <c r="F1075">
        <v>22</v>
      </c>
      <c r="G1075" t="str">
        <f>IF(Table2[[#This Row],[Age]]&gt;=30,"Experienced",IF(Table2[[#This Row],[Age]]&gt;=25,"Mid Level", "Entry Level"))</f>
        <v>Entry Level</v>
      </c>
      <c r="H1075" t="s">
        <v>27</v>
      </c>
      <c r="I1075" t="s">
        <v>68</v>
      </c>
      <c r="J1075" s="4">
        <v>45689</v>
      </c>
      <c r="K1075" s="4" t="str">
        <f>TEXT(Table2[[#This Row],[Enrollment_date]],"Mmm")</f>
        <v>Feb</v>
      </c>
      <c r="L1075" s="4" t="str">
        <f>TEXT(Table2[[#This Row],[Enrollment_date]],"Ddd")</f>
        <v>Sat</v>
      </c>
      <c r="M1075" s="4" t="s">
        <v>34</v>
      </c>
      <c r="N1075" t="s">
        <v>37</v>
      </c>
      <c r="O1075" t="s">
        <v>38</v>
      </c>
      <c r="P1075" s="8">
        <v>4</v>
      </c>
      <c r="Q1075" s="6">
        <v>0.8125</v>
      </c>
      <c r="R1075" s="6">
        <v>76.5</v>
      </c>
      <c r="S1075" s="6" t="str">
        <f>IF(Table2[[#This Row],[Avg_score]]&gt;=79,"Distinction",IF(Table2[[#This Row],[Avg_score]]&gt;=60,"Pass","Fail"))</f>
        <v>Pass</v>
      </c>
      <c r="T1075" t="s">
        <v>39</v>
      </c>
      <c r="U1075">
        <f>IF(Table2[[#This Row],[Completed]]="Yes",1,0)</f>
        <v>1</v>
      </c>
      <c r="V1075" t="s">
        <v>39</v>
      </c>
      <c r="W1075" t="s">
        <v>40</v>
      </c>
      <c r="X1075" s="4">
        <v>45838</v>
      </c>
    </row>
    <row r="1076" spans="1:24" x14ac:dyDescent="0.3">
      <c r="A1076">
        <v>1075</v>
      </c>
      <c r="B1076" s="8">
        <v>359</v>
      </c>
      <c r="C1076">
        <v>1</v>
      </c>
      <c r="D1076" t="s">
        <v>19</v>
      </c>
      <c r="E1076" t="s">
        <v>22</v>
      </c>
      <c r="F1076">
        <v>27</v>
      </c>
      <c r="G1076" t="str">
        <f>IF(Table2[[#This Row],[Age]]&gt;=30,"Experienced",IF(Table2[[#This Row],[Age]]&gt;=25,"Mid Level", "Entry Level"))</f>
        <v>Mid Level</v>
      </c>
      <c r="H1076" t="s">
        <v>28</v>
      </c>
      <c r="I1076" t="s">
        <v>32</v>
      </c>
      <c r="J1076" s="4">
        <v>45740</v>
      </c>
      <c r="K1076" s="4" t="str">
        <f>TEXT(Table2[[#This Row],[Enrollment_date]],"Mmm")</f>
        <v>Mar</v>
      </c>
      <c r="L1076" s="4" t="str">
        <f>TEXT(Table2[[#This Row],[Enrollment_date]],"Ddd")</f>
        <v>Mon</v>
      </c>
      <c r="M1076" s="4" t="s">
        <v>34</v>
      </c>
      <c r="N1076" t="s">
        <v>35</v>
      </c>
      <c r="O1076" t="s">
        <v>38</v>
      </c>
      <c r="P1076" s="8">
        <v>4</v>
      </c>
      <c r="Q1076" s="6">
        <v>0.85416666666666663</v>
      </c>
      <c r="R1076" s="6">
        <v>65</v>
      </c>
      <c r="S1076" s="6" t="str">
        <f>IF(Table2[[#This Row],[Avg_score]]&gt;=79,"Distinction",IF(Table2[[#This Row],[Avg_score]]&gt;=60,"Pass","Fail"))</f>
        <v>Pass</v>
      </c>
      <c r="T1076" t="s">
        <v>39</v>
      </c>
      <c r="U1076">
        <f>IF(Table2[[#This Row],[Completed]]="Yes",1,0)</f>
        <v>1</v>
      </c>
      <c r="V1076" t="s">
        <v>39</v>
      </c>
      <c r="W1076" t="s">
        <v>40</v>
      </c>
      <c r="X1076" s="4">
        <v>45838</v>
      </c>
    </row>
    <row r="1077" spans="1:24" x14ac:dyDescent="0.3">
      <c r="A1077">
        <v>1076</v>
      </c>
      <c r="B1077" s="8">
        <v>359</v>
      </c>
      <c r="C1077">
        <v>2</v>
      </c>
      <c r="D1077" t="s">
        <v>19</v>
      </c>
      <c r="E1077" t="s">
        <v>22</v>
      </c>
      <c r="F1077">
        <v>27</v>
      </c>
      <c r="G1077" t="str">
        <f>IF(Table2[[#This Row],[Age]]&gt;=30,"Experienced",IF(Table2[[#This Row],[Age]]&gt;=25,"Mid Level", "Entry Level"))</f>
        <v>Mid Level</v>
      </c>
      <c r="H1077" t="s">
        <v>28</v>
      </c>
      <c r="I1077" t="s">
        <v>32</v>
      </c>
      <c r="J1077" s="4">
        <v>45740</v>
      </c>
      <c r="K1077" s="4" t="str">
        <f>TEXT(Table2[[#This Row],[Enrollment_date]],"Mmm")</f>
        <v>Mar</v>
      </c>
      <c r="L1077" s="4" t="str">
        <f>TEXT(Table2[[#This Row],[Enrollment_date]],"Ddd")</f>
        <v>Mon</v>
      </c>
      <c r="M1077" s="4" t="s">
        <v>34</v>
      </c>
      <c r="N1077" t="s">
        <v>36</v>
      </c>
      <c r="O1077" t="s">
        <v>38</v>
      </c>
      <c r="P1077" s="8">
        <v>4</v>
      </c>
      <c r="Q1077" s="6">
        <v>0.77083333333333337</v>
      </c>
      <c r="R1077" s="6">
        <v>82.5</v>
      </c>
      <c r="S1077" s="6" t="str">
        <f>IF(Table2[[#This Row],[Avg_score]]&gt;=79,"Distinction",IF(Table2[[#This Row],[Avg_score]]&gt;=60,"Pass","Fail"))</f>
        <v>Distinction</v>
      </c>
      <c r="T1077" t="s">
        <v>39</v>
      </c>
      <c r="U1077">
        <f>IF(Table2[[#This Row],[Completed]]="Yes",1,0)</f>
        <v>1</v>
      </c>
      <c r="V1077" t="s">
        <v>39</v>
      </c>
      <c r="W1077" t="s">
        <v>40</v>
      </c>
      <c r="X1077" s="4">
        <v>45838</v>
      </c>
    </row>
    <row r="1078" spans="1:24" x14ac:dyDescent="0.3">
      <c r="A1078">
        <v>1077</v>
      </c>
      <c r="B1078" s="8">
        <v>359</v>
      </c>
      <c r="C1078">
        <v>3</v>
      </c>
      <c r="D1078" t="s">
        <v>21</v>
      </c>
      <c r="E1078" t="s">
        <v>22</v>
      </c>
      <c r="F1078">
        <v>27</v>
      </c>
      <c r="G1078" t="str">
        <f>IF(Table2[[#This Row],[Age]]&gt;=30,"Experienced",IF(Table2[[#This Row],[Age]]&gt;=25,"Mid Level", "Entry Level"))</f>
        <v>Mid Level</v>
      </c>
      <c r="H1078" t="s">
        <v>28</v>
      </c>
      <c r="I1078" t="s">
        <v>32</v>
      </c>
      <c r="J1078" s="4">
        <v>45740</v>
      </c>
      <c r="K1078" s="4" t="str">
        <f>TEXT(Table2[[#This Row],[Enrollment_date]],"Mmm")</f>
        <v>Mar</v>
      </c>
      <c r="L1078" s="4" t="str">
        <f>TEXT(Table2[[#This Row],[Enrollment_date]],"Ddd")</f>
        <v>Mon</v>
      </c>
      <c r="M1078" s="4" t="s">
        <v>34</v>
      </c>
      <c r="N1078" t="s">
        <v>37</v>
      </c>
      <c r="O1078" t="s">
        <v>38</v>
      </c>
      <c r="P1078" s="8">
        <v>4</v>
      </c>
      <c r="Q1078" s="6">
        <v>0.79166666666666663</v>
      </c>
      <c r="R1078" s="6">
        <v>64.5</v>
      </c>
      <c r="S1078" s="6" t="str">
        <f>IF(Table2[[#This Row],[Avg_score]]&gt;=79,"Distinction",IF(Table2[[#This Row],[Avg_score]]&gt;=60,"Pass","Fail"))</f>
        <v>Pass</v>
      </c>
      <c r="T1078" t="s">
        <v>39</v>
      </c>
      <c r="U1078">
        <f>IF(Table2[[#This Row],[Completed]]="Yes",1,0)</f>
        <v>1</v>
      </c>
      <c r="V1078" t="s">
        <v>39</v>
      </c>
      <c r="W1078" t="s">
        <v>40</v>
      </c>
      <c r="X1078" s="4">
        <v>45838</v>
      </c>
    </row>
    <row r="1079" spans="1:24" x14ac:dyDescent="0.3">
      <c r="A1079">
        <v>1078</v>
      </c>
      <c r="B1079" s="8">
        <v>360</v>
      </c>
      <c r="C1079">
        <v>1</v>
      </c>
      <c r="D1079" t="s">
        <v>19</v>
      </c>
      <c r="E1079" t="s">
        <v>22</v>
      </c>
      <c r="F1079">
        <v>29</v>
      </c>
      <c r="G1079" t="str">
        <f>IF(Table2[[#This Row],[Age]]&gt;=30,"Experienced",IF(Table2[[#This Row],[Age]]&gt;=25,"Mid Level", "Entry Level"))</f>
        <v>Mid Level</v>
      </c>
      <c r="H1079" t="s">
        <v>26</v>
      </c>
      <c r="I1079" t="s">
        <v>30</v>
      </c>
      <c r="J1079" s="4">
        <v>45678</v>
      </c>
      <c r="K1079" s="4" t="str">
        <f>TEXT(Table2[[#This Row],[Enrollment_date]],"Mmm")</f>
        <v>Jan</v>
      </c>
      <c r="L1079" s="4" t="str">
        <f>TEXT(Table2[[#This Row],[Enrollment_date]],"Ddd")</f>
        <v>Tue</v>
      </c>
      <c r="M1079" s="4" t="s">
        <v>34</v>
      </c>
      <c r="N1079" t="s">
        <v>35</v>
      </c>
      <c r="O1079" t="s">
        <v>38</v>
      </c>
      <c r="P1079" s="8">
        <v>4</v>
      </c>
      <c r="Q1079" s="6">
        <v>0.79166666666666663</v>
      </c>
      <c r="R1079" s="6">
        <v>65</v>
      </c>
      <c r="S1079" s="6" t="str">
        <f>IF(Table2[[#This Row],[Avg_score]]&gt;=79,"Distinction",IF(Table2[[#This Row],[Avg_score]]&gt;=60,"Pass","Fail"))</f>
        <v>Pass</v>
      </c>
      <c r="T1079" t="s">
        <v>40</v>
      </c>
      <c r="U1079">
        <f>IF(Table2[[#This Row],[Completed]]="Yes",1,0)</f>
        <v>0</v>
      </c>
      <c r="V1079" t="s">
        <v>40</v>
      </c>
      <c r="W1079" t="s">
        <v>40</v>
      </c>
      <c r="X1079" s="4">
        <v>45838</v>
      </c>
    </row>
    <row r="1080" spans="1:24" x14ac:dyDescent="0.3">
      <c r="A1080">
        <v>1079</v>
      </c>
      <c r="B1080" s="8">
        <v>360</v>
      </c>
      <c r="C1080">
        <v>2</v>
      </c>
      <c r="D1080" t="s">
        <v>19</v>
      </c>
      <c r="E1080" t="s">
        <v>22</v>
      </c>
      <c r="F1080">
        <v>29</v>
      </c>
      <c r="G1080" t="str">
        <f>IF(Table2[[#This Row],[Age]]&gt;=30,"Experienced",IF(Table2[[#This Row],[Age]]&gt;=25,"Mid Level", "Entry Level"))</f>
        <v>Mid Level</v>
      </c>
      <c r="H1080" t="s">
        <v>26</v>
      </c>
      <c r="I1080" t="s">
        <v>30</v>
      </c>
      <c r="J1080" s="4">
        <v>45678</v>
      </c>
      <c r="K1080" s="4" t="str">
        <f>TEXT(Table2[[#This Row],[Enrollment_date]],"Mmm")</f>
        <v>Jan</v>
      </c>
      <c r="L1080" s="4" t="str">
        <f>TEXT(Table2[[#This Row],[Enrollment_date]],"Ddd")</f>
        <v>Tue</v>
      </c>
      <c r="M1080" s="4" t="s">
        <v>34</v>
      </c>
      <c r="N1080" t="s">
        <v>36</v>
      </c>
      <c r="O1080" t="s">
        <v>38</v>
      </c>
      <c r="P1080" s="8">
        <v>4</v>
      </c>
      <c r="Q1080" s="6">
        <v>0.875</v>
      </c>
      <c r="R1080" s="6">
        <v>76.5</v>
      </c>
      <c r="S1080" s="6" t="str">
        <f>IF(Table2[[#This Row],[Avg_score]]&gt;=79,"Distinction",IF(Table2[[#This Row],[Avg_score]]&gt;=60,"Pass","Fail"))</f>
        <v>Pass</v>
      </c>
      <c r="T1080" t="s">
        <v>40</v>
      </c>
      <c r="U1080">
        <f>IF(Table2[[#This Row],[Completed]]="Yes",1,0)</f>
        <v>0</v>
      </c>
      <c r="V1080" t="s">
        <v>40</v>
      </c>
      <c r="W1080" t="s">
        <v>40</v>
      </c>
      <c r="X1080" s="4">
        <v>45838</v>
      </c>
    </row>
    <row r="1081" spans="1:24" x14ac:dyDescent="0.3">
      <c r="A1081">
        <v>1080</v>
      </c>
      <c r="B1081" s="8">
        <v>360</v>
      </c>
      <c r="C1081">
        <v>3</v>
      </c>
      <c r="D1081" t="s">
        <v>21</v>
      </c>
      <c r="E1081" t="s">
        <v>22</v>
      </c>
      <c r="F1081">
        <v>29</v>
      </c>
      <c r="G1081" t="str">
        <f>IF(Table2[[#This Row],[Age]]&gt;=30,"Experienced",IF(Table2[[#This Row],[Age]]&gt;=25,"Mid Level", "Entry Level"))</f>
        <v>Mid Level</v>
      </c>
      <c r="H1081" t="s">
        <v>26</v>
      </c>
      <c r="I1081" t="s">
        <v>30</v>
      </c>
      <c r="J1081" s="4">
        <v>45678</v>
      </c>
      <c r="K1081" s="4" t="str">
        <f>TEXT(Table2[[#This Row],[Enrollment_date]],"Mmm")</f>
        <v>Jan</v>
      </c>
      <c r="L1081" s="4" t="str">
        <f>TEXT(Table2[[#This Row],[Enrollment_date]],"Ddd")</f>
        <v>Tue</v>
      </c>
      <c r="M1081" s="4" t="s">
        <v>34</v>
      </c>
      <c r="N1081" t="s">
        <v>37</v>
      </c>
      <c r="O1081" t="s">
        <v>38</v>
      </c>
      <c r="P1081" s="8">
        <v>4</v>
      </c>
      <c r="Q1081" s="6">
        <v>0.85416666666666663</v>
      </c>
      <c r="R1081" s="6">
        <v>70</v>
      </c>
      <c r="S1081" s="6" t="str">
        <f>IF(Table2[[#This Row],[Avg_score]]&gt;=79,"Distinction",IF(Table2[[#This Row],[Avg_score]]&gt;=60,"Pass","Fail"))</f>
        <v>Pass</v>
      </c>
      <c r="T1081" t="s">
        <v>40</v>
      </c>
      <c r="U1081">
        <f>IF(Table2[[#This Row],[Completed]]="Yes",1,0)</f>
        <v>0</v>
      </c>
      <c r="V1081" t="s">
        <v>40</v>
      </c>
      <c r="W1081" t="s">
        <v>40</v>
      </c>
      <c r="X1081" s="4">
        <v>45838</v>
      </c>
    </row>
    <row r="1082" spans="1:24" x14ac:dyDescent="0.3">
      <c r="A1082">
        <v>1081</v>
      </c>
      <c r="B1082" s="8">
        <v>361</v>
      </c>
      <c r="C1082">
        <v>1</v>
      </c>
      <c r="D1082" t="s">
        <v>19</v>
      </c>
      <c r="E1082" t="s">
        <v>23</v>
      </c>
      <c r="F1082">
        <v>24</v>
      </c>
      <c r="G1082" t="str">
        <f>IF(Table2[[#This Row],[Age]]&gt;=30,"Experienced",IF(Table2[[#This Row],[Age]]&gt;=25,"Mid Level", "Entry Level"))</f>
        <v>Entry Level</v>
      </c>
      <c r="H1082" t="s">
        <v>24</v>
      </c>
      <c r="I1082" t="s">
        <v>30</v>
      </c>
      <c r="J1082" s="4">
        <v>45690</v>
      </c>
      <c r="K1082" s="4" t="str">
        <f>TEXT(Table2[[#This Row],[Enrollment_date]],"Mmm")</f>
        <v>Feb</v>
      </c>
      <c r="L1082" s="4" t="str">
        <f>TEXT(Table2[[#This Row],[Enrollment_date]],"Ddd")</f>
        <v>Sun</v>
      </c>
      <c r="M1082" s="4" t="s">
        <v>34</v>
      </c>
      <c r="N1082" t="s">
        <v>35</v>
      </c>
      <c r="O1082" t="s">
        <v>38</v>
      </c>
      <c r="P1082" s="8">
        <v>4</v>
      </c>
      <c r="Q1082" s="6">
        <v>0.83333333333333337</v>
      </c>
      <c r="R1082" s="6">
        <v>88.5</v>
      </c>
      <c r="S1082" s="6" t="str">
        <f>IF(Table2[[#This Row],[Avg_score]]&gt;=79,"Distinction",IF(Table2[[#This Row],[Avg_score]]&gt;=60,"Pass","Fail"))</f>
        <v>Distinction</v>
      </c>
      <c r="T1082" t="s">
        <v>39</v>
      </c>
      <c r="U1082">
        <f>IF(Table2[[#This Row],[Completed]]="Yes",1,0)</f>
        <v>1</v>
      </c>
      <c r="V1082" t="s">
        <v>40</v>
      </c>
      <c r="W1082" t="s">
        <v>40</v>
      </c>
      <c r="X1082" s="4">
        <v>45838</v>
      </c>
    </row>
    <row r="1083" spans="1:24" x14ac:dyDescent="0.3">
      <c r="A1083">
        <v>1082</v>
      </c>
      <c r="B1083" s="8">
        <v>361</v>
      </c>
      <c r="C1083">
        <v>2</v>
      </c>
      <c r="D1083" t="s">
        <v>19</v>
      </c>
      <c r="E1083" t="s">
        <v>23</v>
      </c>
      <c r="F1083">
        <v>24</v>
      </c>
      <c r="G1083" t="str">
        <f>IF(Table2[[#This Row],[Age]]&gt;=30,"Experienced",IF(Table2[[#This Row],[Age]]&gt;=25,"Mid Level", "Entry Level"))</f>
        <v>Entry Level</v>
      </c>
      <c r="H1083" t="s">
        <v>24</v>
      </c>
      <c r="I1083" t="s">
        <v>30</v>
      </c>
      <c r="J1083" s="4">
        <v>45690</v>
      </c>
      <c r="K1083" s="4" t="str">
        <f>TEXT(Table2[[#This Row],[Enrollment_date]],"Mmm")</f>
        <v>Feb</v>
      </c>
      <c r="L1083" s="4" t="str">
        <f>TEXT(Table2[[#This Row],[Enrollment_date]],"Ddd")</f>
        <v>Sun</v>
      </c>
      <c r="M1083" s="4" t="s">
        <v>34</v>
      </c>
      <c r="N1083" t="s">
        <v>36</v>
      </c>
      <c r="O1083" t="s">
        <v>38</v>
      </c>
      <c r="P1083" s="8">
        <v>4</v>
      </c>
      <c r="Q1083" s="6">
        <v>0.89583333333333337</v>
      </c>
      <c r="R1083" s="6">
        <v>64.5</v>
      </c>
      <c r="S1083" s="6" t="str">
        <f>IF(Table2[[#This Row],[Avg_score]]&gt;=79,"Distinction",IF(Table2[[#This Row],[Avg_score]]&gt;=60,"Pass","Fail"))</f>
        <v>Pass</v>
      </c>
      <c r="T1083" t="s">
        <v>39</v>
      </c>
      <c r="U1083">
        <f>IF(Table2[[#This Row],[Completed]]="Yes",1,0)</f>
        <v>1</v>
      </c>
      <c r="V1083" t="s">
        <v>40</v>
      </c>
      <c r="W1083" t="s">
        <v>40</v>
      </c>
      <c r="X1083" s="4">
        <v>45838</v>
      </c>
    </row>
    <row r="1084" spans="1:24" x14ac:dyDescent="0.3">
      <c r="A1084">
        <v>1083</v>
      </c>
      <c r="B1084" s="8">
        <v>361</v>
      </c>
      <c r="C1084">
        <v>3</v>
      </c>
      <c r="D1084" t="s">
        <v>19</v>
      </c>
      <c r="E1084" t="s">
        <v>23</v>
      </c>
      <c r="F1084">
        <v>24</v>
      </c>
      <c r="G1084" t="str">
        <f>IF(Table2[[#This Row],[Age]]&gt;=30,"Experienced",IF(Table2[[#This Row],[Age]]&gt;=25,"Mid Level", "Entry Level"))</f>
        <v>Entry Level</v>
      </c>
      <c r="H1084" t="s">
        <v>24</v>
      </c>
      <c r="I1084" t="s">
        <v>30</v>
      </c>
      <c r="J1084" s="4">
        <v>45690</v>
      </c>
      <c r="K1084" s="4" t="str">
        <f>TEXT(Table2[[#This Row],[Enrollment_date]],"Mmm")</f>
        <v>Feb</v>
      </c>
      <c r="L1084" s="4" t="str">
        <f>TEXT(Table2[[#This Row],[Enrollment_date]],"Ddd")</f>
        <v>Sun</v>
      </c>
      <c r="M1084" s="4" t="s">
        <v>34</v>
      </c>
      <c r="N1084" t="s">
        <v>37</v>
      </c>
      <c r="O1084" t="s">
        <v>38</v>
      </c>
      <c r="P1084" s="8">
        <v>4</v>
      </c>
      <c r="Q1084" s="6">
        <v>0.79166666666666663</v>
      </c>
      <c r="R1084" s="6">
        <v>75</v>
      </c>
      <c r="S1084" s="6" t="str">
        <f>IF(Table2[[#This Row],[Avg_score]]&gt;=79,"Distinction",IF(Table2[[#This Row],[Avg_score]]&gt;=60,"Pass","Fail"))</f>
        <v>Pass</v>
      </c>
      <c r="T1084" t="s">
        <v>39</v>
      </c>
      <c r="U1084">
        <f>IF(Table2[[#This Row],[Completed]]="Yes",1,0)</f>
        <v>1</v>
      </c>
      <c r="V1084" t="s">
        <v>40</v>
      </c>
      <c r="W1084" t="s">
        <v>40</v>
      </c>
      <c r="X1084" s="4">
        <v>45838</v>
      </c>
    </row>
    <row r="1085" spans="1:24" x14ac:dyDescent="0.3">
      <c r="A1085">
        <v>1084</v>
      </c>
      <c r="B1085" s="8">
        <v>362</v>
      </c>
      <c r="C1085">
        <v>1</v>
      </c>
      <c r="D1085" t="s">
        <v>19</v>
      </c>
      <c r="E1085" t="s">
        <v>23</v>
      </c>
      <c r="F1085">
        <v>35</v>
      </c>
      <c r="G1085" t="str">
        <f>IF(Table2[[#This Row],[Age]]&gt;=30,"Experienced",IF(Table2[[#This Row],[Age]]&gt;=25,"Mid Level", "Entry Level"))</f>
        <v>Experienced</v>
      </c>
      <c r="H1085" t="s">
        <v>25</v>
      </c>
      <c r="I1085" t="s">
        <v>32</v>
      </c>
      <c r="J1085" s="4">
        <v>45806</v>
      </c>
      <c r="K1085" s="4" t="str">
        <f>TEXT(Table2[[#This Row],[Enrollment_date]],"Mmm")</f>
        <v>May</v>
      </c>
      <c r="L1085" s="4" t="str">
        <f>TEXT(Table2[[#This Row],[Enrollment_date]],"Ddd")</f>
        <v>Thu</v>
      </c>
      <c r="M1085" s="4" t="s">
        <v>34</v>
      </c>
      <c r="N1085" t="s">
        <v>35</v>
      </c>
      <c r="O1085" t="s">
        <v>38</v>
      </c>
      <c r="P1085" s="8">
        <v>4</v>
      </c>
      <c r="Q1085" s="6">
        <v>0.83333333333333337</v>
      </c>
      <c r="R1085" s="6">
        <v>62.5</v>
      </c>
      <c r="S1085" s="6" t="str">
        <f>IF(Table2[[#This Row],[Avg_score]]&gt;=79,"Distinction",IF(Table2[[#This Row],[Avg_score]]&gt;=60,"Pass","Fail"))</f>
        <v>Pass</v>
      </c>
      <c r="T1085" t="s">
        <v>39</v>
      </c>
      <c r="U1085">
        <f>IF(Table2[[#This Row],[Completed]]="Yes",1,0)</f>
        <v>1</v>
      </c>
      <c r="V1085" t="s">
        <v>39</v>
      </c>
      <c r="W1085" t="s">
        <v>40</v>
      </c>
      <c r="X1085" s="4">
        <v>45838</v>
      </c>
    </row>
    <row r="1086" spans="1:24" x14ac:dyDescent="0.3">
      <c r="A1086">
        <v>1085</v>
      </c>
      <c r="B1086" s="8">
        <v>362</v>
      </c>
      <c r="C1086">
        <v>2</v>
      </c>
      <c r="D1086" t="s">
        <v>20</v>
      </c>
      <c r="E1086" t="s">
        <v>23</v>
      </c>
      <c r="F1086">
        <v>35</v>
      </c>
      <c r="G1086" t="str">
        <f>IF(Table2[[#This Row],[Age]]&gt;=30,"Experienced",IF(Table2[[#This Row],[Age]]&gt;=25,"Mid Level", "Entry Level"))</f>
        <v>Experienced</v>
      </c>
      <c r="H1086" t="s">
        <v>25</v>
      </c>
      <c r="I1086" t="s">
        <v>32</v>
      </c>
      <c r="J1086" s="4">
        <v>45806</v>
      </c>
      <c r="K1086" s="4" t="str">
        <f>TEXT(Table2[[#This Row],[Enrollment_date]],"Mmm")</f>
        <v>May</v>
      </c>
      <c r="L1086" s="4" t="str">
        <f>TEXT(Table2[[#This Row],[Enrollment_date]],"Ddd")</f>
        <v>Thu</v>
      </c>
      <c r="M1086" s="4" t="s">
        <v>34</v>
      </c>
      <c r="N1086" t="s">
        <v>36</v>
      </c>
      <c r="O1086" t="s">
        <v>38</v>
      </c>
      <c r="P1086" s="8">
        <v>4</v>
      </c>
      <c r="Q1086" s="6">
        <v>0.89583333333333337</v>
      </c>
      <c r="R1086" s="6">
        <v>79</v>
      </c>
      <c r="S1086" s="6" t="str">
        <f>IF(Table2[[#This Row],[Avg_score]]&gt;=79,"Distinction",IF(Table2[[#This Row],[Avg_score]]&gt;=60,"Pass","Fail"))</f>
        <v>Distinction</v>
      </c>
      <c r="T1086" t="s">
        <v>39</v>
      </c>
      <c r="U1086">
        <f>IF(Table2[[#This Row],[Completed]]="Yes",1,0)</f>
        <v>1</v>
      </c>
      <c r="V1086" t="s">
        <v>39</v>
      </c>
      <c r="W1086" t="s">
        <v>40</v>
      </c>
      <c r="X1086" s="4">
        <v>45838</v>
      </c>
    </row>
    <row r="1087" spans="1:24" x14ac:dyDescent="0.3">
      <c r="A1087">
        <v>1086</v>
      </c>
      <c r="B1087" s="8">
        <v>362</v>
      </c>
      <c r="C1087">
        <v>3</v>
      </c>
      <c r="D1087" t="s">
        <v>19</v>
      </c>
      <c r="E1087" t="s">
        <v>23</v>
      </c>
      <c r="F1087">
        <v>35</v>
      </c>
      <c r="G1087" t="str">
        <f>IF(Table2[[#This Row],[Age]]&gt;=30,"Experienced",IF(Table2[[#This Row],[Age]]&gt;=25,"Mid Level", "Entry Level"))</f>
        <v>Experienced</v>
      </c>
      <c r="H1087" t="s">
        <v>25</v>
      </c>
      <c r="I1087" t="s">
        <v>32</v>
      </c>
      <c r="J1087" s="4">
        <v>45806</v>
      </c>
      <c r="K1087" s="4" t="str">
        <f>TEXT(Table2[[#This Row],[Enrollment_date]],"Mmm")</f>
        <v>May</v>
      </c>
      <c r="L1087" s="4" t="str">
        <f>TEXT(Table2[[#This Row],[Enrollment_date]],"Ddd")</f>
        <v>Thu</v>
      </c>
      <c r="M1087" s="4" t="s">
        <v>34</v>
      </c>
      <c r="N1087" t="s">
        <v>37</v>
      </c>
      <c r="O1087" t="s">
        <v>38</v>
      </c>
      <c r="P1087" s="8">
        <v>4</v>
      </c>
      <c r="Q1087" s="6">
        <v>0.875</v>
      </c>
      <c r="R1087" s="6">
        <v>66</v>
      </c>
      <c r="S1087" s="6" t="str">
        <f>IF(Table2[[#This Row],[Avg_score]]&gt;=79,"Distinction",IF(Table2[[#This Row],[Avg_score]]&gt;=60,"Pass","Fail"))</f>
        <v>Pass</v>
      </c>
      <c r="T1087" t="s">
        <v>39</v>
      </c>
      <c r="U1087">
        <f>IF(Table2[[#This Row],[Completed]]="Yes",1,0)</f>
        <v>1</v>
      </c>
      <c r="V1087" t="s">
        <v>39</v>
      </c>
      <c r="W1087" t="s">
        <v>40</v>
      </c>
      <c r="X1087" s="4">
        <v>45838</v>
      </c>
    </row>
    <row r="1088" spans="1:24" x14ac:dyDescent="0.3">
      <c r="A1088">
        <v>1087</v>
      </c>
      <c r="B1088" s="8">
        <v>363</v>
      </c>
      <c r="C1088">
        <v>1</v>
      </c>
      <c r="D1088" t="s">
        <v>19</v>
      </c>
      <c r="E1088" t="s">
        <v>22</v>
      </c>
      <c r="F1088">
        <v>23</v>
      </c>
      <c r="G1088" t="str">
        <f>IF(Table2[[#This Row],[Age]]&gt;=30,"Experienced",IF(Table2[[#This Row],[Age]]&gt;=25,"Mid Level", "Entry Level"))</f>
        <v>Entry Level</v>
      </c>
      <c r="H1088" t="s">
        <v>24</v>
      </c>
      <c r="I1088" t="s">
        <v>30</v>
      </c>
      <c r="J1088" s="4">
        <v>45802</v>
      </c>
      <c r="K1088" s="4" t="str">
        <f>TEXT(Table2[[#This Row],[Enrollment_date]],"Mmm")</f>
        <v>May</v>
      </c>
      <c r="L1088" s="4" t="str">
        <f>TEXT(Table2[[#This Row],[Enrollment_date]],"Ddd")</f>
        <v>Sun</v>
      </c>
      <c r="M1088" s="4" t="s">
        <v>34</v>
      </c>
      <c r="N1088" t="s">
        <v>35</v>
      </c>
      <c r="O1088" t="s">
        <v>38</v>
      </c>
      <c r="P1088" s="8">
        <v>4</v>
      </c>
      <c r="Q1088" s="6">
        <v>0.75</v>
      </c>
      <c r="R1088" s="6">
        <v>92.5</v>
      </c>
      <c r="S1088" s="6" t="str">
        <f>IF(Table2[[#This Row],[Avg_score]]&gt;=79,"Distinction",IF(Table2[[#This Row],[Avg_score]]&gt;=60,"Pass","Fail"))</f>
        <v>Distinction</v>
      </c>
      <c r="T1088" t="s">
        <v>39</v>
      </c>
      <c r="U1088">
        <f>IF(Table2[[#This Row],[Completed]]="Yes",1,0)</f>
        <v>1</v>
      </c>
      <c r="V1088" t="s">
        <v>39</v>
      </c>
      <c r="W1088" t="s">
        <v>39</v>
      </c>
      <c r="X1088" s="4">
        <v>45838</v>
      </c>
    </row>
    <row r="1089" spans="1:24" x14ac:dyDescent="0.3">
      <c r="A1089">
        <v>1088</v>
      </c>
      <c r="B1089" s="8">
        <v>363</v>
      </c>
      <c r="C1089">
        <v>2</v>
      </c>
      <c r="D1089" t="s">
        <v>19</v>
      </c>
      <c r="E1089" t="s">
        <v>22</v>
      </c>
      <c r="F1089">
        <v>23</v>
      </c>
      <c r="G1089" t="str">
        <f>IF(Table2[[#This Row],[Age]]&gt;=30,"Experienced",IF(Table2[[#This Row],[Age]]&gt;=25,"Mid Level", "Entry Level"))</f>
        <v>Entry Level</v>
      </c>
      <c r="H1089" t="s">
        <v>24</v>
      </c>
      <c r="I1089" t="s">
        <v>30</v>
      </c>
      <c r="J1089" s="4">
        <v>45802</v>
      </c>
      <c r="K1089" s="4" t="str">
        <f>TEXT(Table2[[#This Row],[Enrollment_date]],"Mmm")</f>
        <v>May</v>
      </c>
      <c r="L1089" s="4" t="str">
        <f>TEXT(Table2[[#This Row],[Enrollment_date]],"Ddd")</f>
        <v>Sun</v>
      </c>
      <c r="M1089" s="4" t="s">
        <v>34</v>
      </c>
      <c r="N1089" t="s">
        <v>36</v>
      </c>
      <c r="O1089" t="s">
        <v>38</v>
      </c>
      <c r="P1089" s="8">
        <v>4</v>
      </c>
      <c r="Q1089" s="6">
        <v>0.875</v>
      </c>
      <c r="R1089" s="6">
        <v>53</v>
      </c>
      <c r="S1089" s="6" t="str">
        <f>IF(Table2[[#This Row],[Avg_score]]&gt;=79,"Distinction",IF(Table2[[#This Row],[Avg_score]]&gt;=60,"Pass","Fail"))</f>
        <v>Fail</v>
      </c>
      <c r="T1089" t="s">
        <v>39</v>
      </c>
      <c r="U1089">
        <f>IF(Table2[[#This Row],[Completed]]="Yes",1,0)</f>
        <v>1</v>
      </c>
      <c r="V1089" t="s">
        <v>39</v>
      </c>
      <c r="W1089" t="s">
        <v>39</v>
      </c>
      <c r="X1089" s="4">
        <v>45838</v>
      </c>
    </row>
    <row r="1090" spans="1:24" x14ac:dyDescent="0.3">
      <c r="A1090">
        <v>1089</v>
      </c>
      <c r="B1090" s="8">
        <v>363</v>
      </c>
      <c r="C1090">
        <v>3</v>
      </c>
      <c r="D1090" t="s">
        <v>19</v>
      </c>
      <c r="E1090" t="s">
        <v>22</v>
      </c>
      <c r="F1090">
        <v>23</v>
      </c>
      <c r="G1090" t="str">
        <f>IF(Table2[[#This Row],[Age]]&gt;=30,"Experienced",IF(Table2[[#This Row],[Age]]&gt;=25,"Mid Level", "Entry Level"))</f>
        <v>Entry Level</v>
      </c>
      <c r="H1090" t="s">
        <v>24</v>
      </c>
      <c r="I1090" t="s">
        <v>30</v>
      </c>
      <c r="J1090" s="4">
        <v>45802</v>
      </c>
      <c r="K1090" s="4" t="str">
        <f>TEXT(Table2[[#This Row],[Enrollment_date]],"Mmm")</f>
        <v>May</v>
      </c>
      <c r="L1090" s="4" t="str">
        <f>TEXT(Table2[[#This Row],[Enrollment_date]],"Ddd")</f>
        <v>Sun</v>
      </c>
      <c r="M1090" s="4" t="s">
        <v>34</v>
      </c>
      <c r="N1090" t="s">
        <v>37</v>
      </c>
      <c r="O1090" t="s">
        <v>38</v>
      </c>
      <c r="P1090" s="8">
        <v>4</v>
      </c>
      <c r="Q1090" s="6">
        <v>0.79166666666666663</v>
      </c>
      <c r="R1090" s="6">
        <v>73.5</v>
      </c>
      <c r="S1090" s="6" t="str">
        <f>IF(Table2[[#This Row],[Avg_score]]&gt;=79,"Distinction",IF(Table2[[#This Row],[Avg_score]]&gt;=60,"Pass","Fail"))</f>
        <v>Pass</v>
      </c>
      <c r="T1090" t="s">
        <v>39</v>
      </c>
      <c r="U1090">
        <f>IF(Table2[[#This Row],[Completed]]="Yes",1,0)</f>
        <v>1</v>
      </c>
      <c r="V1090" t="s">
        <v>39</v>
      </c>
      <c r="W1090" t="s">
        <v>39</v>
      </c>
      <c r="X1090" s="4">
        <v>45838</v>
      </c>
    </row>
    <row r="1091" spans="1:24" x14ac:dyDescent="0.3">
      <c r="A1091">
        <v>1090</v>
      </c>
      <c r="B1091" s="8">
        <v>364</v>
      </c>
      <c r="C1091">
        <v>1</v>
      </c>
      <c r="D1091" t="s">
        <v>19</v>
      </c>
      <c r="E1091" t="s">
        <v>22</v>
      </c>
      <c r="F1091">
        <v>18</v>
      </c>
      <c r="G1091" t="str">
        <f>IF(Table2[[#This Row],[Age]]&gt;=30,"Experienced",IF(Table2[[#This Row],[Age]]&gt;=25,"Mid Level", "Entry Level"))</f>
        <v>Entry Level</v>
      </c>
      <c r="H1091" t="s">
        <v>25</v>
      </c>
      <c r="I1091" t="s">
        <v>68</v>
      </c>
      <c r="J1091" s="4">
        <v>45805</v>
      </c>
      <c r="K1091" s="4" t="str">
        <f>TEXT(Table2[[#This Row],[Enrollment_date]],"Mmm")</f>
        <v>May</v>
      </c>
      <c r="L1091" s="4" t="str">
        <f>TEXT(Table2[[#This Row],[Enrollment_date]],"Ddd")</f>
        <v>Wed</v>
      </c>
      <c r="M1091" s="4" t="s">
        <v>34</v>
      </c>
      <c r="N1091" t="s">
        <v>35</v>
      </c>
      <c r="O1091" t="s">
        <v>38</v>
      </c>
      <c r="P1091" s="8">
        <v>4</v>
      </c>
      <c r="Q1091" s="6">
        <v>0.85416666666666663</v>
      </c>
      <c r="R1091" s="6">
        <v>94.5</v>
      </c>
      <c r="S1091" s="6" t="str">
        <f>IF(Table2[[#This Row],[Avg_score]]&gt;=79,"Distinction",IF(Table2[[#This Row],[Avg_score]]&gt;=60,"Pass","Fail"))</f>
        <v>Distinction</v>
      </c>
      <c r="T1091" t="s">
        <v>39</v>
      </c>
      <c r="U1091">
        <f>IF(Table2[[#This Row],[Completed]]="Yes",1,0)</f>
        <v>1</v>
      </c>
      <c r="V1091" t="s">
        <v>39</v>
      </c>
      <c r="W1091" t="s">
        <v>40</v>
      </c>
      <c r="X1091" s="4">
        <v>45838</v>
      </c>
    </row>
    <row r="1092" spans="1:24" x14ac:dyDescent="0.3">
      <c r="A1092">
        <v>1091</v>
      </c>
      <c r="B1092" s="8">
        <v>364</v>
      </c>
      <c r="C1092">
        <v>2</v>
      </c>
      <c r="D1092" t="s">
        <v>19</v>
      </c>
      <c r="E1092" t="s">
        <v>22</v>
      </c>
      <c r="F1092">
        <v>18</v>
      </c>
      <c r="G1092" t="str">
        <f>IF(Table2[[#This Row],[Age]]&gt;=30,"Experienced",IF(Table2[[#This Row],[Age]]&gt;=25,"Mid Level", "Entry Level"))</f>
        <v>Entry Level</v>
      </c>
      <c r="H1092" t="s">
        <v>25</v>
      </c>
      <c r="I1092" t="s">
        <v>68</v>
      </c>
      <c r="J1092" s="4">
        <v>45805</v>
      </c>
      <c r="K1092" s="4" t="str">
        <f>TEXT(Table2[[#This Row],[Enrollment_date]],"Mmm")</f>
        <v>May</v>
      </c>
      <c r="L1092" s="4" t="str">
        <f>TEXT(Table2[[#This Row],[Enrollment_date]],"Ddd")</f>
        <v>Wed</v>
      </c>
      <c r="M1092" s="4" t="s">
        <v>34</v>
      </c>
      <c r="N1092" t="s">
        <v>36</v>
      </c>
      <c r="O1092" t="s">
        <v>38</v>
      </c>
      <c r="P1092" s="8">
        <v>4</v>
      </c>
      <c r="Q1092" s="6">
        <v>0.875</v>
      </c>
      <c r="R1092" s="6">
        <v>76</v>
      </c>
      <c r="S1092" s="6" t="str">
        <f>IF(Table2[[#This Row],[Avg_score]]&gt;=79,"Distinction",IF(Table2[[#This Row],[Avg_score]]&gt;=60,"Pass","Fail"))</f>
        <v>Pass</v>
      </c>
      <c r="T1092" t="s">
        <v>39</v>
      </c>
      <c r="U1092">
        <f>IF(Table2[[#This Row],[Completed]]="Yes",1,0)</f>
        <v>1</v>
      </c>
      <c r="V1092" t="s">
        <v>39</v>
      </c>
      <c r="W1092" t="s">
        <v>40</v>
      </c>
      <c r="X1092" s="4">
        <v>45838</v>
      </c>
    </row>
    <row r="1093" spans="1:24" x14ac:dyDescent="0.3">
      <c r="A1093">
        <v>1092</v>
      </c>
      <c r="B1093" s="8">
        <v>364</v>
      </c>
      <c r="C1093">
        <v>3</v>
      </c>
      <c r="D1093" t="s">
        <v>19</v>
      </c>
      <c r="E1093" t="s">
        <v>22</v>
      </c>
      <c r="F1093">
        <v>18</v>
      </c>
      <c r="G1093" t="str">
        <f>IF(Table2[[#This Row],[Age]]&gt;=30,"Experienced",IF(Table2[[#This Row],[Age]]&gt;=25,"Mid Level", "Entry Level"))</f>
        <v>Entry Level</v>
      </c>
      <c r="H1093" t="s">
        <v>25</v>
      </c>
      <c r="I1093" t="s">
        <v>68</v>
      </c>
      <c r="J1093" s="4">
        <v>45805</v>
      </c>
      <c r="K1093" s="4" t="str">
        <f>TEXT(Table2[[#This Row],[Enrollment_date]],"Mmm")</f>
        <v>May</v>
      </c>
      <c r="L1093" s="4" t="str">
        <f>TEXT(Table2[[#This Row],[Enrollment_date]],"Ddd")</f>
        <v>Wed</v>
      </c>
      <c r="M1093" s="4" t="s">
        <v>34</v>
      </c>
      <c r="N1093" t="s">
        <v>37</v>
      </c>
      <c r="O1093" t="s">
        <v>38</v>
      </c>
      <c r="P1093" s="8">
        <v>4</v>
      </c>
      <c r="Q1093" s="6">
        <v>0.8125</v>
      </c>
      <c r="R1093" s="6">
        <v>52</v>
      </c>
      <c r="S1093" s="6" t="str">
        <f>IF(Table2[[#This Row],[Avg_score]]&gt;=79,"Distinction",IF(Table2[[#This Row],[Avg_score]]&gt;=60,"Pass","Fail"))</f>
        <v>Fail</v>
      </c>
      <c r="T1093" t="s">
        <v>39</v>
      </c>
      <c r="U1093">
        <f>IF(Table2[[#This Row],[Completed]]="Yes",1,0)</f>
        <v>1</v>
      </c>
      <c r="V1093" t="s">
        <v>39</v>
      </c>
      <c r="W1093" t="s">
        <v>40</v>
      </c>
      <c r="X1093" s="4">
        <v>45838</v>
      </c>
    </row>
    <row r="1094" spans="1:24" x14ac:dyDescent="0.3">
      <c r="A1094">
        <v>1093</v>
      </c>
      <c r="B1094" s="8">
        <v>365</v>
      </c>
      <c r="C1094">
        <v>1</v>
      </c>
      <c r="D1094" t="s">
        <v>19</v>
      </c>
      <c r="E1094" t="s">
        <v>23</v>
      </c>
      <c r="F1094">
        <v>24</v>
      </c>
      <c r="G1094" t="str">
        <f>IF(Table2[[#This Row],[Age]]&gt;=30,"Experienced",IF(Table2[[#This Row],[Age]]&gt;=25,"Mid Level", "Entry Level"))</f>
        <v>Entry Level</v>
      </c>
      <c r="H1094" t="s">
        <v>26</v>
      </c>
      <c r="I1094" t="s">
        <v>44</v>
      </c>
      <c r="J1094" s="4">
        <v>45665</v>
      </c>
      <c r="K1094" s="4" t="str">
        <f>TEXT(Table2[[#This Row],[Enrollment_date]],"Mmm")</f>
        <v>Jan</v>
      </c>
      <c r="L1094" s="4" t="str">
        <f>TEXT(Table2[[#This Row],[Enrollment_date]],"Ddd")</f>
        <v>Wed</v>
      </c>
      <c r="M1094" s="4" t="s">
        <v>34</v>
      </c>
      <c r="N1094" t="s">
        <v>35</v>
      </c>
      <c r="O1094" t="s">
        <v>38</v>
      </c>
      <c r="P1094" s="8">
        <v>4</v>
      </c>
      <c r="Q1094" s="6">
        <v>0.79166666666666663</v>
      </c>
      <c r="R1094" s="6">
        <v>63.5</v>
      </c>
      <c r="S1094" s="6" t="str">
        <f>IF(Table2[[#This Row],[Avg_score]]&gt;=79,"Distinction",IF(Table2[[#This Row],[Avg_score]]&gt;=60,"Pass","Fail"))</f>
        <v>Pass</v>
      </c>
      <c r="T1094" t="s">
        <v>39</v>
      </c>
      <c r="U1094">
        <f>IF(Table2[[#This Row],[Completed]]="Yes",1,0)</f>
        <v>1</v>
      </c>
      <c r="V1094" t="s">
        <v>39</v>
      </c>
      <c r="W1094" t="s">
        <v>40</v>
      </c>
      <c r="X1094" s="4">
        <v>45838</v>
      </c>
    </row>
    <row r="1095" spans="1:24" x14ac:dyDescent="0.3">
      <c r="A1095">
        <v>1094</v>
      </c>
      <c r="B1095" s="8">
        <v>365</v>
      </c>
      <c r="C1095">
        <v>2</v>
      </c>
      <c r="D1095" t="s">
        <v>19</v>
      </c>
      <c r="E1095" t="s">
        <v>23</v>
      </c>
      <c r="F1095">
        <v>24</v>
      </c>
      <c r="G1095" t="str">
        <f>IF(Table2[[#This Row],[Age]]&gt;=30,"Experienced",IF(Table2[[#This Row],[Age]]&gt;=25,"Mid Level", "Entry Level"))</f>
        <v>Entry Level</v>
      </c>
      <c r="H1095" t="s">
        <v>26</v>
      </c>
      <c r="I1095" t="s">
        <v>44</v>
      </c>
      <c r="J1095" s="4">
        <v>45665</v>
      </c>
      <c r="K1095" s="4" t="str">
        <f>TEXT(Table2[[#This Row],[Enrollment_date]],"Mmm")</f>
        <v>Jan</v>
      </c>
      <c r="L1095" s="4" t="str">
        <f>TEXT(Table2[[#This Row],[Enrollment_date]],"Ddd")</f>
        <v>Wed</v>
      </c>
      <c r="M1095" s="4" t="s">
        <v>34</v>
      </c>
      <c r="N1095" t="s">
        <v>36</v>
      </c>
      <c r="O1095" t="s">
        <v>38</v>
      </c>
      <c r="P1095" s="8">
        <v>4</v>
      </c>
      <c r="Q1095" s="6">
        <v>0.70833333333333337</v>
      </c>
      <c r="R1095" s="6">
        <v>65.5</v>
      </c>
      <c r="S1095" s="6" t="str">
        <f>IF(Table2[[#This Row],[Avg_score]]&gt;=79,"Distinction",IF(Table2[[#This Row],[Avg_score]]&gt;=60,"Pass","Fail"))</f>
        <v>Pass</v>
      </c>
      <c r="T1095" t="s">
        <v>39</v>
      </c>
      <c r="U1095">
        <f>IF(Table2[[#This Row],[Completed]]="Yes",1,0)</f>
        <v>1</v>
      </c>
      <c r="V1095" t="s">
        <v>39</v>
      </c>
      <c r="W1095" t="s">
        <v>40</v>
      </c>
      <c r="X1095" s="4">
        <v>45838</v>
      </c>
    </row>
    <row r="1096" spans="1:24" x14ac:dyDescent="0.3">
      <c r="A1096">
        <v>1095</v>
      </c>
      <c r="B1096" s="8">
        <v>365</v>
      </c>
      <c r="C1096">
        <v>3</v>
      </c>
      <c r="D1096" t="s">
        <v>19</v>
      </c>
      <c r="E1096" t="s">
        <v>23</v>
      </c>
      <c r="F1096">
        <v>24</v>
      </c>
      <c r="G1096" t="str">
        <f>IF(Table2[[#This Row],[Age]]&gt;=30,"Experienced",IF(Table2[[#This Row],[Age]]&gt;=25,"Mid Level", "Entry Level"))</f>
        <v>Entry Level</v>
      </c>
      <c r="H1096" t="s">
        <v>26</v>
      </c>
      <c r="I1096" t="s">
        <v>44</v>
      </c>
      <c r="J1096" s="4">
        <v>45665</v>
      </c>
      <c r="K1096" s="4" t="str">
        <f>TEXT(Table2[[#This Row],[Enrollment_date]],"Mmm")</f>
        <v>Jan</v>
      </c>
      <c r="L1096" s="4" t="str">
        <f>TEXT(Table2[[#This Row],[Enrollment_date]],"Ddd")</f>
        <v>Wed</v>
      </c>
      <c r="M1096" s="4" t="s">
        <v>34</v>
      </c>
      <c r="N1096" t="s">
        <v>37</v>
      </c>
      <c r="O1096" t="s">
        <v>38</v>
      </c>
      <c r="P1096" s="8">
        <v>4</v>
      </c>
      <c r="Q1096" s="6">
        <v>0.8125</v>
      </c>
      <c r="R1096" s="6">
        <v>75</v>
      </c>
      <c r="S1096" s="6" t="str">
        <f>IF(Table2[[#This Row],[Avg_score]]&gt;=79,"Distinction",IF(Table2[[#This Row],[Avg_score]]&gt;=60,"Pass","Fail"))</f>
        <v>Pass</v>
      </c>
      <c r="T1096" t="s">
        <v>39</v>
      </c>
      <c r="U1096">
        <f>IF(Table2[[#This Row],[Completed]]="Yes",1,0)</f>
        <v>1</v>
      </c>
      <c r="V1096" t="s">
        <v>39</v>
      </c>
      <c r="W1096" t="s">
        <v>40</v>
      </c>
      <c r="X1096" s="4">
        <v>45838</v>
      </c>
    </row>
    <row r="1097" spans="1:24" x14ac:dyDescent="0.3">
      <c r="A1097">
        <v>1096</v>
      </c>
      <c r="B1097" s="8">
        <v>366</v>
      </c>
      <c r="C1097">
        <v>1</v>
      </c>
      <c r="D1097" t="s">
        <v>20</v>
      </c>
      <c r="E1097" t="s">
        <v>23</v>
      </c>
      <c r="F1097">
        <v>35</v>
      </c>
      <c r="G1097" t="str">
        <f>IF(Table2[[#This Row],[Age]]&gt;=30,"Experienced",IF(Table2[[#This Row],[Age]]&gt;=25,"Mid Level", "Entry Level"))</f>
        <v>Experienced</v>
      </c>
      <c r="H1097" t="s">
        <v>29</v>
      </c>
      <c r="I1097" t="s">
        <v>30</v>
      </c>
      <c r="J1097" s="4">
        <v>45781</v>
      </c>
      <c r="K1097" s="4" t="str">
        <f>TEXT(Table2[[#This Row],[Enrollment_date]],"Mmm")</f>
        <v>May</v>
      </c>
      <c r="L1097" s="4" t="str">
        <f>TEXT(Table2[[#This Row],[Enrollment_date]],"Ddd")</f>
        <v>Sun</v>
      </c>
      <c r="M1097" s="4" t="s">
        <v>34</v>
      </c>
      <c r="N1097" t="s">
        <v>35</v>
      </c>
      <c r="O1097" t="s">
        <v>38</v>
      </c>
      <c r="P1097" s="8">
        <v>4</v>
      </c>
      <c r="Q1097" s="6">
        <v>0.79166666666666663</v>
      </c>
      <c r="R1097" s="6">
        <v>70</v>
      </c>
      <c r="S1097" s="6" t="str">
        <f>IF(Table2[[#This Row],[Avg_score]]&gt;=79,"Distinction",IF(Table2[[#This Row],[Avg_score]]&gt;=60,"Pass","Fail"))</f>
        <v>Pass</v>
      </c>
      <c r="T1097" t="s">
        <v>39</v>
      </c>
      <c r="U1097">
        <f>IF(Table2[[#This Row],[Completed]]="Yes",1,0)</f>
        <v>1</v>
      </c>
      <c r="V1097" t="s">
        <v>39</v>
      </c>
      <c r="W1097" t="s">
        <v>40</v>
      </c>
      <c r="X1097" s="4">
        <v>45838</v>
      </c>
    </row>
    <row r="1098" spans="1:24" x14ac:dyDescent="0.3">
      <c r="A1098">
        <v>1097</v>
      </c>
      <c r="B1098" s="8">
        <v>366</v>
      </c>
      <c r="C1098">
        <v>2</v>
      </c>
      <c r="D1098" t="s">
        <v>19</v>
      </c>
      <c r="E1098" t="s">
        <v>23</v>
      </c>
      <c r="F1098">
        <v>35</v>
      </c>
      <c r="G1098" t="str">
        <f>IF(Table2[[#This Row],[Age]]&gt;=30,"Experienced",IF(Table2[[#This Row],[Age]]&gt;=25,"Mid Level", "Entry Level"))</f>
        <v>Experienced</v>
      </c>
      <c r="H1098" t="s">
        <v>29</v>
      </c>
      <c r="I1098" t="s">
        <v>30</v>
      </c>
      <c r="J1098" s="4">
        <v>45781</v>
      </c>
      <c r="K1098" s="4" t="str">
        <f>TEXT(Table2[[#This Row],[Enrollment_date]],"Mmm")</f>
        <v>May</v>
      </c>
      <c r="L1098" s="4" t="str">
        <f>TEXT(Table2[[#This Row],[Enrollment_date]],"Ddd")</f>
        <v>Sun</v>
      </c>
      <c r="M1098" s="4" t="s">
        <v>34</v>
      </c>
      <c r="N1098" t="s">
        <v>36</v>
      </c>
      <c r="O1098" t="s">
        <v>38</v>
      </c>
      <c r="P1098" s="8">
        <v>4</v>
      </c>
      <c r="Q1098" s="6">
        <v>0.8125</v>
      </c>
      <c r="R1098" s="6">
        <v>55</v>
      </c>
      <c r="S1098" s="6" t="str">
        <f>IF(Table2[[#This Row],[Avg_score]]&gt;=79,"Distinction",IF(Table2[[#This Row],[Avg_score]]&gt;=60,"Pass","Fail"))</f>
        <v>Fail</v>
      </c>
      <c r="T1098" t="s">
        <v>39</v>
      </c>
      <c r="U1098">
        <f>IF(Table2[[#This Row],[Completed]]="Yes",1,0)</f>
        <v>1</v>
      </c>
      <c r="V1098" t="s">
        <v>39</v>
      </c>
      <c r="W1098" t="s">
        <v>40</v>
      </c>
      <c r="X1098" s="4">
        <v>45838</v>
      </c>
    </row>
    <row r="1099" spans="1:24" x14ac:dyDescent="0.3">
      <c r="A1099">
        <v>1098</v>
      </c>
      <c r="B1099" s="8">
        <v>366</v>
      </c>
      <c r="C1099">
        <v>3</v>
      </c>
      <c r="D1099" t="s">
        <v>19</v>
      </c>
      <c r="E1099" t="s">
        <v>23</v>
      </c>
      <c r="F1099">
        <v>35</v>
      </c>
      <c r="G1099" t="str">
        <f>IF(Table2[[#This Row],[Age]]&gt;=30,"Experienced",IF(Table2[[#This Row],[Age]]&gt;=25,"Mid Level", "Entry Level"))</f>
        <v>Experienced</v>
      </c>
      <c r="H1099" t="s">
        <v>29</v>
      </c>
      <c r="I1099" t="s">
        <v>30</v>
      </c>
      <c r="J1099" s="4">
        <v>45781</v>
      </c>
      <c r="K1099" s="4" t="str">
        <f>TEXT(Table2[[#This Row],[Enrollment_date]],"Mmm")</f>
        <v>May</v>
      </c>
      <c r="L1099" s="4" t="str">
        <f>TEXT(Table2[[#This Row],[Enrollment_date]],"Ddd")</f>
        <v>Sun</v>
      </c>
      <c r="M1099" s="4" t="s">
        <v>34</v>
      </c>
      <c r="N1099" t="s">
        <v>37</v>
      </c>
      <c r="O1099" t="s">
        <v>38</v>
      </c>
      <c r="P1099" s="8">
        <v>4</v>
      </c>
      <c r="Q1099" s="6">
        <v>0.875</v>
      </c>
      <c r="R1099" s="6">
        <v>93.5</v>
      </c>
      <c r="S1099" s="6" t="str">
        <f>IF(Table2[[#This Row],[Avg_score]]&gt;=79,"Distinction",IF(Table2[[#This Row],[Avg_score]]&gt;=60,"Pass","Fail"))</f>
        <v>Distinction</v>
      </c>
      <c r="T1099" t="s">
        <v>39</v>
      </c>
      <c r="U1099">
        <f>IF(Table2[[#This Row],[Completed]]="Yes",1,0)</f>
        <v>1</v>
      </c>
      <c r="V1099" t="s">
        <v>39</v>
      </c>
      <c r="W1099" t="s">
        <v>40</v>
      </c>
      <c r="X1099" s="4">
        <v>45838</v>
      </c>
    </row>
    <row r="1100" spans="1:24" x14ac:dyDescent="0.3">
      <c r="A1100">
        <v>1099</v>
      </c>
      <c r="B1100" s="8">
        <v>367</v>
      </c>
      <c r="C1100">
        <v>1</v>
      </c>
      <c r="D1100" t="s">
        <v>21</v>
      </c>
      <c r="E1100" t="s">
        <v>22</v>
      </c>
      <c r="F1100">
        <v>30</v>
      </c>
      <c r="G1100" t="str">
        <f>IF(Table2[[#This Row],[Age]]&gt;=30,"Experienced",IF(Table2[[#This Row],[Age]]&gt;=25,"Mid Level", "Entry Level"))</f>
        <v>Experienced</v>
      </c>
      <c r="H1100" t="s">
        <v>29</v>
      </c>
      <c r="I1100" t="s">
        <v>44</v>
      </c>
      <c r="J1100" s="4">
        <v>45676</v>
      </c>
      <c r="K1100" s="4" t="str">
        <f>TEXT(Table2[[#This Row],[Enrollment_date]],"Mmm")</f>
        <v>Jan</v>
      </c>
      <c r="L1100" s="4" t="str">
        <f>TEXT(Table2[[#This Row],[Enrollment_date]],"Ddd")</f>
        <v>Sun</v>
      </c>
      <c r="M1100" s="4" t="s">
        <v>34</v>
      </c>
      <c r="N1100" t="s">
        <v>35</v>
      </c>
      <c r="O1100" t="s">
        <v>38</v>
      </c>
      <c r="P1100" s="8">
        <v>4</v>
      </c>
      <c r="Q1100" s="6">
        <v>0.79166666666666663</v>
      </c>
      <c r="R1100" s="6">
        <v>66.5</v>
      </c>
      <c r="S1100" s="6" t="str">
        <f>IF(Table2[[#This Row],[Avg_score]]&gt;=79,"Distinction",IF(Table2[[#This Row],[Avg_score]]&gt;=60,"Pass","Fail"))</f>
        <v>Pass</v>
      </c>
      <c r="T1100" t="s">
        <v>39</v>
      </c>
      <c r="U1100">
        <f>IF(Table2[[#This Row],[Completed]]="Yes",1,0)</f>
        <v>1</v>
      </c>
      <c r="V1100" t="s">
        <v>39</v>
      </c>
      <c r="W1100" t="s">
        <v>40</v>
      </c>
      <c r="X1100" s="4">
        <v>45838</v>
      </c>
    </row>
    <row r="1101" spans="1:24" x14ac:dyDescent="0.3">
      <c r="A1101">
        <v>1100</v>
      </c>
      <c r="B1101" s="8">
        <v>367</v>
      </c>
      <c r="C1101">
        <v>2</v>
      </c>
      <c r="D1101" t="s">
        <v>21</v>
      </c>
      <c r="E1101" t="s">
        <v>22</v>
      </c>
      <c r="F1101">
        <v>30</v>
      </c>
      <c r="G1101" t="str">
        <f>IF(Table2[[#This Row],[Age]]&gt;=30,"Experienced",IF(Table2[[#This Row],[Age]]&gt;=25,"Mid Level", "Entry Level"))</f>
        <v>Experienced</v>
      </c>
      <c r="H1101" t="s">
        <v>29</v>
      </c>
      <c r="I1101" t="s">
        <v>44</v>
      </c>
      <c r="J1101" s="4">
        <v>45676</v>
      </c>
      <c r="K1101" s="4" t="str">
        <f>TEXT(Table2[[#This Row],[Enrollment_date]],"Mmm")</f>
        <v>Jan</v>
      </c>
      <c r="L1101" s="4" t="str">
        <f>TEXT(Table2[[#This Row],[Enrollment_date]],"Ddd")</f>
        <v>Sun</v>
      </c>
      <c r="M1101" s="4" t="s">
        <v>34</v>
      </c>
      <c r="N1101" t="s">
        <v>36</v>
      </c>
      <c r="O1101" t="s">
        <v>38</v>
      </c>
      <c r="P1101" s="8">
        <v>4</v>
      </c>
      <c r="Q1101" s="6">
        <v>0.83333333333333337</v>
      </c>
      <c r="R1101" s="6">
        <v>75.5</v>
      </c>
      <c r="S1101" s="6" t="str">
        <f>IF(Table2[[#This Row],[Avg_score]]&gt;=79,"Distinction",IF(Table2[[#This Row],[Avg_score]]&gt;=60,"Pass","Fail"))</f>
        <v>Pass</v>
      </c>
      <c r="T1101" t="s">
        <v>39</v>
      </c>
      <c r="U1101">
        <f>IF(Table2[[#This Row],[Completed]]="Yes",1,0)</f>
        <v>1</v>
      </c>
      <c r="V1101" t="s">
        <v>39</v>
      </c>
      <c r="W1101" t="s">
        <v>40</v>
      </c>
      <c r="X1101" s="4">
        <v>45838</v>
      </c>
    </row>
    <row r="1102" spans="1:24" x14ac:dyDescent="0.3">
      <c r="A1102">
        <v>1101</v>
      </c>
      <c r="B1102" s="8">
        <v>367</v>
      </c>
      <c r="C1102">
        <v>3</v>
      </c>
      <c r="D1102" t="s">
        <v>20</v>
      </c>
      <c r="E1102" t="s">
        <v>22</v>
      </c>
      <c r="F1102">
        <v>30</v>
      </c>
      <c r="G1102" t="str">
        <f>IF(Table2[[#This Row],[Age]]&gt;=30,"Experienced",IF(Table2[[#This Row],[Age]]&gt;=25,"Mid Level", "Entry Level"))</f>
        <v>Experienced</v>
      </c>
      <c r="H1102" t="s">
        <v>29</v>
      </c>
      <c r="I1102" t="s">
        <v>44</v>
      </c>
      <c r="J1102" s="4">
        <v>45676</v>
      </c>
      <c r="K1102" s="4" t="str">
        <f>TEXT(Table2[[#This Row],[Enrollment_date]],"Mmm")</f>
        <v>Jan</v>
      </c>
      <c r="L1102" s="4" t="str">
        <f>TEXT(Table2[[#This Row],[Enrollment_date]],"Ddd")</f>
        <v>Sun</v>
      </c>
      <c r="M1102" s="4" t="s">
        <v>34</v>
      </c>
      <c r="N1102" t="s">
        <v>37</v>
      </c>
      <c r="O1102" t="s">
        <v>38</v>
      </c>
      <c r="P1102" s="8">
        <v>4</v>
      </c>
      <c r="Q1102" s="6">
        <v>0.8125</v>
      </c>
      <c r="R1102" s="6">
        <v>54</v>
      </c>
      <c r="S1102" s="6" t="str">
        <f>IF(Table2[[#This Row],[Avg_score]]&gt;=79,"Distinction",IF(Table2[[#This Row],[Avg_score]]&gt;=60,"Pass","Fail"))</f>
        <v>Fail</v>
      </c>
      <c r="T1102" t="s">
        <v>39</v>
      </c>
      <c r="U1102">
        <f>IF(Table2[[#This Row],[Completed]]="Yes",1,0)</f>
        <v>1</v>
      </c>
      <c r="V1102" t="s">
        <v>39</v>
      </c>
      <c r="W1102" t="s">
        <v>40</v>
      </c>
      <c r="X1102" s="4">
        <v>45838</v>
      </c>
    </row>
    <row r="1103" spans="1:24" x14ac:dyDescent="0.3">
      <c r="A1103">
        <v>1102</v>
      </c>
      <c r="B1103" s="8">
        <v>368</v>
      </c>
      <c r="C1103">
        <v>1</v>
      </c>
      <c r="D1103" t="s">
        <v>21</v>
      </c>
      <c r="E1103" t="s">
        <v>22</v>
      </c>
      <c r="F1103">
        <v>23</v>
      </c>
      <c r="G1103" t="str">
        <f>IF(Table2[[#This Row],[Age]]&gt;=30,"Experienced",IF(Table2[[#This Row],[Age]]&gt;=25,"Mid Level", "Entry Level"))</f>
        <v>Entry Level</v>
      </c>
      <c r="H1103" t="s">
        <v>27</v>
      </c>
      <c r="I1103" t="s">
        <v>44</v>
      </c>
      <c r="J1103" s="4">
        <v>45781</v>
      </c>
      <c r="K1103" s="4" t="str">
        <f>TEXT(Table2[[#This Row],[Enrollment_date]],"Mmm")</f>
        <v>May</v>
      </c>
      <c r="L1103" s="4" t="str">
        <f>TEXT(Table2[[#This Row],[Enrollment_date]],"Ddd")</f>
        <v>Sun</v>
      </c>
      <c r="M1103" s="4" t="s">
        <v>34</v>
      </c>
      <c r="N1103" t="s">
        <v>35</v>
      </c>
      <c r="O1103" t="s">
        <v>38</v>
      </c>
      <c r="P1103" s="8">
        <v>4</v>
      </c>
      <c r="Q1103" s="6">
        <v>0.875</v>
      </c>
      <c r="R1103" s="6">
        <v>62</v>
      </c>
      <c r="S1103" s="6" t="str">
        <f>IF(Table2[[#This Row],[Avg_score]]&gt;=79,"Distinction",IF(Table2[[#This Row],[Avg_score]]&gt;=60,"Pass","Fail"))</f>
        <v>Pass</v>
      </c>
      <c r="T1103" t="s">
        <v>39</v>
      </c>
      <c r="U1103">
        <f>IF(Table2[[#This Row],[Completed]]="Yes",1,0)</f>
        <v>1</v>
      </c>
      <c r="V1103" t="s">
        <v>40</v>
      </c>
      <c r="W1103" t="s">
        <v>40</v>
      </c>
      <c r="X1103" s="4">
        <v>45838</v>
      </c>
    </row>
    <row r="1104" spans="1:24" x14ac:dyDescent="0.3">
      <c r="A1104">
        <v>1103</v>
      </c>
      <c r="B1104" s="8">
        <v>368</v>
      </c>
      <c r="C1104">
        <v>2</v>
      </c>
      <c r="D1104" t="s">
        <v>19</v>
      </c>
      <c r="E1104" t="s">
        <v>22</v>
      </c>
      <c r="F1104">
        <v>23</v>
      </c>
      <c r="G1104" t="str">
        <f>IF(Table2[[#This Row],[Age]]&gt;=30,"Experienced",IF(Table2[[#This Row],[Age]]&gt;=25,"Mid Level", "Entry Level"))</f>
        <v>Entry Level</v>
      </c>
      <c r="H1104" t="s">
        <v>27</v>
      </c>
      <c r="I1104" t="s">
        <v>44</v>
      </c>
      <c r="J1104" s="4">
        <v>45781</v>
      </c>
      <c r="K1104" s="4" t="str">
        <f>TEXT(Table2[[#This Row],[Enrollment_date]],"Mmm")</f>
        <v>May</v>
      </c>
      <c r="L1104" s="4" t="str">
        <f>TEXT(Table2[[#This Row],[Enrollment_date]],"Ddd")</f>
        <v>Sun</v>
      </c>
      <c r="M1104" s="4" t="s">
        <v>34</v>
      </c>
      <c r="N1104" t="s">
        <v>36</v>
      </c>
      <c r="O1104" t="s">
        <v>38</v>
      </c>
      <c r="P1104" s="8">
        <v>4</v>
      </c>
      <c r="Q1104" s="6">
        <v>0.79166666666666663</v>
      </c>
      <c r="R1104" s="6">
        <v>63</v>
      </c>
      <c r="S1104" s="6" t="str">
        <f>IF(Table2[[#This Row],[Avg_score]]&gt;=79,"Distinction",IF(Table2[[#This Row],[Avg_score]]&gt;=60,"Pass","Fail"))</f>
        <v>Pass</v>
      </c>
      <c r="T1104" t="s">
        <v>39</v>
      </c>
      <c r="U1104">
        <f>IF(Table2[[#This Row],[Completed]]="Yes",1,0)</f>
        <v>1</v>
      </c>
      <c r="V1104" t="s">
        <v>40</v>
      </c>
      <c r="W1104" t="s">
        <v>40</v>
      </c>
      <c r="X1104" s="4">
        <v>45838</v>
      </c>
    </row>
    <row r="1105" spans="1:24" x14ac:dyDescent="0.3">
      <c r="A1105">
        <v>1104</v>
      </c>
      <c r="B1105" s="8">
        <v>368</v>
      </c>
      <c r="C1105">
        <v>3</v>
      </c>
      <c r="D1105" t="s">
        <v>19</v>
      </c>
      <c r="E1105" t="s">
        <v>22</v>
      </c>
      <c r="F1105">
        <v>23</v>
      </c>
      <c r="G1105" t="str">
        <f>IF(Table2[[#This Row],[Age]]&gt;=30,"Experienced",IF(Table2[[#This Row],[Age]]&gt;=25,"Mid Level", "Entry Level"))</f>
        <v>Entry Level</v>
      </c>
      <c r="H1105" t="s">
        <v>27</v>
      </c>
      <c r="I1105" t="s">
        <v>44</v>
      </c>
      <c r="J1105" s="4">
        <v>45781</v>
      </c>
      <c r="K1105" s="4" t="str">
        <f>TEXT(Table2[[#This Row],[Enrollment_date]],"Mmm")</f>
        <v>May</v>
      </c>
      <c r="L1105" s="4" t="str">
        <f>TEXT(Table2[[#This Row],[Enrollment_date]],"Ddd")</f>
        <v>Sun</v>
      </c>
      <c r="M1105" s="4" t="s">
        <v>34</v>
      </c>
      <c r="N1105" t="s">
        <v>37</v>
      </c>
      <c r="O1105" t="s">
        <v>38</v>
      </c>
      <c r="P1105" s="8">
        <v>4</v>
      </c>
      <c r="Q1105" s="6">
        <v>0.89583333333333337</v>
      </c>
      <c r="R1105" s="6">
        <v>49</v>
      </c>
      <c r="S1105" s="6" t="str">
        <f>IF(Table2[[#This Row],[Avg_score]]&gt;=79,"Distinction",IF(Table2[[#This Row],[Avg_score]]&gt;=60,"Pass","Fail"))</f>
        <v>Fail</v>
      </c>
      <c r="T1105" t="s">
        <v>39</v>
      </c>
      <c r="U1105">
        <f>IF(Table2[[#This Row],[Completed]]="Yes",1,0)</f>
        <v>1</v>
      </c>
      <c r="V1105" t="s">
        <v>40</v>
      </c>
      <c r="W1105" t="s">
        <v>40</v>
      </c>
      <c r="X1105" s="4">
        <v>45838</v>
      </c>
    </row>
    <row r="1106" spans="1:24" x14ac:dyDescent="0.3">
      <c r="A1106">
        <v>1105</v>
      </c>
      <c r="B1106" s="8">
        <v>369</v>
      </c>
      <c r="C1106">
        <v>1</v>
      </c>
      <c r="D1106" t="s">
        <v>19</v>
      </c>
      <c r="E1106" t="s">
        <v>23</v>
      </c>
      <c r="F1106">
        <v>24</v>
      </c>
      <c r="G1106" t="str">
        <f>IF(Table2[[#This Row],[Age]]&gt;=30,"Experienced",IF(Table2[[#This Row],[Age]]&gt;=25,"Mid Level", "Entry Level"))</f>
        <v>Entry Level</v>
      </c>
      <c r="H1106" t="s">
        <v>29</v>
      </c>
      <c r="I1106" t="s">
        <v>32</v>
      </c>
      <c r="J1106" s="4">
        <v>45738</v>
      </c>
      <c r="K1106" s="4" t="str">
        <f>TEXT(Table2[[#This Row],[Enrollment_date]],"Mmm")</f>
        <v>Mar</v>
      </c>
      <c r="L1106" s="4" t="str">
        <f>TEXT(Table2[[#This Row],[Enrollment_date]],"Ddd")</f>
        <v>Sat</v>
      </c>
      <c r="M1106" s="4" t="s">
        <v>34</v>
      </c>
      <c r="N1106" t="s">
        <v>35</v>
      </c>
      <c r="O1106" t="s">
        <v>38</v>
      </c>
      <c r="P1106" s="8">
        <v>4</v>
      </c>
      <c r="Q1106" s="6">
        <v>0.79166666666666663</v>
      </c>
      <c r="R1106" s="6">
        <v>56.5</v>
      </c>
      <c r="S1106" s="6" t="str">
        <f>IF(Table2[[#This Row],[Avg_score]]&gt;=79,"Distinction",IF(Table2[[#This Row],[Avg_score]]&gt;=60,"Pass","Fail"))</f>
        <v>Fail</v>
      </c>
      <c r="T1106" t="s">
        <v>40</v>
      </c>
      <c r="U1106">
        <f>IF(Table2[[#This Row],[Completed]]="Yes",1,0)</f>
        <v>0</v>
      </c>
      <c r="V1106" t="s">
        <v>40</v>
      </c>
      <c r="W1106" t="s">
        <v>40</v>
      </c>
      <c r="X1106" s="4">
        <v>45838</v>
      </c>
    </row>
    <row r="1107" spans="1:24" x14ac:dyDescent="0.3">
      <c r="A1107">
        <v>1106</v>
      </c>
      <c r="B1107" s="8">
        <v>369</v>
      </c>
      <c r="C1107">
        <v>2</v>
      </c>
      <c r="D1107" t="s">
        <v>20</v>
      </c>
      <c r="E1107" t="s">
        <v>23</v>
      </c>
      <c r="F1107">
        <v>24</v>
      </c>
      <c r="G1107" t="str">
        <f>IF(Table2[[#This Row],[Age]]&gt;=30,"Experienced",IF(Table2[[#This Row],[Age]]&gt;=25,"Mid Level", "Entry Level"))</f>
        <v>Entry Level</v>
      </c>
      <c r="H1107" t="s">
        <v>29</v>
      </c>
      <c r="I1107" t="s">
        <v>32</v>
      </c>
      <c r="J1107" s="4">
        <v>45738</v>
      </c>
      <c r="K1107" s="4" t="str">
        <f>TEXT(Table2[[#This Row],[Enrollment_date]],"Mmm")</f>
        <v>Mar</v>
      </c>
      <c r="L1107" s="4" t="str">
        <f>TEXT(Table2[[#This Row],[Enrollment_date]],"Ddd")</f>
        <v>Sat</v>
      </c>
      <c r="M1107" s="4" t="s">
        <v>34</v>
      </c>
      <c r="N1107" t="s">
        <v>36</v>
      </c>
      <c r="O1107" t="s">
        <v>38</v>
      </c>
      <c r="P1107" s="8">
        <v>4</v>
      </c>
      <c r="Q1107" s="6">
        <v>0.875</v>
      </c>
      <c r="R1107" s="6">
        <v>66</v>
      </c>
      <c r="S1107" s="6" t="str">
        <f>IF(Table2[[#This Row],[Avg_score]]&gt;=79,"Distinction",IF(Table2[[#This Row],[Avg_score]]&gt;=60,"Pass","Fail"))</f>
        <v>Pass</v>
      </c>
      <c r="T1107" t="s">
        <v>40</v>
      </c>
      <c r="U1107">
        <f>IF(Table2[[#This Row],[Completed]]="Yes",1,0)</f>
        <v>0</v>
      </c>
      <c r="V1107" t="s">
        <v>40</v>
      </c>
      <c r="W1107" t="s">
        <v>40</v>
      </c>
      <c r="X1107" s="4">
        <v>45838</v>
      </c>
    </row>
    <row r="1108" spans="1:24" x14ac:dyDescent="0.3">
      <c r="A1108">
        <v>1107</v>
      </c>
      <c r="B1108" s="8">
        <v>369</v>
      </c>
      <c r="C1108">
        <v>3</v>
      </c>
      <c r="D1108" t="s">
        <v>19</v>
      </c>
      <c r="E1108" t="s">
        <v>23</v>
      </c>
      <c r="F1108">
        <v>24</v>
      </c>
      <c r="G1108" t="str">
        <f>IF(Table2[[#This Row],[Age]]&gt;=30,"Experienced",IF(Table2[[#This Row],[Age]]&gt;=25,"Mid Level", "Entry Level"))</f>
        <v>Entry Level</v>
      </c>
      <c r="H1108" t="s">
        <v>29</v>
      </c>
      <c r="I1108" t="s">
        <v>32</v>
      </c>
      <c r="J1108" s="4">
        <v>45738</v>
      </c>
      <c r="K1108" s="4" t="str">
        <f>TEXT(Table2[[#This Row],[Enrollment_date]],"Mmm")</f>
        <v>Mar</v>
      </c>
      <c r="L1108" s="4" t="str">
        <f>TEXT(Table2[[#This Row],[Enrollment_date]],"Ddd")</f>
        <v>Sat</v>
      </c>
      <c r="M1108" s="4" t="s">
        <v>34</v>
      </c>
      <c r="N1108" t="s">
        <v>37</v>
      </c>
      <c r="O1108" t="s">
        <v>38</v>
      </c>
      <c r="P1108" s="8">
        <v>4</v>
      </c>
      <c r="Q1108" s="6">
        <v>0.77083333333333337</v>
      </c>
      <c r="R1108" s="6">
        <v>81</v>
      </c>
      <c r="S1108" s="6" t="str">
        <f>IF(Table2[[#This Row],[Avg_score]]&gt;=79,"Distinction",IF(Table2[[#This Row],[Avg_score]]&gt;=60,"Pass","Fail"))</f>
        <v>Distinction</v>
      </c>
      <c r="T1108" t="s">
        <v>40</v>
      </c>
      <c r="U1108">
        <f>IF(Table2[[#This Row],[Completed]]="Yes",1,0)</f>
        <v>0</v>
      </c>
      <c r="V1108" t="s">
        <v>40</v>
      </c>
      <c r="W1108" t="s">
        <v>40</v>
      </c>
      <c r="X1108" s="4">
        <v>45838</v>
      </c>
    </row>
    <row r="1109" spans="1:24" x14ac:dyDescent="0.3">
      <c r="A1109">
        <v>1108</v>
      </c>
      <c r="B1109" s="8">
        <v>370</v>
      </c>
      <c r="C1109">
        <v>1</v>
      </c>
      <c r="D1109" t="s">
        <v>19</v>
      </c>
      <c r="E1109" t="s">
        <v>23</v>
      </c>
      <c r="F1109">
        <v>29</v>
      </c>
      <c r="G1109" t="str">
        <f>IF(Table2[[#This Row],[Age]]&gt;=30,"Experienced",IF(Table2[[#This Row],[Age]]&gt;=25,"Mid Level", "Entry Level"))</f>
        <v>Mid Level</v>
      </c>
      <c r="H1109" t="s">
        <v>27</v>
      </c>
      <c r="I1109" t="s">
        <v>32</v>
      </c>
      <c r="J1109" s="4">
        <v>45752</v>
      </c>
      <c r="K1109" s="4" t="str">
        <f>TEXT(Table2[[#This Row],[Enrollment_date]],"Mmm")</f>
        <v>Apr</v>
      </c>
      <c r="L1109" s="4" t="str">
        <f>TEXT(Table2[[#This Row],[Enrollment_date]],"Ddd")</f>
        <v>Sat</v>
      </c>
      <c r="M1109" s="4" t="s">
        <v>34</v>
      </c>
      <c r="N1109" t="s">
        <v>35</v>
      </c>
      <c r="O1109" t="s">
        <v>38</v>
      </c>
      <c r="P1109" s="8">
        <v>4</v>
      </c>
      <c r="Q1109" s="6">
        <v>0.83333333333333337</v>
      </c>
      <c r="R1109" s="6">
        <v>50.5</v>
      </c>
      <c r="S1109" s="6" t="str">
        <f>IF(Table2[[#This Row],[Avg_score]]&gt;=79,"Distinction",IF(Table2[[#This Row],[Avg_score]]&gt;=60,"Pass","Fail"))</f>
        <v>Fail</v>
      </c>
      <c r="T1109" t="s">
        <v>40</v>
      </c>
      <c r="U1109">
        <f>IF(Table2[[#This Row],[Completed]]="Yes",1,0)</f>
        <v>0</v>
      </c>
      <c r="V1109" t="s">
        <v>40</v>
      </c>
      <c r="W1109" t="s">
        <v>40</v>
      </c>
      <c r="X1109" s="4">
        <v>45838</v>
      </c>
    </row>
    <row r="1110" spans="1:24" x14ac:dyDescent="0.3">
      <c r="A1110">
        <v>1109</v>
      </c>
      <c r="B1110" s="8">
        <v>370</v>
      </c>
      <c r="C1110">
        <v>2</v>
      </c>
      <c r="D1110" t="s">
        <v>19</v>
      </c>
      <c r="E1110" t="s">
        <v>23</v>
      </c>
      <c r="F1110">
        <v>29</v>
      </c>
      <c r="G1110" t="str">
        <f>IF(Table2[[#This Row],[Age]]&gt;=30,"Experienced",IF(Table2[[#This Row],[Age]]&gt;=25,"Mid Level", "Entry Level"))</f>
        <v>Mid Level</v>
      </c>
      <c r="H1110" t="s">
        <v>27</v>
      </c>
      <c r="I1110" t="s">
        <v>32</v>
      </c>
      <c r="J1110" s="4">
        <v>45752</v>
      </c>
      <c r="K1110" s="4" t="str">
        <f>TEXT(Table2[[#This Row],[Enrollment_date]],"Mmm")</f>
        <v>Apr</v>
      </c>
      <c r="L1110" s="4" t="str">
        <f>TEXT(Table2[[#This Row],[Enrollment_date]],"Ddd")</f>
        <v>Sat</v>
      </c>
      <c r="M1110" s="4" t="s">
        <v>34</v>
      </c>
      <c r="N1110" t="s">
        <v>36</v>
      </c>
      <c r="O1110" t="s">
        <v>38</v>
      </c>
      <c r="P1110" s="8">
        <v>4</v>
      </c>
      <c r="Q1110" s="6">
        <v>0.875</v>
      </c>
      <c r="R1110" s="6">
        <v>70.5</v>
      </c>
      <c r="S1110" s="6" t="str">
        <f>IF(Table2[[#This Row],[Avg_score]]&gt;=79,"Distinction",IF(Table2[[#This Row],[Avg_score]]&gt;=60,"Pass","Fail"))</f>
        <v>Pass</v>
      </c>
      <c r="T1110" t="s">
        <v>40</v>
      </c>
      <c r="U1110">
        <f>IF(Table2[[#This Row],[Completed]]="Yes",1,0)</f>
        <v>0</v>
      </c>
      <c r="V1110" t="s">
        <v>40</v>
      </c>
      <c r="W1110" t="s">
        <v>40</v>
      </c>
      <c r="X1110" s="4">
        <v>45838</v>
      </c>
    </row>
    <row r="1111" spans="1:24" x14ac:dyDescent="0.3">
      <c r="A1111">
        <v>1110</v>
      </c>
      <c r="B1111" s="8">
        <v>370</v>
      </c>
      <c r="C1111">
        <v>3</v>
      </c>
      <c r="D1111" t="s">
        <v>19</v>
      </c>
      <c r="E1111" t="s">
        <v>23</v>
      </c>
      <c r="F1111">
        <v>29</v>
      </c>
      <c r="G1111" t="str">
        <f>IF(Table2[[#This Row],[Age]]&gt;=30,"Experienced",IF(Table2[[#This Row],[Age]]&gt;=25,"Mid Level", "Entry Level"))</f>
        <v>Mid Level</v>
      </c>
      <c r="H1111" t="s">
        <v>27</v>
      </c>
      <c r="I1111" t="s">
        <v>32</v>
      </c>
      <c r="J1111" s="4">
        <v>45752</v>
      </c>
      <c r="K1111" s="4" t="str">
        <f>TEXT(Table2[[#This Row],[Enrollment_date]],"Mmm")</f>
        <v>Apr</v>
      </c>
      <c r="L1111" s="4" t="str">
        <f>TEXT(Table2[[#This Row],[Enrollment_date]],"Ddd")</f>
        <v>Sat</v>
      </c>
      <c r="M1111" s="4" t="s">
        <v>34</v>
      </c>
      <c r="N1111" t="s">
        <v>37</v>
      </c>
      <c r="O1111" t="s">
        <v>38</v>
      </c>
      <c r="P1111" s="8">
        <v>4</v>
      </c>
      <c r="Q1111" s="6">
        <v>0.83333333333333337</v>
      </c>
      <c r="R1111" s="6">
        <v>61</v>
      </c>
      <c r="S1111" s="6" t="str">
        <f>IF(Table2[[#This Row],[Avg_score]]&gt;=79,"Distinction",IF(Table2[[#This Row],[Avg_score]]&gt;=60,"Pass","Fail"))</f>
        <v>Pass</v>
      </c>
      <c r="T1111" t="s">
        <v>40</v>
      </c>
      <c r="U1111">
        <f>IF(Table2[[#This Row],[Completed]]="Yes",1,0)</f>
        <v>0</v>
      </c>
      <c r="V1111" t="s">
        <v>40</v>
      </c>
      <c r="W1111" t="s">
        <v>40</v>
      </c>
      <c r="X1111" s="4">
        <v>45838</v>
      </c>
    </row>
    <row r="1112" spans="1:24" x14ac:dyDescent="0.3">
      <c r="A1112">
        <v>1111</v>
      </c>
      <c r="B1112" s="8">
        <v>371</v>
      </c>
      <c r="C1112">
        <v>1</v>
      </c>
      <c r="D1112" t="s">
        <v>19</v>
      </c>
      <c r="E1112" t="s">
        <v>22</v>
      </c>
      <c r="F1112">
        <v>28</v>
      </c>
      <c r="G1112" t="str">
        <f>IF(Table2[[#This Row],[Age]]&gt;=30,"Experienced",IF(Table2[[#This Row],[Age]]&gt;=25,"Mid Level", "Entry Level"))</f>
        <v>Mid Level</v>
      </c>
      <c r="H1112" t="s">
        <v>28</v>
      </c>
      <c r="I1112" t="s">
        <v>44</v>
      </c>
      <c r="J1112" s="4">
        <v>45689</v>
      </c>
      <c r="K1112" s="4" t="str">
        <f>TEXT(Table2[[#This Row],[Enrollment_date]],"Mmm")</f>
        <v>Feb</v>
      </c>
      <c r="L1112" s="4" t="str">
        <f>TEXT(Table2[[#This Row],[Enrollment_date]],"Ddd")</f>
        <v>Sat</v>
      </c>
      <c r="M1112" s="4" t="s">
        <v>34</v>
      </c>
      <c r="N1112" t="s">
        <v>35</v>
      </c>
      <c r="O1112" t="s">
        <v>38</v>
      </c>
      <c r="P1112" s="8">
        <v>4</v>
      </c>
      <c r="Q1112" s="6">
        <v>0.83333333333333337</v>
      </c>
      <c r="R1112" s="6">
        <v>61</v>
      </c>
      <c r="S1112" s="6" t="str">
        <f>IF(Table2[[#This Row],[Avg_score]]&gt;=79,"Distinction",IF(Table2[[#This Row],[Avg_score]]&gt;=60,"Pass","Fail"))</f>
        <v>Pass</v>
      </c>
      <c r="T1112" t="s">
        <v>39</v>
      </c>
      <c r="U1112">
        <f>IF(Table2[[#This Row],[Completed]]="Yes",1,0)</f>
        <v>1</v>
      </c>
      <c r="V1112" t="s">
        <v>39</v>
      </c>
      <c r="W1112" t="s">
        <v>40</v>
      </c>
      <c r="X1112" s="4">
        <v>45838</v>
      </c>
    </row>
    <row r="1113" spans="1:24" x14ac:dyDescent="0.3">
      <c r="A1113">
        <v>1112</v>
      </c>
      <c r="B1113" s="8">
        <v>371</v>
      </c>
      <c r="C1113">
        <v>2</v>
      </c>
      <c r="D1113" t="s">
        <v>20</v>
      </c>
      <c r="E1113" t="s">
        <v>22</v>
      </c>
      <c r="F1113">
        <v>28</v>
      </c>
      <c r="G1113" t="str">
        <f>IF(Table2[[#This Row],[Age]]&gt;=30,"Experienced",IF(Table2[[#This Row],[Age]]&gt;=25,"Mid Level", "Entry Level"))</f>
        <v>Mid Level</v>
      </c>
      <c r="H1113" t="s">
        <v>28</v>
      </c>
      <c r="I1113" t="s">
        <v>44</v>
      </c>
      <c r="J1113" s="4">
        <v>45689</v>
      </c>
      <c r="K1113" s="4" t="str">
        <f>TEXT(Table2[[#This Row],[Enrollment_date]],"Mmm")</f>
        <v>Feb</v>
      </c>
      <c r="L1113" s="4" t="str">
        <f>TEXT(Table2[[#This Row],[Enrollment_date]],"Ddd")</f>
        <v>Sat</v>
      </c>
      <c r="M1113" s="4" t="s">
        <v>34</v>
      </c>
      <c r="N1113" t="s">
        <v>36</v>
      </c>
      <c r="O1113" t="s">
        <v>38</v>
      </c>
      <c r="P1113" s="8">
        <v>4</v>
      </c>
      <c r="Q1113" s="6">
        <v>0.75</v>
      </c>
      <c r="R1113" s="6">
        <v>88</v>
      </c>
      <c r="S1113" s="6" t="str">
        <f>IF(Table2[[#This Row],[Avg_score]]&gt;=79,"Distinction",IF(Table2[[#This Row],[Avg_score]]&gt;=60,"Pass","Fail"))</f>
        <v>Distinction</v>
      </c>
      <c r="T1113" t="s">
        <v>39</v>
      </c>
      <c r="U1113">
        <f>IF(Table2[[#This Row],[Completed]]="Yes",1,0)</f>
        <v>1</v>
      </c>
      <c r="V1113" t="s">
        <v>39</v>
      </c>
      <c r="W1113" t="s">
        <v>40</v>
      </c>
      <c r="X1113" s="4">
        <v>45838</v>
      </c>
    </row>
    <row r="1114" spans="1:24" x14ac:dyDescent="0.3">
      <c r="A1114">
        <v>1113</v>
      </c>
      <c r="B1114" s="8">
        <v>371</v>
      </c>
      <c r="C1114">
        <v>3</v>
      </c>
      <c r="D1114" t="s">
        <v>21</v>
      </c>
      <c r="E1114" t="s">
        <v>22</v>
      </c>
      <c r="F1114">
        <v>28</v>
      </c>
      <c r="G1114" t="str">
        <f>IF(Table2[[#This Row],[Age]]&gt;=30,"Experienced",IF(Table2[[#This Row],[Age]]&gt;=25,"Mid Level", "Entry Level"))</f>
        <v>Mid Level</v>
      </c>
      <c r="H1114" t="s">
        <v>28</v>
      </c>
      <c r="I1114" t="s">
        <v>44</v>
      </c>
      <c r="J1114" s="4">
        <v>45689</v>
      </c>
      <c r="K1114" s="4" t="str">
        <f>TEXT(Table2[[#This Row],[Enrollment_date]],"Mmm")</f>
        <v>Feb</v>
      </c>
      <c r="L1114" s="4" t="str">
        <f>TEXT(Table2[[#This Row],[Enrollment_date]],"Ddd")</f>
        <v>Sat</v>
      </c>
      <c r="M1114" s="4" t="s">
        <v>34</v>
      </c>
      <c r="N1114" t="s">
        <v>37</v>
      </c>
      <c r="O1114" t="s">
        <v>38</v>
      </c>
      <c r="P1114" s="8">
        <v>4</v>
      </c>
      <c r="Q1114" s="6">
        <v>0.77083333333333337</v>
      </c>
      <c r="R1114" s="6">
        <v>84.5</v>
      </c>
      <c r="S1114" s="6" t="str">
        <f>IF(Table2[[#This Row],[Avg_score]]&gt;=79,"Distinction",IF(Table2[[#This Row],[Avg_score]]&gt;=60,"Pass","Fail"))</f>
        <v>Distinction</v>
      </c>
      <c r="T1114" t="s">
        <v>39</v>
      </c>
      <c r="U1114">
        <f>IF(Table2[[#This Row],[Completed]]="Yes",1,0)</f>
        <v>1</v>
      </c>
      <c r="V1114" t="s">
        <v>39</v>
      </c>
      <c r="W1114" t="s">
        <v>40</v>
      </c>
      <c r="X1114" s="4">
        <v>45838</v>
      </c>
    </row>
    <row r="1115" spans="1:24" x14ac:dyDescent="0.3">
      <c r="A1115">
        <v>1114</v>
      </c>
      <c r="B1115" s="8">
        <v>372</v>
      </c>
      <c r="C1115">
        <v>1</v>
      </c>
      <c r="D1115" t="s">
        <v>19</v>
      </c>
      <c r="E1115" t="s">
        <v>23</v>
      </c>
      <c r="F1115">
        <v>32</v>
      </c>
      <c r="G1115" t="str">
        <f>IF(Table2[[#This Row],[Age]]&gt;=30,"Experienced",IF(Table2[[#This Row],[Age]]&gt;=25,"Mid Level", "Entry Level"))</f>
        <v>Experienced</v>
      </c>
      <c r="H1115" t="s">
        <v>28</v>
      </c>
      <c r="I1115" t="s">
        <v>32</v>
      </c>
      <c r="J1115" s="4">
        <v>45682</v>
      </c>
      <c r="K1115" s="4" t="str">
        <f>TEXT(Table2[[#This Row],[Enrollment_date]],"Mmm")</f>
        <v>Jan</v>
      </c>
      <c r="L1115" s="4" t="str">
        <f>TEXT(Table2[[#This Row],[Enrollment_date]],"Ddd")</f>
        <v>Sat</v>
      </c>
      <c r="M1115" s="4" t="s">
        <v>34</v>
      </c>
      <c r="N1115" t="s">
        <v>35</v>
      </c>
      <c r="O1115" t="s">
        <v>38</v>
      </c>
      <c r="P1115" s="8">
        <v>4</v>
      </c>
      <c r="Q1115" s="6">
        <v>0.83333333333333337</v>
      </c>
      <c r="R1115" s="6">
        <v>68.5</v>
      </c>
      <c r="S1115" s="6" t="str">
        <f>IF(Table2[[#This Row],[Avg_score]]&gt;=79,"Distinction",IF(Table2[[#This Row],[Avg_score]]&gt;=60,"Pass","Fail"))</f>
        <v>Pass</v>
      </c>
      <c r="T1115" t="s">
        <v>40</v>
      </c>
      <c r="U1115">
        <f>IF(Table2[[#This Row],[Completed]]="Yes",1,0)</f>
        <v>0</v>
      </c>
      <c r="V1115" t="s">
        <v>40</v>
      </c>
      <c r="W1115" t="s">
        <v>40</v>
      </c>
      <c r="X1115" s="4">
        <v>45838</v>
      </c>
    </row>
    <row r="1116" spans="1:24" x14ac:dyDescent="0.3">
      <c r="A1116">
        <v>1115</v>
      </c>
      <c r="B1116" s="8">
        <v>372</v>
      </c>
      <c r="C1116">
        <v>2</v>
      </c>
      <c r="D1116" t="s">
        <v>20</v>
      </c>
      <c r="E1116" t="s">
        <v>23</v>
      </c>
      <c r="F1116">
        <v>32</v>
      </c>
      <c r="G1116" t="str">
        <f>IF(Table2[[#This Row],[Age]]&gt;=30,"Experienced",IF(Table2[[#This Row],[Age]]&gt;=25,"Mid Level", "Entry Level"))</f>
        <v>Experienced</v>
      </c>
      <c r="H1116" t="s">
        <v>28</v>
      </c>
      <c r="I1116" t="s">
        <v>32</v>
      </c>
      <c r="J1116" s="4">
        <v>45682</v>
      </c>
      <c r="K1116" s="4" t="str">
        <f>TEXT(Table2[[#This Row],[Enrollment_date]],"Mmm")</f>
        <v>Jan</v>
      </c>
      <c r="L1116" s="4" t="str">
        <f>TEXT(Table2[[#This Row],[Enrollment_date]],"Ddd")</f>
        <v>Sat</v>
      </c>
      <c r="M1116" s="4" t="s">
        <v>34</v>
      </c>
      <c r="N1116" t="s">
        <v>36</v>
      </c>
      <c r="O1116" t="s">
        <v>38</v>
      </c>
      <c r="P1116" s="8">
        <v>4</v>
      </c>
      <c r="Q1116" s="6">
        <v>0.75</v>
      </c>
      <c r="R1116" s="6">
        <v>75</v>
      </c>
      <c r="S1116" s="6" t="str">
        <f>IF(Table2[[#This Row],[Avg_score]]&gt;=79,"Distinction",IF(Table2[[#This Row],[Avg_score]]&gt;=60,"Pass","Fail"))</f>
        <v>Pass</v>
      </c>
      <c r="T1116" t="s">
        <v>40</v>
      </c>
      <c r="U1116">
        <f>IF(Table2[[#This Row],[Completed]]="Yes",1,0)</f>
        <v>0</v>
      </c>
      <c r="V1116" t="s">
        <v>40</v>
      </c>
      <c r="W1116" t="s">
        <v>40</v>
      </c>
      <c r="X1116" s="4">
        <v>45838</v>
      </c>
    </row>
    <row r="1117" spans="1:24" x14ac:dyDescent="0.3">
      <c r="A1117">
        <v>1116</v>
      </c>
      <c r="B1117" s="8">
        <v>372</v>
      </c>
      <c r="C1117">
        <v>3</v>
      </c>
      <c r="D1117" t="s">
        <v>19</v>
      </c>
      <c r="E1117" t="s">
        <v>23</v>
      </c>
      <c r="F1117">
        <v>32</v>
      </c>
      <c r="G1117" t="str">
        <f>IF(Table2[[#This Row],[Age]]&gt;=30,"Experienced",IF(Table2[[#This Row],[Age]]&gt;=25,"Mid Level", "Entry Level"))</f>
        <v>Experienced</v>
      </c>
      <c r="H1117" t="s">
        <v>28</v>
      </c>
      <c r="I1117" t="s">
        <v>32</v>
      </c>
      <c r="J1117" s="4">
        <v>45682</v>
      </c>
      <c r="K1117" s="4" t="str">
        <f>TEXT(Table2[[#This Row],[Enrollment_date]],"Mmm")</f>
        <v>Jan</v>
      </c>
      <c r="L1117" s="4" t="str">
        <f>TEXT(Table2[[#This Row],[Enrollment_date]],"Ddd")</f>
        <v>Sat</v>
      </c>
      <c r="M1117" s="4" t="s">
        <v>34</v>
      </c>
      <c r="N1117" t="s">
        <v>37</v>
      </c>
      <c r="O1117" t="s">
        <v>38</v>
      </c>
      <c r="P1117" s="8">
        <v>4</v>
      </c>
      <c r="Q1117" s="6">
        <v>0.83333333333333337</v>
      </c>
      <c r="R1117" s="6">
        <v>76</v>
      </c>
      <c r="S1117" s="6" t="str">
        <f>IF(Table2[[#This Row],[Avg_score]]&gt;=79,"Distinction",IF(Table2[[#This Row],[Avg_score]]&gt;=60,"Pass","Fail"))</f>
        <v>Pass</v>
      </c>
      <c r="T1117" t="s">
        <v>40</v>
      </c>
      <c r="U1117">
        <f>IF(Table2[[#This Row],[Completed]]="Yes",1,0)</f>
        <v>0</v>
      </c>
      <c r="V1117" t="s">
        <v>40</v>
      </c>
      <c r="W1117" t="s">
        <v>40</v>
      </c>
      <c r="X1117" s="4">
        <v>45838</v>
      </c>
    </row>
    <row r="1118" spans="1:24" x14ac:dyDescent="0.3">
      <c r="A1118">
        <v>1117</v>
      </c>
      <c r="B1118" s="8">
        <v>373</v>
      </c>
      <c r="C1118">
        <v>1</v>
      </c>
      <c r="D1118" t="s">
        <v>21</v>
      </c>
      <c r="E1118" t="s">
        <v>22</v>
      </c>
      <c r="F1118">
        <v>27</v>
      </c>
      <c r="G1118" t="str">
        <f>IF(Table2[[#This Row],[Age]]&gt;=30,"Experienced",IF(Table2[[#This Row],[Age]]&gt;=25,"Mid Level", "Entry Level"))</f>
        <v>Mid Level</v>
      </c>
      <c r="H1118" t="s">
        <v>27</v>
      </c>
      <c r="I1118" t="s">
        <v>44</v>
      </c>
      <c r="J1118" s="4">
        <v>45721</v>
      </c>
      <c r="K1118" s="4" t="str">
        <f>TEXT(Table2[[#This Row],[Enrollment_date]],"Mmm")</f>
        <v>Mar</v>
      </c>
      <c r="L1118" s="4" t="str">
        <f>TEXT(Table2[[#This Row],[Enrollment_date]],"Ddd")</f>
        <v>Wed</v>
      </c>
      <c r="M1118" s="4" t="s">
        <v>34</v>
      </c>
      <c r="N1118" t="s">
        <v>35</v>
      </c>
      <c r="O1118" t="s">
        <v>38</v>
      </c>
      <c r="P1118" s="8">
        <v>4</v>
      </c>
      <c r="Q1118" s="6">
        <v>0.83333333333333337</v>
      </c>
      <c r="R1118" s="6">
        <v>65</v>
      </c>
      <c r="S1118" s="6" t="str">
        <f>IF(Table2[[#This Row],[Avg_score]]&gt;=79,"Distinction",IF(Table2[[#This Row],[Avg_score]]&gt;=60,"Pass","Fail"))</f>
        <v>Pass</v>
      </c>
      <c r="T1118" t="s">
        <v>39</v>
      </c>
      <c r="U1118">
        <f>IF(Table2[[#This Row],[Completed]]="Yes",1,0)</f>
        <v>1</v>
      </c>
      <c r="V1118" t="s">
        <v>39</v>
      </c>
      <c r="W1118" t="s">
        <v>40</v>
      </c>
      <c r="X1118" s="4">
        <v>45838</v>
      </c>
    </row>
    <row r="1119" spans="1:24" x14ac:dyDescent="0.3">
      <c r="A1119">
        <v>1118</v>
      </c>
      <c r="B1119" s="8">
        <v>373</v>
      </c>
      <c r="C1119">
        <v>2</v>
      </c>
      <c r="D1119" t="s">
        <v>20</v>
      </c>
      <c r="E1119" t="s">
        <v>22</v>
      </c>
      <c r="F1119">
        <v>27</v>
      </c>
      <c r="G1119" t="str">
        <f>IF(Table2[[#This Row],[Age]]&gt;=30,"Experienced",IF(Table2[[#This Row],[Age]]&gt;=25,"Mid Level", "Entry Level"))</f>
        <v>Mid Level</v>
      </c>
      <c r="H1119" t="s">
        <v>27</v>
      </c>
      <c r="I1119" t="s">
        <v>44</v>
      </c>
      <c r="J1119" s="4">
        <v>45721</v>
      </c>
      <c r="K1119" s="4" t="str">
        <f>TEXT(Table2[[#This Row],[Enrollment_date]],"Mmm")</f>
        <v>Mar</v>
      </c>
      <c r="L1119" s="4" t="str">
        <f>TEXT(Table2[[#This Row],[Enrollment_date]],"Ddd")</f>
        <v>Wed</v>
      </c>
      <c r="M1119" s="4" t="s">
        <v>34</v>
      </c>
      <c r="N1119" t="s">
        <v>36</v>
      </c>
      <c r="O1119" t="s">
        <v>38</v>
      </c>
      <c r="P1119" s="8">
        <v>4</v>
      </c>
      <c r="Q1119" s="6">
        <v>0.85416666666666663</v>
      </c>
      <c r="R1119" s="6">
        <v>60</v>
      </c>
      <c r="S1119" s="6" t="str">
        <f>IF(Table2[[#This Row],[Avg_score]]&gt;=79,"Distinction",IF(Table2[[#This Row],[Avg_score]]&gt;=60,"Pass","Fail"))</f>
        <v>Pass</v>
      </c>
      <c r="T1119" t="s">
        <v>39</v>
      </c>
      <c r="U1119">
        <f>IF(Table2[[#This Row],[Completed]]="Yes",1,0)</f>
        <v>1</v>
      </c>
      <c r="V1119" t="s">
        <v>39</v>
      </c>
      <c r="W1119" t="s">
        <v>40</v>
      </c>
      <c r="X1119" s="4">
        <v>45838</v>
      </c>
    </row>
    <row r="1120" spans="1:24" x14ac:dyDescent="0.3">
      <c r="A1120">
        <v>1119</v>
      </c>
      <c r="B1120" s="8">
        <v>373</v>
      </c>
      <c r="C1120">
        <v>3</v>
      </c>
      <c r="D1120" t="s">
        <v>20</v>
      </c>
      <c r="E1120" t="s">
        <v>22</v>
      </c>
      <c r="F1120">
        <v>27</v>
      </c>
      <c r="G1120" t="str">
        <f>IF(Table2[[#This Row],[Age]]&gt;=30,"Experienced",IF(Table2[[#This Row],[Age]]&gt;=25,"Mid Level", "Entry Level"))</f>
        <v>Mid Level</v>
      </c>
      <c r="H1120" t="s">
        <v>27</v>
      </c>
      <c r="I1120" t="s">
        <v>44</v>
      </c>
      <c r="J1120" s="4">
        <v>45721</v>
      </c>
      <c r="K1120" s="4" t="str">
        <f>TEXT(Table2[[#This Row],[Enrollment_date]],"Mmm")</f>
        <v>Mar</v>
      </c>
      <c r="L1120" s="4" t="str">
        <f>TEXT(Table2[[#This Row],[Enrollment_date]],"Ddd")</f>
        <v>Wed</v>
      </c>
      <c r="M1120" s="4" t="s">
        <v>34</v>
      </c>
      <c r="N1120" t="s">
        <v>37</v>
      </c>
      <c r="O1120" t="s">
        <v>38</v>
      </c>
      <c r="P1120" s="8">
        <v>4</v>
      </c>
      <c r="Q1120" s="6">
        <v>0.72916666666666663</v>
      </c>
      <c r="R1120" s="6">
        <v>72.5</v>
      </c>
      <c r="S1120" s="6" t="str">
        <f>IF(Table2[[#This Row],[Avg_score]]&gt;=79,"Distinction",IF(Table2[[#This Row],[Avg_score]]&gt;=60,"Pass","Fail"))</f>
        <v>Pass</v>
      </c>
      <c r="T1120" t="s">
        <v>39</v>
      </c>
      <c r="U1120">
        <f>IF(Table2[[#This Row],[Completed]]="Yes",1,0)</f>
        <v>1</v>
      </c>
      <c r="V1120" t="s">
        <v>39</v>
      </c>
      <c r="W1120" t="s">
        <v>40</v>
      </c>
      <c r="X1120" s="4">
        <v>45838</v>
      </c>
    </row>
    <row r="1121" spans="1:24" x14ac:dyDescent="0.3">
      <c r="A1121">
        <v>1120</v>
      </c>
      <c r="B1121" s="8">
        <v>374</v>
      </c>
      <c r="C1121">
        <v>1</v>
      </c>
      <c r="D1121" t="s">
        <v>19</v>
      </c>
      <c r="E1121" t="s">
        <v>22</v>
      </c>
      <c r="F1121">
        <v>28</v>
      </c>
      <c r="G1121" t="str">
        <f>IF(Table2[[#This Row],[Age]]&gt;=30,"Experienced",IF(Table2[[#This Row],[Age]]&gt;=25,"Mid Level", "Entry Level"))</f>
        <v>Mid Level</v>
      </c>
      <c r="H1121" t="s">
        <v>26</v>
      </c>
      <c r="I1121" t="s">
        <v>30</v>
      </c>
      <c r="J1121" s="4">
        <v>45706</v>
      </c>
      <c r="K1121" s="4" t="str">
        <f>TEXT(Table2[[#This Row],[Enrollment_date]],"Mmm")</f>
        <v>Feb</v>
      </c>
      <c r="L1121" s="4" t="str">
        <f>TEXT(Table2[[#This Row],[Enrollment_date]],"Ddd")</f>
        <v>Tue</v>
      </c>
      <c r="M1121" s="4" t="s">
        <v>34</v>
      </c>
      <c r="N1121" t="s">
        <v>35</v>
      </c>
      <c r="O1121" t="s">
        <v>38</v>
      </c>
      <c r="P1121" s="8">
        <v>4</v>
      </c>
      <c r="Q1121" s="6">
        <v>0.77083333333333337</v>
      </c>
      <c r="R1121" s="6">
        <v>78.5</v>
      </c>
      <c r="S1121" s="6" t="str">
        <f>IF(Table2[[#This Row],[Avg_score]]&gt;=79,"Distinction",IF(Table2[[#This Row],[Avg_score]]&gt;=60,"Pass","Fail"))</f>
        <v>Pass</v>
      </c>
      <c r="T1121" t="s">
        <v>39</v>
      </c>
      <c r="U1121">
        <f>IF(Table2[[#This Row],[Completed]]="Yes",1,0)</f>
        <v>1</v>
      </c>
      <c r="V1121" t="s">
        <v>39</v>
      </c>
      <c r="W1121" t="s">
        <v>40</v>
      </c>
      <c r="X1121" s="4">
        <v>45838</v>
      </c>
    </row>
    <row r="1122" spans="1:24" x14ac:dyDescent="0.3">
      <c r="A1122">
        <v>1121</v>
      </c>
      <c r="B1122" s="8">
        <v>374</v>
      </c>
      <c r="C1122">
        <v>2</v>
      </c>
      <c r="D1122" t="s">
        <v>19</v>
      </c>
      <c r="E1122" t="s">
        <v>22</v>
      </c>
      <c r="F1122">
        <v>28</v>
      </c>
      <c r="G1122" t="str">
        <f>IF(Table2[[#This Row],[Age]]&gt;=30,"Experienced",IF(Table2[[#This Row],[Age]]&gt;=25,"Mid Level", "Entry Level"))</f>
        <v>Mid Level</v>
      </c>
      <c r="H1122" t="s">
        <v>26</v>
      </c>
      <c r="I1122" t="s">
        <v>30</v>
      </c>
      <c r="J1122" s="4">
        <v>45706</v>
      </c>
      <c r="K1122" s="4" t="str">
        <f>TEXT(Table2[[#This Row],[Enrollment_date]],"Mmm")</f>
        <v>Feb</v>
      </c>
      <c r="L1122" s="4" t="str">
        <f>TEXT(Table2[[#This Row],[Enrollment_date]],"Ddd")</f>
        <v>Tue</v>
      </c>
      <c r="M1122" s="4" t="s">
        <v>34</v>
      </c>
      <c r="N1122" t="s">
        <v>36</v>
      </c>
      <c r="O1122" t="s">
        <v>38</v>
      </c>
      <c r="P1122" s="8">
        <v>4</v>
      </c>
      <c r="Q1122" s="6">
        <v>0.83333333333333337</v>
      </c>
      <c r="R1122" s="6">
        <v>94</v>
      </c>
      <c r="S1122" s="6" t="str">
        <f>IF(Table2[[#This Row],[Avg_score]]&gt;=79,"Distinction",IF(Table2[[#This Row],[Avg_score]]&gt;=60,"Pass","Fail"))</f>
        <v>Distinction</v>
      </c>
      <c r="T1122" t="s">
        <v>39</v>
      </c>
      <c r="U1122">
        <f>IF(Table2[[#This Row],[Completed]]="Yes",1,0)</f>
        <v>1</v>
      </c>
      <c r="V1122" t="s">
        <v>39</v>
      </c>
      <c r="W1122" t="s">
        <v>40</v>
      </c>
      <c r="X1122" s="4">
        <v>45838</v>
      </c>
    </row>
    <row r="1123" spans="1:24" x14ac:dyDescent="0.3">
      <c r="A1123">
        <v>1122</v>
      </c>
      <c r="B1123" s="8">
        <v>374</v>
      </c>
      <c r="C1123">
        <v>3</v>
      </c>
      <c r="D1123" t="s">
        <v>19</v>
      </c>
      <c r="E1123" t="s">
        <v>22</v>
      </c>
      <c r="F1123">
        <v>28</v>
      </c>
      <c r="G1123" t="str">
        <f>IF(Table2[[#This Row],[Age]]&gt;=30,"Experienced",IF(Table2[[#This Row],[Age]]&gt;=25,"Mid Level", "Entry Level"))</f>
        <v>Mid Level</v>
      </c>
      <c r="H1123" t="s">
        <v>26</v>
      </c>
      <c r="I1123" t="s">
        <v>30</v>
      </c>
      <c r="J1123" s="4">
        <v>45706</v>
      </c>
      <c r="K1123" s="4" t="str">
        <f>TEXT(Table2[[#This Row],[Enrollment_date]],"Mmm")</f>
        <v>Feb</v>
      </c>
      <c r="L1123" s="4" t="str">
        <f>TEXT(Table2[[#This Row],[Enrollment_date]],"Ddd")</f>
        <v>Tue</v>
      </c>
      <c r="M1123" s="4" t="s">
        <v>34</v>
      </c>
      <c r="N1123" t="s">
        <v>37</v>
      </c>
      <c r="O1123" t="s">
        <v>38</v>
      </c>
      <c r="P1123" s="8">
        <v>4</v>
      </c>
      <c r="Q1123" s="6">
        <v>0.77083333333333337</v>
      </c>
      <c r="R1123" s="6">
        <v>90.5</v>
      </c>
      <c r="S1123" s="6" t="str">
        <f>IF(Table2[[#This Row],[Avg_score]]&gt;=79,"Distinction",IF(Table2[[#This Row],[Avg_score]]&gt;=60,"Pass","Fail"))</f>
        <v>Distinction</v>
      </c>
      <c r="T1123" t="s">
        <v>39</v>
      </c>
      <c r="U1123">
        <f>IF(Table2[[#This Row],[Completed]]="Yes",1,0)</f>
        <v>1</v>
      </c>
      <c r="V1123" t="s">
        <v>39</v>
      </c>
      <c r="W1123" t="s">
        <v>40</v>
      </c>
      <c r="X1123" s="4">
        <v>45838</v>
      </c>
    </row>
    <row r="1124" spans="1:24" x14ac:dyDescent="0.3">
      <c r="A1124">
        <v>1123</v>
      </c>
      <c r="B1124" s="8">
        <v>375</v>
      </c>
      <c r="C1124">
        <v>1</v>
      </c>
      <c r="D1124" t="s">
        <v>21</v>
      </c>
      <c r="E1124" t="s">
        <v>22</v>
      </c>
      <c r="F1124">
        <v>33</v>
      </c>
      <c r="G1124" t="str">
        <f>IF(Table2[[#This Row],[Age]]&gt;=30,"Experienced",IF(Table2[[#This Row],[Age]]&gt;=25,"Mid Level", "Entry Level"))</f>
        <v>Experienced</v>
      </c>
      <c r="H1124" t="s">
        <v>26</v>
      </c>
      <c r="I1124" t="s">
        <v>44</v>
      </c>
      <c r="J1124" s="4">
        <v>45785</v>
      </c>
      <c r="K1124" s="4" t="str">
        <f>TEXT(Table2[[#This Row],[Enrollment_date]],"Mmm")</f>
        <v>May</v>
      </c>
      <c r="L1124" s="4" t="str">
        <f>TEXT(Table2[[#This Row],[Enrollment_date]],"Ddd")</f>
        <v>Thu</v>
      </c>
      <c r="M1124" s="4" t="s">
        <v>34</v>
      </c>
      <c r="N1124" t="s">
        <v>35</v>
      </c>
      <c r="O1124" t="s">
        <v>38</v>
      </c>
      <c r="P1124" s="8">
        <v>4</v>
      </c>
      <c r="Q1124" s="6">
        <v>0.79166666666666663</v>
      </c>
      <c r="R1124" s="6">
        <v>85.5</v>
      </c>
      <c r="S1124" s="6" t="str">
        <f>IF(Table2[[#This Row],[Avg_score]]&gt;=79,"Distinction",IF(Table2[[#This Row],[Avg_score]]&gt;=60,"Pass","Fail"))</f>
        <v>Distinction</v>
      </c>
      <c r="T1124" t="s">
        <v>39</v>
      </c>
      <c r="U1124">
        <f>IF(Table2[[#This Row],[Completed]]="Yes",1,0)</f>
        <v>1</v>
      </c>
      <c r="V1124" t="s">
        <v>39</v>
      </c>
      <c r="W1124" t="s">
        <v>40</v>
      </c>
      <c r="X1124" s="4">
        <v>45838</v>
      </c>
    </row>
    <row r="1125" spans="1:24" x14ac:dyDescent="0.3">
      <c r="A1125">
        <v>1124</v>
      </c>
      <c r="B1125" s="8">
        <v>375</v>
      </c>
      <c r="C1125">
        <v>2</v>
      </c>
      <c r="D1125" t="s">
        <v>20</v>
      </c>
      <c r="E1125" t="s">
        <v>22</v>
      </c>
      <c r="F1125">
        <v>33</v>
      </c>
      <c r="G1125" t="str">
        <f>IF(Table2[[#This Row],[Age]]&gt;=30,"Experienced",IF(Table2[[#This Row],[Age]]&gt;=25,"Mid Level", "Entry Level"))</f>
        <v>Experienced</v>
      </c>
      <c r="H1125" t="s">
        <v>26</v>
      </c>
      <c r="I1125" t="s">
        <v>44</v>
      </c>
      <c r="J1125" s="4">
        <v>45785</v>
      </c>
      <c r="K1125" s="4" t="str">
        <f>TEXT(Table2[[#This Row],[Enrollment_date]],"Mmm")</f>
        <v>May</v>
      </c>
      <c r="L1125" s="4" t="str">
        <f>TEXT(Table2[[#This Row],[Enrollment_date]],"Ddd")</f>
        <v>Thu</v>
      </c>
      <c r="M1125" s="4" t="s">
        <v>34</v>
      </c>
      <c r="N1125" t="s">
        <v>36</v>
      </c>
      <c r="O1125" t="s">
        <v>38</v>
      </c>
      <c r="P1125" s="8">
        <v>4</v>
      </c>
      <c r="Q1125" s="6">
        <v>0.89583333333333337</v>
      </c>
      <c r="R1125" s="6">
        <v>61</v>
      </c>
      <c r="S1125" s="6" t="str">
        <f>IF(Table2[[#This Row],[Avg_score]]&gt;=79,"Distinction",IF(Table2[[#This Row],[Avg_score]]&gt;=60,"Pass","Fail"))</f>
        <v>Pass</v>
      </c>
      <c r="T1125" t="s">
        <v>39</v>
      </c>
      <c r="U1125">
        <f>IF(Table2[[#This Row],[Completed]]="Yes",1,0)</f>
        <v>1</v>
      </c>
      <c r="V1125" t="s">
        <v>39</v>
      </c>
      <c r="W1125" t="s">
        <v>40</v>
      </c>
      <c r="X1125" s="4">
        <v>45838</v>
      </c>
    </row>
    <row r="1126" spans="1:24" x14ac:dyDescent="0.3">
      <c r="A1126">
        <v>1125</v>
      </c>
      <c r="B1126" s="8">
        <v>375</v>
      </c>
      <c r="C1126">
        <v>3</v>
      </c>
      <c r="D1126" t="s">
        <v>19</v>
      </c>
      <c r="E1126" t="s">
        <v>22</v>
      </c>
      <c r="F1126">
        <v>33</v>
      </c>
      <c r="G1126" t="str">
        <f>IF(Table2[[#This Row],[Age]]&gt;=30,"Experienced",IF(Table2[[#This Row],[Age]]&gt;=25,"Mid Level", "Entry Level"))</f>
        <v>Experienced</v>
      </c>
      <c r="H1126" t="s">
        <v>26</v>
      </c>
      <c r="I1126" t="s">
        <v>44</v>
      </c>
      <c r="J1126" s="4">
        <v>45785</v>
      </c>
      <c r="K1126" s="4" t="str">
        <f>TEXT(Table2[[#This Row],[Enrollment_date]],"Mmm")</f>
        <v>May</v>
      </c>
      <c r="L1126" s="4" t="str">
        <f>TEXT(Table2[[#This Row],[Enrollment_date]],"Ddd")</f>
        <v>Thu</v>
      </c>
      <c r="M1126" s="4" t="s">
        <v>34</v>
      </c>
      <c r="N1126" t="s">
        <v>37</v>
      </c>
      <c r="O1126" t="s">
        <v>38</v>
      </c>
      <c r="P1126" s="8">
        <v>4</v>
      </c>
      <c r="Q1126" s="6">
        <v>0.89583333333333337</v>
      </c>
      <c r="R1126" s="6">
        <v>69</v>
      </c>
      <c r="S1126" s="6" t="str">
        <f>IF(Table2[[#This Row],[Avg_score]]&gt;=79,"Distinction",IF(Table2[[#This Row],[Avg_score]]&gt;=60,"Pass","Fail"))</f>
        <v>Pass</v>
      </c>
      <c r="T1126" t="s">
        <v>39</v>
      </c>
      <c r="U1126">
        <f>IF(Table2[[#This Row],[Completed]]="Yes",1,0)</f>
        <v>1</v>
      </c>
      <c r="V1126" t="s">
        <v>39</v>
      </c>
      <c r="W1126" t="s">
        <v>40</v>
      </c>
      <c r="X1126" s="4">
        <v>45838</v>
      </c>
    </row>
    <row r="1127" spans="1:24" x14ac:dyDescent="0.3">
      <c r="A1127">
        <v>1126</v>
      </c>
      <c r="B1127" s="8">
        <v>376</v>
      </c>
      <c r="C1127">
        <v>1</v>
      </c>
      <c r="D1127" t="s">
        <v>20</v>
      </c>
      <c r="E1127" t="s">
        <v>23</v>
      </c>
      <c r="F1127">
        <v>33</v>
      </c>
      <c r="G1127" t="str">
        <f>IF(Table2[[#This Row],[Age]]&gt;=30,"Experienced",IF(Table2[[#This Row],[Age]]&gt;=25,"Mid Level", "Entry Level"))</f>
        <v>Experienced</v>
      </c>
      <c r="H1127" t="s">
        <v>25</v>
      </c>
      <c r="I1127" t="s">
        <v>68</v>
      </c>
      <c r="J1127" s="4">
        <v>45758</v>
      </c>
      <c r="K1127" s="4" t="str">
        <f>TEXT(Table2[[#This Row],[Enrollment_date]],"Mmm")</f>
        <v>Apr</v>
      </c>
      <c r="L1127" s="4" t="str">
        <f>TEXT(Table2[[#This Row],[Enrollment_date]],"Ddd")</f>
        <v>Fri</v>
      </c>
      <c r="M1127" s="4" t="s">
        <v>34</v>
      </c>
      <c r="N1127" t="s">
        <v>35</v>
      </c>
      <c r="O1127" t="s">
        <v>38</v>
      </c>
      <c r="P1127" s="8">
        <v>4</v>
      </c>
      <c r="Q1127" s="6">
        <v>0.89583333333333337</v>
      </c>
      <c r="R1127" s="6">
        <v>82.5</v>
      </c>
      <c r="S1127" s="6" t="str">
        <f>IF(Table2[[#This Row],[Avg_score]]&gt;=79,"Distinction",IF(Table2[[#This Row],[Avg_score]]&gt;=60,"Pass","Fail"))</f>
        <v>Distinction</v>
      </c>
      <c r="T1127" t="s">
        <v>40</v>
      </c>
      <c r="U1127">
        <f>IF(Table2[[#This Row],[Completed]]="Yes",1,0)</f>
        <v>0</v>
      </c>
      <c r="V1127" t="s">
        <v>40</v>
      </c>
      <c r="W1127" t="s">
        <v>40</v>
      </c>
      <c r="X1127" s="4">
        <v>45838</v>
      </c>
    </row>
    <row r="1128" spans="1:24" x14ac:dyDescent="0.3">
      <c r="A1128">
        <v>1127</v>
      </c>
      <c r="B1128" s="8">
        <v>376</v>
      </c>
      <c r="C1128">
        <v>2</v>
      </c>
      <c r="D1128" t="s">
        <v>19</v>
      </c>
      <c r="E1128" t="s">
        <v>23</v>
      </c>
      <c r="F1128">
        <v>33</v>
      </c>
      <c r="G1128" t="str">
        <f>IF(Table2[[#This Row],[Age]]&gt;=30,"Experienced",IF(Table2[[#This Row],[Age]]&gt;=25,"Mid Level", "Entry Level"))</f>
        <v>Experienced</v>
      </c>
      <c r="H1128" t="s">
        <v>25</v>
      </c>
      <c r="I1128" t="s">
        <v>68</v>
      </c>
      <c r="J1128" s="4">
        <v>45758</v>
      </c>
      <c r="K1128" s="4" t="str">
        <f>TEXT(Table2[[#This Row],[Enrollment_date]],"Mmm")</f>
        <v>Apr</v>
      </c>
      <c r="L1128" s="4" t="str">
        <f>TEXT(Table2[[#This Row],[Enrollment_date]],"Ddd")</f>
        <v>Fri</v>
      </c>
      <c r="M1128" s="4" t="s">
        <v>34</v>
      </c>
      <c r="N1128" t="s">
        <v>36</v>
      </c>
      <c r="O1128" t="s">
        <v>38</v>
      </c>
      <c r="P1128" s="8">
        <v>4</v>
      </c>
      <c r="Q1128" s="6">
        <v>0.79166666666666663</v>
      </c>
      <c r="R1128" s="6">
        <v>77</v>
      </c>
      <c r="S1128" s="6" t="str">
        <f>IF(Table2[[#This Row],[Avg_score]]&gt;=79,"Distinction",IF(Table2[[#This Row],[Avg_score]]&gt;=60,"Pass","Fail"))</f>
        <v>Pass</v>
      </c>
      <c r="T1128" t="s">
        <v>40</v>
      </c>
      <c r="U1128">
        <f>IF(Table2[[#This Row],[Completed]]="Yes",1,0)</f>
        <v>0</v>
      </c>
      <c r="V1128" t="s">
        <v>40</v>
      </c>
      <c r="W1128" t="s">
        <v>40</v>
      </c>
      <c r="X1128" s="4">
        <v>45838</v>
      </c>
    </row>
    <row r="1129" spans="1:24" x14ac:dyDescent="0.3">
      <c r="A1129">
        <v>1128</v>
      </c>
      <c r="B1129" s="8">
        <v>376</v>
      </c>
      <c r="C1129">
        <v>3</v>
      </c>
      <c r="D1129" t="s">
        <v>21</v>
      </c>
      <c r="E1129" t="s">
        <v>23</v>
      </c>
      <c r="F1129">
        <v>33</v>
      </c>
      <c r="G1129" t="str">
        <f>IF(Table2[[#This Row],[Age]]&gt;=30,"Experienced",IF(Table2[[#This Row],[Age]]&gt;=25,"Mid Level", "Entry Level"))</f>
        <v>Experienced</v>
      </c>
      <c r="H1129" t="s">
        <v>25</v>
      </c>
      <c r="I1129" t="s">
        <v>68</v>
      </c>
      <c r="J1129" s="4">
        <v>45758</v>
      </c>
      <c r="K1129" s="4" t="str">
        <f>TEXT(Table2[[#This Row],[Enrollment_date]],"Mmm")</f>
        <v>Apr</v>
      </c>
      <c r="L1129" s="4" t="str">
        <f>TEXT(Table2[[#This Row],[Enrollment_date]],"Ddd")</f>
        <v>Fri</v>
      </c>
      <c r="M1129" s="4" t="s">
        <v>34</v>
      </c>
      <c r="N1129" t="s">
        <v>37</v>
      </c>
      <c r="O1129" t="s">
        <v>38</v>
      </c>
      <c r="P1129" s="8">
        <v>4</v>
      </c>
      <c r="Q1129" s="6">
        <v>0.875</v>
      </c>
      <c r="R1129" s="6">
        <v>56.5</v>
      </c>
      <c r="S1129" s="6" t="str">
        <f>IF(Table2[[#This Row],[Avg_score]]&gt;=79,"Distinction",IF(Table2[[#This Row],[Avg_score]]&gt;=60,"Pass","Fail"))</f>
        <v>Fail</v>
      </c>
      <c r="T1129" t="s">
        <v>40</v>
      </c>
      <c r="U1129">
        <f>IF(Table2[[#This Row],[Completed]]="Yes",1,0)</f>
        <v>0</v>
      </c>
      <c r="V1129" t="s">
        <v>40</v>
      </c>
      <c r="W1129" t="s">
        <v>40</v>
      </c>
      <c r="X1129" s="4">
        <v>45838</v>
      </c>
    </row>
    <row r="1130" spans="1:24" x14ac:dyDescent="0.3">
      <c r="A1130">
        <v>1129</v>
      </c>
      <c r="B1130" s="8">
        <v>377</v>
      </c>
      <c r="C1130">
        <v>1</v>
      </c>
      <c r="D1130" t="s">
        <v>21</v>
      </c>
      <c r="E1130" t="s">
        <v>23</v>
      </c>
      <c r="F1130">
        <v>25</v>
      </c>
      <c r="G1130" t="str">
        <f>IF(Table2[[#This Row],[Age]]&gt;=30,"Experienced",IF(Table2[[#This Row],[Age]]&gt;=25,"Mid Level", "Entry Level"))</f>
        <v>Mid Level</v>
      </c>
      <c r="H1130" t="s">
        <v>28</v>
      </c>
      <c r="I1130" t="s">
        <v>30</v>
      </c>
      <c r="J1130" s="4">
        <v>45670</v>
      </c>
      <c r="K1130" s="4" t="str">
        <f>TEXT(Table2[[#This Row],[Enrollment_date]],"Mmm")</f>
        <v>Jan</v>
      </c>
      <c r="L1130" s="4" t="str">
        <f>TEXT(Table2[[#This Row],[Enrollment_date]],"Ddd")</f>
        <v>Mon</v>
      </c>
      <c r="M1130" s="4" t="s">
        <v>34</v>
      </c>
      <c r="N1130" t="s">
        <v>35</v>
      </c>
      <c r="O1130" t="s">
        <v>38</v>
      </c>
      <c r="P1130" s="8">
        <v>4</v>
      </c>
      <c r="Q1130" s="6">
        <v>0.77083333333333337</v>
      </c>
      <c r="R1130" s="6">
        <v>87</v>
      </c>
      <c r="S1130" s="6" t="str">
        <f>IF(Table2[[#This Row],[Avg_score]]&gt;=79,"Distinction",IF(Table2[[#This Row],[Avg_score]]&gt;=60,"Pass","Fail"))</f>
        <v>Distinction</v>
      </c>
      <c r="T1130" t="s">
        <v>39</v>
      </c>
      <c r="U1130">
        <f>IF(Table2[[#This Row],[Completed]]="Yes",1,0)</f>
        <v>1</v>
      </c>
      <c r="V1130" t="s">
        <v>39</v>
      </c>
      <c r="W1130" t="s">
        <v>40</v>
      </c>
      <c r="X1130" s="4">
        <v>45838</v>
      </c>
    </row>
    <row r="1131" spans="1:24" x14ac:dyDescent="0.3">
      <c r="A1131">
        <v>1130</v>
      </c>
      <c r="B1131" s="8">
        <v>377</v>
      </c>
      <c r="C1131">
        <v>2</v>
      </c>
      <c r="D1131" t="s">
        <v>19</v>
      </c>
      <c r="E1131" t="s">
        <v>23</v>
      </c>
      <c r="F1131">
        <v>25</v>
      </c>
      <c r="G1131" t="str">
        <f>IF(Table2[[#This Row],[Age]]&gt;=30,"Experienced",IF(Table2[[#This Row],[Age]]&gt;=25,"Mid Level", "Entry Level"))</f>
        <v>Mid Level</v>
      </c>
      <c r="H1131" t="s">
        <v>28</v>
      </c>
      <c r="I1131" t="s">
        <v>30</v>
      </c>
      <c r="J1131" s="4">
        <v>45670</v>
      </c>
      <c r="K1131" s="4" t="str">
        <f>TEXT(Table2[[#This Row],[Enrollment_date]],"Mmm")</f>
        <v>Jan</v>
      </c>
      <c r="L1131" s="4" t="str">
        <f>TEXT(Table2[[#This Row],[Enrollment_date]],"Ddd")</f>
        <v>Mon</v>
      </c>
      <c r="M1131" s="4" t="s">
        <v>34</v>
      </c>
      <c r="N1131" t="s">
        <v>36</v>
      </c>
      <c r="O1131" t="s">
        <v>38</v>
      </c>
      <c r="P1131" s="8">
        <v>4</v>
      </c>
      <c r="Q1131" s="6">
        <v>0.79166666666666663</v>
      </c>
      <c r="R1131" s="6">
        <v>70</v>
      </c>
      <c r="S1131" s="6" t="str">
        <f>IF(Table2[[#This Row],[Avg_score]]&gt;=79,"Distinction",IF(Table2[[#This Row],[Avg_score]]&gt;=60,"Pass","Fail"))</f>
        <v>Pass</v>
      </c>
      <c r="T1131" t="s">
        <v>39</v>
      </c>
      <c r="U1131">
        <f>IF(Table2[[#This Row],[Completed]]="Yes",1,0)</f>
        <v>1</v>
      </c>
      <c r="V1131" t="s">
        <v>39</v>
      </c>
      <c r="W1131" t="s">
        <v>40</v>
      </c>
      <c r="X1131" s="4">
        <v>45838</v>
      </c>
    </row>
    <row r="1132" spans="1:24" x14ac:dyDescent="0.3">
      <c r="A1132">
        <v>1131</v>
      </c>
      <c r="B1132" s="8">
        <v>377</v>
      </c>
      <c r="C1132">
        <v>3</v>
      </c>
      <c r="D1132" t="s">
        <v>21</v>
      </c>
      <c r="E1132" t="s">
        <v>23</v>
      </c>
      <c r="F1132">
        <v>25</v>
      </c>
      <c r="G1132" t="str">
        <f>IF(Table2[[#This Row],[Age]]&gt;=30,"Experienced",IF(Table2[[#This Row],[Age]]&gt;=25,"Mid Level", "Entry Level"))</f>
        <v>Mid Level</v>
      </c>
      <c r="H1132" t="s">
        <v>28</v>
      </c>
      <c r="I1132" t="s">
        <v>30</v>
      </c>
      <c r="J1132" s="4">
        <v>45670</v>
      </c>
      <c r="K1132" s="4" t="str">
        <f>TEXT(Table2[[#This Row],[Enrollment_date]],"Mmm")</f>
        <v>Jan</v>
      </c>
      <c r="L1132" s="4" t="str">
        <f>TEXT(Table2[[#This Row],[Enrollment_date]],"Ddd")</f>
        <v>Mon</v>
      </c>
      <c r="M1132" s="4" t="s">
        <v>34</v>
      </c>
      <c r="N1132" t="s">
        <v>37</v>
      </c>
      <c r="O1132" t="s">
        <v>38</v>
      </c>
      <c r="P1132" s="8">
        <v>4</v>
      </c>
      <c r="Q1132" s="6">
        <v>0.79166666666666663</v>
      </c>
      <c r="R1132" s="6">
        <v>77</v>
      </c>
      <c r="S1132" s="6" t="str">
        <f>IF(Table2[[#This Row],[Avg_score]]&gt;=79,"Distinction",IF(Table2[[#This Row],[Avg_score]]&gt;=60,"Pass","Fail"))</f>
        <v>Pass</v>
      </c>
      <c r="T1132" t="s">
        <v>39</v>
      </c>
      <c r="U1132">
        <f>IF(Table2[[#This Row],[Completed]]="Yes",1,0)</f>
        <v>1</v>
      </c>
      <c r="V1132" t="s">
        <v>39</v>
      </c>
      <c r="W1132" t="s">
        <v>40</v>
      </c>
      <c r="X1132" s="4">
        <v>45838</v>
      </c>
    </row>
    <row r="1133" spans="1:24" x14ac:dyDescent="0.3">
      <c r="A1133">
        <v>1132</v>
      </c>
      <c r="B1133" s="8">
        <v>378</v>
      </c>
      <c r="C1133">
        <v>1</v>
      </c>
      <c r="D1133" t="s">
        <v>21</v>
      </c>
      <c r="E1133" t="s">
        <v>22</v>
      </c>
      <c r="F1133">
        <v>27</v>
      </c>
      <c r="G1133" t="str">
        <f>IF(Table2[[#This Row],[Age]]&gt;=30,"Experienced",IF(Table2[[#This Row],[Age]]&gt;=25,"Mid Level", "Entry Level"))</f>
        <v>Mid Level</v>
      </c>
      <c r="H1133" t="s">
        <v>27</v>
      </c>
      <c r="I1133" t="s">
        <v>44</v>
      </c>
      <c r="J1133" s="4">
        <v>45731</v>
      </c>
      <c r="K1133" s="4" t="str">
        <f>TEXT(Table2[[#This Row],[Enrollment_date]],"Mmm")</f>
        <v>Mar</v>
      </c>
      <c r="L1133" s="4" t="str">
        <f>TEXT(Table2[[#This Row],[Enrollment_date]],"Ddd")</f>
        <v>Sat</v>
      </c>
      <c r="M1133" s="4" t="s">
        <v>34</v>
      </c>
      <c r="N1133" t="s">
        <v>35</v>
      </c>
      <c r="O1133" t="s">
        <v>38</v>
      </c>
      <c r="P1133" s="8">
        <v>4</v>
      </c>
      <c r="Q1133" s="6">
        <v>0.8125</v>
      </c>
      <c r="R1133" s="6">
        <v>66</v>
      </c>
      <c r="S1133" s="6" t="str">
        <f>IF(Table2[[#This Row],[Avg_score]]&gt;=79,"Distinction",IF(Table2[[#This Row],[Avg_score]]&gt;=60,"Pass","Fail"))</f>
        <v>Pass</v>
      </c>
      <c r="T1133" t="s">
        <v>39</v>
      </c>
      <c r="U1133">
        <f>IF(Table2[[#This Row],[Completed]]="Yes",1,0)</f>
        <v>1</v>
      </c>
      <c r="V1133" t="s">
        <v>39</v>
      </c>
      <c r="W1133" t="s">
        <v>40</v>
      </c>
      <c r="X1133" s="4">
        <v>45838</v>
      </c>
    </row>
    <row r="1134" spans="1:24" x14ac:dyDescent="0.3">
      <c r="A1134">
        <v>1133</v>
      </c>
      <c r="B1134" s="8">
        <v>378</v>
      </c>
      <c r="C1134">
        <v>2</v>
      </c>
      <c r="D1134" t="s">
        <v>19</v>
      </c>
      <c r="E1134" t="s">
        <v>22</v>
      </c>
      <c r="F1134">
        <v>27</v>
      </c>
      <c r="G1134" t="str">
        <f>IF(Table2[[#This Row],[Age]]&gt;=30,"Experienced",IF(Table2[[#This Row],[Age]]&gt;=25,"Mid Level", "Entry Level"))</f>
        <v>Mid Level</v>
      </c>
      <c r="H1134" t="s">
        <v>27</v>
      </c>
      <c r="I1134" t="s">
        <v>44</v>
      </c>
      <c r="J1134" s="4">
        <v>45731</v>
      </c>
      <c r="K1134" s="4" t="str">
        <f>TEXT(Table2[[#This Row],[Enrollment_date]],"Mmm")</f>
        <v>Mar</v>
      </c>
      <c r="L1134" s="4" t="str">
        <f>TEXT(Table2[[#This Row],[Enrollment_date]],"Ddd")</f>
        <v>Sat</v>
      </c>
      <c r="M1134" s="4" t="s">
        <v>34</v>
      </c>
      <c r="N1134" t="s">
        <v>36</v>
      </c>
      <c r="O1134" t="s">
        <v>38</v>
      </c>
      <c r="P1134" s="8">
        <v>4</v>
      </c>
      <c r="Q1134" s="6">
        <v>0.79166666666666663</v>
      </c>
      <c r="R1134" s="6">
        <v>79</v>
      </c>
      <c r="S1134" s="6" t="str">
        <f>IF(Table2[[#This Row],[Avg_score]]&gt;=79,"Distinction",IF(Table2[[#This Row],[Avg_score]]&gt;=60,"Pass","Fail"))</f>
        <v>Distinction</v>
      </c>
      <c r="T1134" t="s">
        <v>39</v>
      </c>
      <c r="U1134">
        <f>IF(Table2[[#This Row],[Completed]]="Yes",1,0)</f>
        <v>1</v>
      </c>
      <c r="V1134" t="s">
        <v>39</v>
      </c>
      <c r="W1134" t="s">
        <v>40</v>
      </c>
      <c r="X1134" s="4">
        <v>45838</v>
      </c>
    </row>
    <row r="1135" spans="1:24" x14ac:dyDescent="0.3">
      <c r="A1135">
        <v>1134</v>
      </c>
      <c r="B1135" s="8">
        <v>378</v>
      </c>
      <c r="C1135">
        <v>3</v>
      </c>
      <c r="D1135" t="s">
        <v>19</v>
      </c>
      <c r="E1135" t="s">
        <v>22</v>
      </c>
      <c r="F1135">
        <v>27</v>
      </c>
      <c r="G1135" t="str">
        <f>IF(Table2[[#This Row],[Age]]&gt;=30,"Experienced",IF(Table2[[#This Row],[Age]]&gt;=25,"Mid Level", "Entry Level"))</f>
        <v>Mid Level</v>
      </c>
      <c r="H1135" t="s">
        <v>27</v>
      </c>
      <c r="I1135" t="s">
        <v>44</v>
      </c>
      <c r="J1135" s="4">
        <v>45731</v>
      </c>
      <c r="K1135" s="4" t="str">
        <f>TEXT(Table2[[#This Row],[Enrollment_date]],"Mmm")</f>
        <v>Mar</v>
      </c>
      <c r="L1135" s="4" t="str">
        <f>TEXT(Table2[[#This Row],[Enrollment_date]],"Ddd")</f>
        <v>Sat</v>
      </c>
      <c r="M1135" s="4" t="s">
        <v>34</v>
      </c>
      <c r="N1135" t="s">
        <v>37</v>
      </c>
      <c r="O1135" t="s">
        <v>38</v>
      </c>
      <c r="P1135" s="8">
        <v>4</v>
      </c>
      <c r="Q1135" s="6">
        <v>0.8125</v>
      </c>
      <c r="R1135" s="6">
        <v>79.5</v>
      </c>
      <c r="S1135" s="6" t="str">
        <f>IF(Table2[[#This Row],[Avg_score]]&gt;=79,"Distinction",IF(Table2[[#This Row],[Avg_score]]&gt;=60,"Pass","Fail"))</f>
        <v>Distinction</v>
      </c>
      <c r="T1135" t="s">
        <v>39</v>
      </c>
      <c r="U1135">
        <f>IF(Table2[[#This Row],[Completed]]="Yes",1,0)</f>
        <v>1</v>
      </c>
      <c r="V1135" t="s">
        <v>39</v>
      </c>
      <c r="W1135" t="s">
        <v>40</v>
      </c>
      <c r="X1135" s="4">
        <v>45838</v>
      </c>
    </row>
    <row r="1136" spans="1:24" x14ac:dyDescent="0.3">
      <c r="A1136">
        <v>1135</v>
      </c>
      <c r="B1136" s="8">
        <v>379</v>
      </c>
      <c r="C1136">
        <v>1</v>
      </c>
      <c r="D1136" t="s">
        <v>21</v>
      </c>
      <c r="E1136" t="s">
        <v>22</v>
      </c>
      <c r="F1136">
        <v>21</v>
      </c>
      <c r="G1136" t="str">
        <f>IF(Table2[[#This Row],[Age]]&gt;=30,"Experienced",IF(Table2[[#This Row],[Age]]&gt;=25,"Mid Level", "Entry Level"))</f>
        <v>Entry Level</v>
      </c>
      <c r="H1136" t="s">
        <v>27</v>
      </c>
      <c r="I1136" t="s">
        <v>32</v>
      </c>
      <c r="J1136" s="4">
        <v>45725</v>
      </c>
      <c r="K1136" s="4" t="str">
        <f>TEXT(Table2[[#This Row],[Enrollment_date]],"Mmm")</f>
        <v>Mar</v>
      </c>
      <c r="L1136" s="4" t="str">
        <f>TEXT(Table2[[#This Row],[Enrollment_date]],"Ddd")</f>
        <v>Sun</v>
      </c>
      <c r="M1136" s="4" t="s">
        <v>34</v>
      </c>
      <c r="N1136" t="s">
        <v>35</v>
      </c>
      <c r="O1136" t="s">
        <v>38</v>
      </c>
      <c r="P1136" s="8">
        <v>4</v>
      </c>
      <c r="Q1136" s="6">
        <v>0.8125</v>
      </c>
      <c r="R1136" s="6">
        <v>72.5</v>
      </c>
      <c r="S1136" s="6" t="str">
        <f>IF(Table2[[#This Row],[Avg_score]]&gt;=79,"Distinction",IF(Table2[[#This Row],[Avg_score]]&gt;=60,"Pass","Fail"))</f>
        <v>Pass</v>
      </c>
      <c r="T1136" t="s">
        <v>39</v>
      </c>
      <c r="U1136">
        <f>IF(Table2[[#This Row],[Completed]]="Yes",1,0)</f>
        <v>1</v>
      </c>
      <c r="V1136" t="s">
        <v>40</v>
      </c>
      <c r="W1136" t="s">
        <v>40</v>
      </c>
      <c r="X1136" s="4">
        <v>45838</v>
      </c>
    </row>
    <row r="1137" spans="1:24" x14ac:dyDescent="0.3">
      <c r="A1137">
        <v>1136</v>
      </c>
      <c r="B1137" s="8">
        <v>379</v>
      </c>
      <c r="C1137">
        <v>2</v>
      </c>
      <c r="D1137" t="s">
        <v>21</v>
      </c>
      <c r="E1137" t="s">
        <v>22</v>
      </c>
      <c r="F1137">
        <v>21</v>
      </c>
      <c r="G1137" t="str">
        <f>IF(Table2[[#This Row],[Age]]&gt;=30,"Experienced",IF(Table2[[#This Row],[Age]]&gt;=25,"Mid Level", "Entry Level"))</f>
        <v>Entry Level</v>
      </c>
      <c r="H1137" t="s">
        <v>27</v>
      </c>
      <c r="I1137" t="s">
        <v>32</v>
      </c>
      <c r="J1137" s="4">
        <v>45725</v>
      </c>
      <c r="K1137" s="4" t="str">
        <f>TEXT(Table2[[#This Row],[Enrollment_date]],"Mmm")</f>
        <v>Mar</v>
      </c>
      <c r="L1137" s="4" t="str">
        <f>TEXT(Table2[[#This Row],[Enrollment_date]],"Ddd")</f>
        <v>Sun</v>
      </c>
      <c r="M1137" s="4" t="s">
        <v>34</v>
      </c>
      <c r="N1137" t="s">
        <v>36</v>
      </c>
      <c r="O1137" t="s">
        <v>38</v>
      </c>
      <c r="P1137" s="8">
        <v>4</v>
      </c>
      <c r="Q1137" s="6">
        <v>0.79166666666666663</v>
      </c>
      <c r="R1137" s="6">
        <v>78</v>
      </c>
      <c r="S1137" s="6" t="str">
        <f>IF(Table2[[#This Row],[Avg_score]]&gt;=79,"Distinction",IF(Table2[[#This Row],[Avg_score]]&gt;=60,"Pass","Fail"))</f>
        <v>Pass</v>
      </c>
      <c r="T1137" t="s">
        <v>39</v>
      </c>
      <c r="U1137">
        <f>IF(Table2[[#This Row],[Completed]]="Yes",1,0)</f>
        <v>1</v>
      </c>
      <c r="V1137" t="s">
        <v>40</v>
      </c>
      <c r="W1137" t="s">
        <v>40</v>
      </c>
      <c r="X1137" s="4">
        <v>45838</v>
      </c>
    </row>
    <row r="1138" spans="1:24" x14ac:dyDescent="0.3">
      <c r="A1138">
        <v>1137</v>
      </c>
      <c r="B1138" s="8">
        <v>379</v>
      </c>
      <c r="C1138">
        <v>3</v>
      </c>
      <c r="D1138" t="s">
        <v>20</v>
      </c>
      <c r="E1138" t="s">
        <v>22</v>
      </c>
      <c r="F1138">
        <v>21</v>
      </c>
      <c r="G1138" t="str">
        <f>IF(Table2[[#This Row],[Age]]&gt;=30,"Experienced",IF(Table2[[#This Row],[Age]]&gt;=25,"Mid Level", "Entry Level"))</f>
        <v>Entry Level</v>
      </c>
      <c r="H1138" t="s">
        <v>27</v>
      </c>
      <c r="I1138" t="s">
        <v>32</v>
      </c>
      <c r="J1138" s="4">
        <v>45725</v>
      </c>
      <c r="K1138" s="4" t="str">
        <f>TEXT(Table2[[#This Row],[Enrollment_date]],"Mmm")</f>
        <v>Mar</v>
      </c>
      <c r="L1138" s="4" t="str">
        <f>TEXT(Table2[[#This Row],[Enrollment_date]],"Ddd")</f>
        <v>Sun</v>
      </c>
      <c r="M1138" s="4" t="s">
        <v>34</v>
      </c>
      <c r="N1138" t="s">
        <v>37</v>
      </c>
      <c r="O1138" t="s">
        <v>38</v>
      </c>
      <c r="P1138" s="8">
        <v>4</v>
      </c>
      <c r="Q1138" s="6">
        <v>0.91666666666666663</v>
      </c>
      <c r="R1138" s="6">
        <v>55</v>
      </c>
      <c r="S1138" s="6" t="str">
        <f>IF(Table2[[#This Row],[Avg_score]]&gt;=79,"Distinction",IF(Table2[[#This Row],[Avg_score]]&gt;=60,"Pass","Fail"))</f>
        <v>Fail</v>
      </c>
      <c r="T1138" t="s">
        <v>39</v>
      </c>
      <c r="U1138">
        <f>IF(Table2[[#This Row],[Completed]]="Yes",1,0)</f>
        <v>1</v>
      </c>
      <c r="V1138" t="s">
        <v>40</v>
      </c>
      <c r="W1138" t="s">
        <v>40</v>
      </c>
      <c r="X1138" s="4">
        <v>45838</v>
      </c>
    </row>
    <row r="1139" spans="1:24" x14ac:dyDescent="0.3">
      <c r="A1139">
        <v>1138</v>
      </c>
      <c r="B1139" s="8">
        <v>380</v>
      </c>
      <c r="C1139">
        <v>1</v>
      </c>
      <c r="D1139" t="s">
        <v>19</v>
      </c>
      <c r="E1139" t="s">
        <v>23</v>
      </c>
      <c r="F1139">
        <v>30</v>
      </c>
      <c r="G1139" t="str">
        <f>IF(Table2[[#This Row],[Age]]&gt;=30,"Experienced",IF(Table2[[#This Row],[Age]]&gt;=25,"Mid Level", "Entry Level"))</f>
        <v>Experienced</v>
      </c>
      <c r="H1139" t="s">
        <v>29</v>
      </c>
      <c r="I1139" t="s">
        <v>68</v>
      </c>
      <c r="J1139" s="4">
        <v>45760</v>
      </c>
      <c r="K1139" s="4" t="str">
        <f>TEXT(Table2[[#This Row],[Enrollment_date]],"Mmm")</f>
        <v>Apr</v>
      </c>
      <c r="L1139" s="4" t="str">
        <f>TEXT(Table2[[#This Row],[Enrollment_date]],"Ddd")</f>
        <v>Sun</v>
      </c>
      <c r="M1139" s="4" t="s">
        <v>34</v>
      </c>
      <c r="N1139" t="s">
        <v>35</v>
      </c>
      <c r="O1139" t="s">
        <v>38</v>
      </c>
      <c r="P1139" s="8">
        <v>4</v>
      </c>
      <c r="Q1139" s="6">
        <v>0.85416666666666663</v>
      </c>
      <c r="R1139" s="6">
        <v>66</v>
      </c>
      <c r="S1139" s="6" t="str">
        <f>IF(Table2[[#This Row],[Avg_score]]&gt;=79,"Distinction",IF(Table2[[#This Row],[Avg_score]]&gt;=60,"Pass","Fail"))</f>
        <v>Pass</v>
      </c>
      <c r="T1139" t="s">
        <v>39</v>
      </c>
      <c r="U1139">
        <f>IF(Table2[[#This Row],[Completed]]="Yes",1,0)</f>
        <v>1</v>
      </c>
      <c r="V1139" t="s">
        <v>39</v>
      </c>
      <c r="W1139" t="s">
        <v>40</v>
      </c>
      <c r="X1139" s="4">
        <v>45838</v>
      </c>
    </row>
    <row r="1140" spans="1:24" x14ac:dyDescent="0.3">
      <c r="A1140">
        <v>1139</v>
      </c>
      <c r="B1140" s="8">
        <v>380</v>
      </c>
      <c r="C1140">
        <v>2</v>
      </c>
      <c r="D1140" t="s">
        <v>21</v>
      </c>
      <c r="E1140" t="s">
        <v>23</v>
      </c>
      <c r="F1140">
        <v>30</v>
      </c>
      <c r="G1140" t="str">
        <f>IF(Table2[[#This Row],[Age]]&gt;=30,"Experienced",IF(Table2[[#This Row],[Age]]&gt;=25,"Mid Level", "Entry Level"))</f>
        <v>Experienced</v>
      </c>
      <c r="H1140" t="s">
        <v>29</v>
      </c>
      <c r="I1140" t="s">
        <v>68</v>
      </c>
      <c r="J1140" s="4">
        <v>45760</v>
      </c>
      <c r="K1140" s="4" t="str">
        <f>TEXT(Table2[[#This Row],[Enrollment_date]],"Mmm")</f>
        <v>Apr</v>
      </c>
      <c r="L1140" s="4" t="str">
        <f>TEXT(Table2[[#This Row],[Enrollment_date]],"Ddd")</f>
        <v>Sun</v>
      </c>
      <c r="M1140" s="4" t="s">
        <v>34</v>
      </c>
      <c r="N1140" t="s">
        <v>36</v>
      </c>
      <c r="O1140" t="s">
        <v>38</v>
      </c>
      <c r="P1140" s="8">
        <v>4</v>
      </c>
      <c r="Q1140" s="6">
        <v>0.875</v>
      </c>
      <c r="R1140" s="6">
        <v>74.5</v>
      </c>
      <c r="S1140" s="6" t="str">
        <f>IF(Table2[[#This Row],[Avg_score]]&gt;=79,"Distinction",IF(Table2[[#This Row],[Avg_score]]&gt;=60,"Pass","Fail"))</f>
        <v>Pass</v>
      </c>
      <c r="T1140" t="s">
        <v>39</v>
      </c>
      <c r="U1140">
        <f>IF(Table2[[#This Row],[Completed]]="Yes",1,0)</f>
        <v>1</v>
      </c>
      <c r="V1140" t="s">
        <v>39</v>
      </c>
      <c r="W1140" t="s">
        <v>40</v>
      </c>
      <c r="X1140" s="4">
        <v>45838</v>
      </c>
    </row>
    <row r="1141" spans="1:24" x14ac:dyDescent="0.3">
      <c r="A1141">
        <v>1140</v>
      </c>
      <c r="B1141" s="8">
        <v>380</v>
      </c>
      <c r="C1141">
        <v>3</v>
      </c>
      <c r="D1141" t="s">
        <v>20</v>
      </c>
      <c r="E1141" t="s">
        <v>23</v>
      </c>
      <c r="F1141">
        <v>30</v>
      </c>
      <c r="G1141" t="str">
        <f>IF(Table2[[#This Row],[Age]]&gt;=30,"Experienced",IF(Table2[[#This Row],[Age]]&gt;=25,"Mid Level", "Entry Level"))</f>
        <v>Experienced</v>
      </c>
      <c r="H1141" t="s">
        <v>29</v>
      </c>
      <c r="I1141" t="s">
        <v>68</v>
      </c>
      <c r="J1141" s="4">
        <v>45760</v>
      </c>
      <c r="K1141" s="4" t="str">
        <f>TEXT(Table2[[#This Row],[Enrollment_date]],"Mmm")</f>
        <v>Apr</v>
      </c>
      <c r="L1141" s="4" t="str">
        <f>TEXT(Table2[[#This Row],[Enrollment_date]],"Ddd")</f>
        <v>Sun</v>
      </c>
      <c r="M1141" s="4" t="s">
        <v>34</v>
      </c>
      <c r="N1141" t="s">
        <v>37</v>
      </c>
      <c r="O1141" t="s">
        <v>38</v>
      </c>
      <c r="P1141" s="8">
        <v>4</v>
      </c>
      <c r="Q1141" s="6">
        <v>0.875</v>
      </c>
      <c r="R1141" s="6">
        <v>71</v>
      </c>
      <c r="S1141" s="6" t="str">
        <f>IF(Table2[[#This Row],[Avg_score]]&gt;=79,"Distinction",IF(Table2[[#This Row],[Avg_score]]&gt;=60,"Pass","Fail"))</f>
        <v>Pass</v>
      </c>
      <c r="T1141" t="s">
        <v>39</v>
      </c>
      <c r="U1141">
        <f>IF(Table2[[#This Row],[Completed]]="Yes",1,0)</f>
        <v>1</v>
      </c>
      <c r="V1141" t="s">
        <v>39</v>
      </c>
      <c r="W1141" t="s">
        <v>40</v>
      </c>
      <c r="X1141" s="4">
        <v>45838</v>
      </c>
    </row>
    <row r="1142" spans="1:24" x14ac:dyDescent="0.3">
      <c r="A1142">
        <v>1141</v>
      </c>
      <c r="B1142" s="8">
        <v>381</v>
      </c>
      <c r="C1142">
        <v>1</v>
      </c>
      <c r="D1142" t="s">
        <v>19</v>
      </c>
      <c r="E1142" t="s">
        <v>22</v>
      </c>
      <c r="F1142">
        <v>35</v>
      </c>
      <c r="G1142" t="str">
        <f>IF(Table2[[#This Row],[Age]]&gt;=30,"Experienced",IF(Table2[[#This Row],[Age]]&gt;=25,"Mid Level", "Entry Level"))</f>
        <v>Experienced</v>
      </c>
      <c r="H1142" t="s">
        <v>28</v>
      </c>
      <c r="I1142" t="s">
        <v>30</v>
      </c>
      <c r="J1142" s="4">
        <v>45799</v>
      </c>
      <c r="K1142" s="4" t="str">
        <f>TEXT(Table2[[#This Row],[Enrollment_date]],"Mmm")</f>
        <v>May</v>
      </c>
      <c r="L1142" s="4" t="str">
        <f>TEXT(Table2[[#This Row],[Enrollment_date]],"Ddd")</f>
        <v>Thu</v>
      </c>
      <c r="M1142" s="4" t="s">
        <v>34</v>
      </c>
      <c r="N1142" t="s">
        <v>35</v>
      </c>
      <c r="O1142" t="s">
        <v>38</v>
      </c>
      <c r="P1142" s="8">
        <v>4</v>
      </c>
      <c r="Q1142" s="6">
        <v>0.875</v>
      </c>
      <c r="R1142" s="6">
        <v>62</v>
      </c>
      <c r="S1142" s="6" t="str">
        <f>IF(Table2[[#This Row],[Avg_score]]&gt;=79,"Distinction",IF(Table2[[#This Row],[Avg_score]]&gt;=60,"Pass","Fail"))</f>
        <v>Pass</v>
      </c>
      <c r="T1142" t="s">
        <v>39</v>
      </c>
      <c r="U1142">
        <f>IF(Table2[[#This Row],[Completed]]="Yes",1,0)</f>
        <v>1</v>
      </c>
      <c r="V1142" t="s">
        <v>40</v>
      </c>
      <c r="W1142" t="s">
        <v>40</v>
      </c>
      <c r="X1142" s="4">
        <v>45838</v>
      </c>
    </row>
    <row r="1143" spans="1:24" x14ac:dyDescent="0.3">
      <c r="A1143">
        <v>1142</v>
      </c>
      <c r="B1143" s="8">
        <v>381</v>
      </c>
      <c r="C1143">
        <v>2</v>
      </c>
      <c r="D1143" t="s">
        <v>19</v>
      </c>
      <c r="E1143" t="s">
        <v>22</v>
      </c>
      <c r="F1143">
        <v>35</v>
      </c>
      <c r="G1143" t="str">
        <f>IF(Table2[[#This Row],[Age]]&gt;=30,"Experienced",IF(Table2[[#This Row],[Age]]&gt;=25,"Mid Level", "Entry Level"))</f>
        <v>Experienced</v>
      </c>
      <c r="H1143" t="s">
        <v>28</v>
      </c>
      <c r="I1143" t="s">
        <v>30</v>
      </c>
      <c r="J1143" s="4">
        <v>45799</v>
      </c>
      <c r="K1143" s="4" t="str">
        <f>TEXT(Table2[[#This Row],[Enrollment_date]],"Mmm")</f>
        <v>May</v>
      </c>
      <c r="L1143" s="4" t="str">
        <f>TEXT(Table2[[#This Row],[Enrollment_date]],"Ddd")</f>
        <v>Thu</v>
      </c>
      <c r="M1143" s="4" t="s">
        <v>34</v>
      </c>
      <c r="N1143" t="s">
        <v>36</v>
      </c>
      <c r="O1143" t="s">
        <v>38</v>
      </c>
      <c r="P1143" s="8">
        <v>4</v>
      </c>
      <c r="Q1143" s="6">
        <v>0.83333333333333337</v>
      </c>
      <c r="R1143" s="6">
        <v>72.5</v>
      </c>
      <c r="S1143" s="6" t="str">
        <f>IF(Table2[[#This Row],[Avg_score]]&gt;=79,"Distinction",IF(Table2[[#This Row],[Avg_score]]&gt;=60,"Pass","Fail"))</f>
        <v>Pass</v>
      </c>
      <c r="T1143" t="s">
        <v>39</v>
      </c>
      <c r="U1143">
        <f>IF(Table2[[#This Row],[Completed]]="Yes",1,0)</f>
        <v>1</v>
      </c>
      <c r="V1143" t="s">
        <v>40</v>
      </c>
      <c r="W1143" t="s">
        <v>40</v>
      </c>
      <c r="X1143" s="4">
        <v>45838</v>
      </c>
    </row>
    <row r="1144" spans="1:24" x14ac:dyDescent="0.3">
      <c r="A1144">
        <v>1143</v>
      </c>
      <c r="B1144" s="8">
        <v>381</v>
      </c>
      <c r="C1144">
        <v>3</v>
      </c>
      <c r="D1144" t="s">
        <v>19</v>
      </c>
      <c r="E1144" t="s">
        <v>22</v>
      </c>
      <c r="F1144">
        <v>35</v>
      </c>
      <c r="G1144" t="str">
        <f>IF(Table2[[#This Row],[Age]]&gt;=30,"Experienced",IF(Table2[[#This Row],[Age]]&gt;=25,"Mid Level", "Entry Level"))</f>
        <v>Experienced</v>
      </c>
      <c r="H1144" t="s">
        <v>28</v>
      </c>
      <c r="I1144" t="s">
        <v>30</v>
      </c>
      <c r="J1144" s="4">
        <v>45799</v>
      </c>
      <c r="K1144" s="4" t="str">
        <f>TEXT(Table2[[#This Row],[Enrollment_date]],"Mmm")</f>
        <v>May</v>
      </c>
      <c r="L1144" s="4" t="str">
        <f>TEXT(Table2[[#This Row],[Enrollment_date]],"Ddd")</f>
        <v>Thu</v>
      </c>
      <c r="M1144" s="4" t="s">
        <v>34</v>
      </c>
      <c r="N1144" t="s">
        <v>37</v>
      </c>
      <c r="O1144" t="s">
        <v>38</v>
      </c>
      <c r="P1144" s="8">
        <v>4</v>
      </c>
      <c r="Q1144" s="6">
        <v>0.85416666666666663</v>
      </c>
      <c r="R1144" s="6">
        <v>79</v>
      </c>
      <c r="S1144" s="6" t="str">
        <f>IF(Table2[[#This Row],[Avg_score]]&gt;=79,"Distinction",IF(Table2[[#This Row],[Avg_score]]&gt;=60,"Pass","Fail"))</f>
        <v>Distinction</v>
      </c>
      <c r="T1144" t="s">
        <v>39</v>
      </c>
      <c r="U1144">
        <f>IF(Table2[[#This Row],[Completed]]="Yes",1,0)</f>
        <v>1</v>
      </c>
      <c r="V1144" t="s">
        <v>40</v>
      </c>
      <c r="W1144" t="s">
        <v>40</v>
      </c>
      <c r="X1144" s="4">
        <v>45838</v>
      </c>
    </row>
    <row r="1145" spans="1:24" x14ac:dyDescent="0.3">
      <c r="A1145">
        <v>1144</v>
      </c>
      <c r="B1145" s="8">
        <v>382</v>
      </c>
      <c r="C1145">
        <v>1</v>
      </c>
      <c r="D1145" t="s">
        <v>20</v>
      </c>
      <c r="E1145" t="s">
        <v>23</v>
      </c>
      <c r="F1145">
        <v>20</v>
      </c>
      <c r="G1145" t="str">
        <f>IF(Table2[[#This Row],[Age]]&gt;=30,"Experienced",IF(Table2[[#This Row],[Age]]&gt;=25,"Mid Level", "Entry Level"))</f>
        <v>Entry Level</v>
      </c>
      <c r="H1145" t="s">
        <v>27</v>
      </c>
      <c r="I1145" t="s">
        <v>44</v>
      </c>
      <c r="J1145" s="4">
        <v>45798</v>
      </c>
      <c r="K1145" s="4" t="str">
        <f>TEXT(Table2[[#This Row],[Enrollment_date]],"Mmm")</f>
        <v>May</v>
      </c>
      <c r="L1145" s="4" t="str">
        <f>TEXT(Table2[[#This Row],[Enrollment_date]],"Ddd")</f>
        <v>Wed</v>
      </c>
      <c r="M1145" s="4" t="s">
        <v>34</v>
      </c>
      <c r="N1145" t="s">
        <v>35</v>
      </c>
      <c r="O1145" t="s">
        <v>38</v>
      </c>
      <c r="P1145" s="8">
        <v>4</v>
      </c>
      <c r="Q1145" s="6">
        <v>0.83333333333333337</v>
      </c>
      <c r="R1145" s="6">
        <v>50</v>
      </c>
      <c r="S1145" s="6" t="str">
        <f>IF(Table2[[#This Row],[Avg_score]]&gt;=79,"Distinction",IF(Table2[[#This Row],[Avg_score]]&gt;=60,"Pass","Fail"))</f>
        <v>Fail</v>
      </c>
      <c r="T1145" t="s">
        <v>39</v>
      </c>
      <c r="U1145">
        <f>IF(Table2[[#This Row],[Completed]]="Yes",1,0)</f>
        <v>1</v>
      </c>
      <c r="V1145" t="s">
        <v>39</v>
      </c>
      <c r="W1145" t="s">
        <v>40</v>
      </c>
      <c r="X1145" s="4">
        <v>45838</v>
      </c>
    </row>
    <row r="1146" spans="1:24" x14ac:dyDescent="0.3">
      <c r="A1146">
        <v>1145</v>
      </c>
      <c r="B1146" s="8">
        <v>382</v>
      </c>
      <c r="C1146">
        <v>2</v>
      </c>
      <c r="D1146" t="s">
        <v>20</v>
      </c>
      <c r="E1146" t="s">
        <v>23</v>
      </c>
      <c r="F1146">
        <v>20</v>
      </c>
      <c r="G1146" t="str">
        <f>IF(Table2[[#This Row],[Age]]&gt;=30,"Experienced",IF(Table2[[#This Row],[Age]]&gt;=25,"Mid Level", "Entry Level"))</f>
        <v>Entry Level</v>
      </c>
      <c r="H1146" t="s">
        <v>27</v>
      </c>
      <c r="I1146" t="s">
        <v>44</v>
      </c>
      <c r="J1146" s="4">
        <v>45798</v>
      </c>
      <c r="K1146" s="4" t="str">
        <f>TEXT(Table2[[#This Row],[Enrollment_date]],"Mmm")</f>
        <v>May</v>
      </c>
      <c r="L1146" s="4" t="str">
        <f>TEXT(Table2[[#This Row],[Enrollment_date]],"Ddd")</f>
        <v>Wed</v>
      </c>
      <c r="M1146" s="4" t="s">
        <v>34</v>
      </c>
      <c r="N1146" t="s">
        <v>36</v>
      </c>
      <c r="O1146" t="s">
        <v>38</v>
      </c>
      <c r="P1146" s="8">
        <v>4</v>
      </c>
      <c r="Q1146" s="6">
        <v>0.8125</v>
      </c>
      <c r="R1146" s="6">
        <v>71.5</v>
      </c>
      <c r="S1146" s="6" t="str">
        <f>IF(Table2[[#This Row],[Avg_score]]&gt;=79,"Distinction",IF(Table2[[#This Row],[Avg_score]]&gt;=60,"Pass","Fail"))</f>
        <v>Pass</v>
      </c>
      <c r="T1146" t="s">
        <v>39</v>
      </c>
      <c r="U1146">
        <f>IF(Table2[[#This Row],[Completed]]="Yes",1,0)</f>
        <v>1</v>
      </c>
      <c r="V1146" t="s">
        <v>39</v>
      </c>
      <c r="W1146" t="s">
        <v>40</v>
      </c>
      <c r="X1146" s="4">
        <v>45838</v>
      </c>
    </row>
    <row r="1147" spans="1:24" x14ac:dyDescent="0.3">
      <c r="A1147">
        <v>1146</v>
      </c>
      <c r="B1147" s="8">
        <v>382</v>
      </c>
      <c r="C1147">
        <v>3</v>
      </c>
      <c r="D1147" t="s">
        <v>19</v>
      </c>
      <c r="E1147" t="s">
        <v>23</v>
      </c>
      <c r="F1147">
        <v>20</v>
      </c>
      <c r="G1147" t="str">
        <f>IF(Table2[[#This Row],[Age]]&gt;=30,"Experienced",IF(Table2[[#This Row],[Age]]&gt;=25,"Mid Level", "Entry Level"))</f>
        <v>Entry Level</v>
      </c>
      <c r="H1147" t="s">
        <v>27</v>
      </c>
      <c r="I1147" t="s">
        <v>44</v>
      </c>
      <c r="J1147" s="4">
        <v>45798</v>
      </c>
      <c r="K1147" s="4" t="str">
        <f>TEXT(Table2[[#This Row],[Enrollment_date]],"Mmm")</f>
        <v>May</v>
      </c>
      <c r="L1147" s="4" t="str">
        <f>TEXT(Table2[[#This Row],[Enrollment_date]],"Ddd")</f>
        <v>Wed</v>
      </c>
      <c r="M1147" s="4" t="s">
        <v>34</v>
      </c>
      <c r="N1147" t="s">
        <v>37</v>
      </c>
      <c r="O1147" t="s">
        <v>38</v>
      </c>
      <c r="P1147" s="8">
        <v>4</v>
      </c>
      <c r="Q1147" s="6">
        <v>0.79166666666666663</v>
      </c>
      <c r="R1147" s="6">
        <v>73</v>
      </c>
      <c r="S1147" s="6" t="str">
        <f>IF(Table2[[#This Row],[Avg_score]]&gt;=79,"Distinction",IF(Table2[[#This Row],[Avg_score]]&gt;=60,"Pass","Fail"))</f>
        <v>Pass</v>
      </c>
      <c r="T1147" t="s">
        <v>39</v>
      </c>
      <c r="U1147">
        <f>IF(Table2[[#This Row],[Completed]]="Yes",1,0)</f>
        <v>1</v>
      </c>
      <c r="V1147" t="s">
        <v>39</v>
      </c>
      <c r="W1147" t="s">
        <v>40</v>
      </c>
      <c r="X1147" s="4">
        <v>45838</v>
      </c>
    </row>
    <row r="1148" spans="1:24" x14ac:dyDescent="0.3">
      <c r="A1148">
        <v>1147</v>
      </c>
      <c r="B1148" s="8">
        <v>383</v>
      </c>
      <c r="C1148">
        <v>1</v>
      </c>
      <c r="D1148" t="s">
        <v>19</v>
      </c>
      <c r="E1148" t="s">
        <v>23</v>
      </c>
      <c r="F1148">
        <v>21</v>
      </c>
      <c r="G1148" t="str">
        <f>IF(Table2[[#This Row],[Age]]&gt;=30,"Experienced",IF(Table2[[#This Row],[Age]]&gt;=25,"Mid Level", "Entry Level"))</f>
        <v>Entry Level</v>
      </c>
      <c r="H1148" t="s">
        <v>28</v>
      </c>
      <c r="I1148" t="s">
        <v>68</v>
      </c>
      <c r="J1148" s="4">
        <v>45758</v>
      </c>
      <c r="K1148" s="4" t="str">
        <f>TEXT(Table2[[#This Row],[Enrollment_date]],"Mmm")</f>
        <v>Apr</v>
      </c>
      <c r="L1148" s="4" t="str">
        <f>TEXT(Table2[[#This Row],[Enrollment_date]],"Ddd")</f>
        <v>Fri</v>
      </c>
      <c r="M1148" s="4" t="s">
        <v>34</v>
      </c>
      <c r="N1148" t="s">
        <v>35</v>
      </c>
      <c r="O1148" t="s">
        <v>38</v>
      </c>
      <c r="P1148" s="8">
        <v>4</v>
      </c>
      <c r="Q1148" s="6">
        <v>0.77083333333333337</v>
      </c>
      <c r="R1148" s="6">
        <v>78.5</v>
      </c>
      <c r="S1148" s="6" t="str">
        <f>IF(Table2[[#This Row],[Avg_score]]&gt;=79,"Distinction",IF(Table2[[#This Row],[Avg_score]]&gt;=60,"Pass","Fail"))</f>
        <v>Pass</v>
      </c>
      <c r="T1148" t="s">
        <v>39</v>
      </c>
      <c r="U1148">
        <f>IF(Table2[[#This Row],[Completed]]="Yes",1,0)</f>
        <v>1</v>
      </c>
      <c r="V1148" t="s">
        <v>39</v>
      </c>
      <c r="W1148" t="s">
        <v>39</v>
      </c>
      <c r="X1148" s="4">
        <v>45838</v>
      </c>
    </row>
    <row r="1149" spans="1:24" x14ac:dyDescent="0.3">
      <c r="A1149">
        <v>1148</v>
      </c>
      <c r="B1149" s="8">
        <v>383</v>
      </c>
      <c r="C1149">
        <v>2</v>
      </c>
      <c r="D1149" t="s">
        <v>19</v>
      </c>
      <c r="E1149" t="s">
        <v>23</v>
      </c>
      <c r="F1149">
        <v>21</v>
      </c>
      <c r="G1149" t="str">
        <f>IF(Table2[[#This Row],[Age]]&gt;=30,"Experienced",IF(Table2[[#This Row],[Age]]&gt;=25,"Mid Level", "Entry Level"))</f>
        <v>Entry Level</v>
      </c>
      <c r="H1149" t="s">
        <v>28</v>
      </c>
      <c r="I1149" t="s">
        <v>68</v>
      </c>
      <c r="J1149" s="4">
        <v>45758</v>
      </c>
      <c r="K1149" s="4" t="str">
        <f>TEXT(Table2[[#This Row],[Enrollment_date]],"Mmm")</f>
        <v>Apr</v>
      </c>
      <c r="L1149" s="4" t="str">
        <f>TEXT(Table2[[#This Row],[Enrollment_date]],"Ddd")</f>
        <v>Fri</v>
      </c>
      <c r="M1149" s="4" t="s">
        <v>34</v>
      </c>
      <c r="N1149" t="s">
        <v>36</v>
      </c>
      <c r="O1149" t="s">
        <v>38</v>
      </c>
      <c r="P1149" s="8">
        <v>4</v>
      </c>
      <c r="Q1149" s="6">
        <v>0.875</v>
      </c>
      <c r="R1149" s="6">
        <v>70</v>
      </c>
      <c r="S1149" s="6" t="str">
        <f>IF(Table2[[#This Row],[Avg_score]]&gt;=79,"Distinction",IF(Table2[[#This Row],[Avg_score]]&gt;=60,"Pass","Fail"))</f>
        <v>Pass</v>
      </c>
      <c r="T1149" t="s">
        <v>39</v>
      </c>
      <c r="U1149">
        <f>IF(Table2[[#This Row],[Completed]]="Yes",1,0)</f>
        <v>1</v>
      </c>
      <c r="V1149" t="s">
        <v>39</v>
      </c>
      <c r="W1149" t="s">
        <v>39</v>
      </c>
      <c r="X1149" s="4">
        <v>45838</v>
      </c>
    </row>
    <row r="1150" spans="1:24" x14ac:dyDescent="0.3">
      <c r="A1150">
        <v>1149</v>
      </c>
      <c r="B1150" s="8">
        <v>383</v>
      </c>
      <c r="C1150">
        <v>3</v>
      </c>
      <c r="D1150" t="s">
        <v>19</v>
      </c>
      <c r="E1150" t="s">
        <v>23</v>
      </c>
      <c r="F1150">
        <v>21</v>
      </c>
      <c r="G1150" t="str">
        <f>IF(Table2[[#This Row],[Age]]&gt;=30,"Experienced",IF(Table2[[#This Row],[Age]]&gt;=25,"Mid Level", "Entry Level"))</f>
        <v>Entry Level</v>
      </c>
      <c r="H1150" t="s">
        <v>28</v>
      </c>
      <c r="I1150" t="s">
        <v>68</v>
      </c>
      <c r="J1150" s="4">
        <v>45758</v>
      </c>
      <c r="K1150" s="4" t="str">
        <f>TEXT(Table2[[#This Row],[Enrollment_date]],"Mmm")</f>
        <v>Apr</v>
      </c>
      <c r="L1150" s="4" t="str">
        <f>TEXT(Table2[[#This Row],[Enrollment_date]],"Ddd")</f>
        <v>Fri</v>
      </c>
      <c r="M1150" s="4" t="s">
        <v>34</v>
      </c>
      <c r="N1150" t="s">
        <v>37</v>
      </c>
      <c r="O1150" t="s">
        <v>38</v>
      </c>
      <c r="P1150" s="8">
        <v>4</v>
      </c>
      <c r="Q1150" s="6">
        <v>0.79166666666666663</v>
      </c>
      <c r="R1150" s="6">
        <v>81.5</v>
      </c>
      <c r="S1150" s="6" t="str">
        <f>IF(Table2[[#This Row],[Avg_score]]&gt;=79,"Distinction",IF(Table2[[#This Row],[Avg_score]]&gt;=60,"Pass","Fail"))</f>
        <v>Distinction</v>
      </c>
      <c r="T1150" t="s">
        <v>39</v>
      </c>
      <c r="U1150">
        <f>IF(Table2[[#This Row],[Completed]]="Yes",1,0)</f>
        <v>1</v>
      </c>
      <c r="V1150" t="s">
        <v>39</v>
      </c>
      <c r="W1150" t="s">
        <v>39</v>
      </c>
      <c r="X1150" s="4">
        <v>45838</v>
      </c>
    </row>
    <row r="1151" spans="1:24" x14ac:dyDescent="0.3">
      <c r="A1151">
        <v>1150</v>
      </c>
      <c r="B1151" s="8">
        <v>384</v>
      </c>
      <c r="C1151">
        <v>1</v>
      </c>
      <c r="D1151" t="s">
        <v>19</v>
      </c>
      <c r="E1151" t="s">
        <v>23</v>
      </c>
      <c r="F1151">
        <v>28</v>
      </c>
      <c r="G1151" t="str">
        <f>IF(Table2[[#This Row],[Age]]&gt;=30,"Experienced",IF(Table2[[#This Row],[Age]]&gt;=25,"Mid Level", "Entry Level"))</f>
        <v>Mid Level</v>
      </c>
      <c r="H1151" t="s">
        <v>26</v>
      </c>
      <c r="I1151" t="s">
        <v>30</v>
      </c>
      <c r="J1151" s="4">
        <v>45694</v>
      </c>
      <c r="K1151" s="4" t="str">
        <f>TEXT(Table2[[#This Row],[Enrollment_date]],"Mmm")</f>
        <v>Feb</v>
      </c>
      <c r="L1151" s="4" t="str">
        <f>TEXT(Table2[[#This Row],[Enrollment_date]],"Ddd")</f>
        <v>Thu</v>
      </c>
      <c r="M1151" s="4" t="s">
        <v>34</v>
      </c>
      <c r="N1151" t="s">
        <v>35</v>
      </c>
      <c r="O1151" t="s">
        <v>38</v>
      </c>
      <c r="P1151" s="8">
        <v>4</v>
      </c>
      <c r="Q1151" s="6">
        <v>0.75</v>
      </c>
      <c r="R1151" s="6">
        <v>78.5</v>
      </c>
      <c r="S1151" s="6" t="str">
        <f>IF(Table2[[#This Row],[Avg_score]]&gt;=79,"Distinction",IF(Table2[[#This Row],[Avg_score]]&gt;=60,"Pass","Fail"))</f>
        <v>Pass</v>
      </c>
      <c r="T1151" t="s">
        <v>40</v>
      </c>
      <c r="U1151">
        <f>IF(Table2[[#This Row],[Completed]]="Yes",1,0)</f>
        <v>0</v>
      </c>
      <c r="V1151" t="s">
        <v>40</v>
      </c>
      <c r="W1151" t="s">
        <v>40</v>
      </c>
      <c r="X1151" s="4">
        <v>45838</v>
      </c>
    </row>
    <row r="1152" spans="1:24" x14ac:dyDescent="0.3">
      <c r="A1152">
        <v>1151</v>
      </c>
      <c r="B1152" s="8">
        <v>384</v>
      </c>
      <c r="C1152">
        <v>2</v>
      </c>
      <c r="D1152" t="s">
        <v>19</v>
      </c>
      <c r="E1152" t="s">
        <v>23</v>
      </c>
      <c r="F1152">
        <v>28</v>
      </c>
      <c r="G1152" t="str">
        <f>IF(Table2[[#This Row],[Age]]&gt;=30,"Experienced",IF(Table2[[#This Row],[Age]]&gt;=25,"Mid Level", "Entry Level"))</f>
        <v>Mid Level</v>
      </c>
      <c r="H1152" t="s">
        <v>26</v>
      </c>
      <c r="I1152" t="s">
        <v>30</v>
      </c>
      <c r="J1152" s="4">
        <v>45694</v>
      </c>
      <c r="K1152" s="4" t="str">
        <f>TEXT(Table2[[#This Row],[Enrollment_date]],"Mmm")</f>
        <v>Feb</v>
      </c>
      <c r="L1152" s="4" t="str">
        <f>TEXT(Table2[[#This Row],[Enrollment_date]],"Ddd")</f>
        <v>Thu</v>
      </c>
      <c r="M1152" s="4" t="s">
        <v>34</v>
      </c>
      <c r="N1152" t="s">
        <v>36</v>
      </c>
      <c r="O1152" t="s">
        <v>38</v>
      </c>
      <c r="P1152" s="8">
        <v>4</v>
      </c>
      <c r="Q1152" s="6">
        <v>0.89583333333333337</v>
      </c>
      <c r="R1152" s="6">
        <v>55</v>
      </c>
      <c r="S1152" s="6" t="str">
        <f>IF(Table2[[#This Row],[Avg_score]]&gt;=79,"Distinction",IF(Table2[[#This Row],[Avg_score]]&gt;=60,"Pass","Fail"))</f>
        <v>Fail</v>
      </c>
      <c r="T1152" t="s">
        <v>40</v>
      </c>
      <c r="U1152">
        <f>IF(Table2[[#This Row],[Completed]]="Yes",1,0)</f>
        <v>0</v>
      </c>
      <c r="V1152" t="s">
        <v>40</v>
      </c>
      <c r="W1152" t="s">
        <v>40</v>
      </c>
      <c r="X1152" s="4">
        <v>45838</v>
      </c>
    </row>
    <row r="1153" spans="1:24" x14ac:dyDescent="0.3">
      <c r="A1153">
        <v>1152</v>
      </c>
      <c r="B1153" s="8">
        <v>384</v>
      </c>
      <c r="C1153">
        <v>3</v>
      </c>
      <c r="D1153" t="s">
        <v>19</v>
      </c>
      <c r="E1153" t="s">
        <v>23</v>
      </c>
      <c r="F1153">
        <v>28</v>
      </c>
      <c r="G1153" t="str">
        <f>IF(Table2[[#This Row],[Age]]&gt;=30,"Experienced",IF(Table2[[#This Row],[Age]]&gt;=25,"Mid Level", "Entry Level"))</f>
        <v>Mid Level</v>
      </c>
      <c r="H1153" t="s">
        <v>26</v>
      </c>
      <c r="I1153" t="s">
        <v>30</v>
      </c>
      <c r="J1153" s="4">
        <v>45694</v>
      </c>
      <c r="K1153" s="4" t="str">
        <f>TEXT(Table2[[#This Row],[Enrollment_date]],"Mmm")</f>
        <v>Feb</v>
      </c>
      <c r="L1153" s="4" t="str">
        <f>TEXT(Table2[[#This Row],[Enrollment_date]],"Ddd")</f>
        <v>Thu</v>
      </c>
      <c r="M1153" s="4" t="s">
        <v>34</v>
      </c>
      <c r="N1153" t="s">
        <v>37</v>
      </c>
      <c r="O1153" t="s">
        <v>38</v>
      </c>
      <c r="P1153" s="8">
        <v>4</v>
      </c>
      <c r="Q1153" s="6">
        <v>0.9375</v>
      </c>
      <c r="R1153" s="6">
        <v>77.5</v>
      </c>
      <c r="S1153" s="6" t="str">
        <f>IF(Table2[[#This Row],[Avg_score]]&gt;=79,"Distinction",IF(Table2[[#This Row],[Avg_score]]&gt;=60,"Pass","Fail"))</f>
        <v>Pass</v>
      </c>
      <c r="T1153" t="s">
        <v>40</v>
      </c>
      <c r="U1153">
        <f>IF(Table2[[#This Row],[Completed]]="Yes",1,0)</f>
        <v>0</v>
      </c>
      <c r="V1153" t="s">
        <v>40</v>
      </c>
      <c r="W1153" t="s">
        <v>40</v>
      </c>
      <c r="X1153" s="4">
        <v>45838</v>
      </c>
    </row>
    <row r="1154" spans="1:24" x14ac:dyDescent="0.3">
      <c r="A1154">
        <v>1153</v>
      </c>
      <c r="B1154" s="8">
        <v>385</v>
      </c>
      <c r="C1154">
        <v>1</v>
      </c>
      <c r="D1154" t="s">
        <v>19</v>
      </c>
      <c r="E1154" t="s">
        <v>22</v>
      </c>
      <c r="F1154">
        <v>34</v>
      </c>
      <c r="G1154" t="str">
        <f>IF(Table2[[#This Row],[Age]]&gt;=30,"Experienced",IF(Table2[[#This Row],[Age]]&gt;=25,"Mid Level", "Entry Level"))</f>
        <v>Experienced</v>
      </c>
      <c r="H1154" t="s">
        <v>27</v>
      </c>
      <c r="I1154" t="s">
        <v>68</v>
      </c>
      <c r="J1154" s="4">
        <v>45669</v>
      </c>
      <c r="K1154" s="4" t="str">
        <f>TEXT(Table2[[#This Row],[Enrollment_date]],"Mmm")</f>
        <v>Jan</v>
      </c>
      <c r="L1154" s="4" t="str">
        <f>TEXT(Table2[[#This Row],[Enrollment_date]],"Ddd")</f>
        <v>Sun</v>
      </c>
      <c r="M1154" s="4" t="s">
        <v>34</v>
      </c>
      <c r="N1154" t="s">
        <v>35</v>
      </c>
      <c r="O1154" t="s">
        <v>38</v>
      </c>
      <c r="P1154" s="8">
        <v>4</v>
      </c>
      <c r="Q1154" s="6">
        <v>0.79166666666666663</v>
      </c>
      <c r="R1154" s="6">
        <v>75.5</v>
      </c>
      <c r="S1154" s="6" t="str">
        <f>IF(Table2[[#This Row],[Avg_score]]&gt;=79,"Distinction",IF(Table2[[#This Row],[Avg_score]]&gt;=60,"Pass","Fail"))</f>
        <v>Pass</v>
      </c>
      <c r="T1154" t="s">
        <v>40</v>
      </c>
      <c r="U1154">
        <f>IF(Table2[[#This Row],[Completed]]="Yes",1,0)</f>
        <v>0</v>
      </c>
      <c r="V1154" t="s">
        <v>40</v>
      </c>
      <c r="W1154" t="s">
        <v>40</v>
      </c>
      <c r="X1154" s="4">
        <v>45838</v>
      </c>
    </row>
    <row r="1155" spans="1:24" x14ac:dyDescent="0.3">
      <c r="A1155">
        <v>1154</v>
      </c>
      <c r="B1155" s="8">
        <v>385</v>
      </c>
      <c r="C1155">
        <v>2</v>
      </c>
      <c r="D1155" t="s">
        <v>20</v>
      </c>
      <c r="E1155" t="s">
        <v>22</v>
      </c>
      <c r="F1155">
        <v>34</v>
      </c>
      <c r="G1155" t="str">
        <f>IF(Table2[[#This Row],[Age]]&gt;=30,"Experienced",IF(Table2[[#This Row],[Age]]&gt;=25,"Mid Level", "Entry Level"))</f>
        <v>Experienced</v>
      </c>
      <c r="H1155" t="s">
        <v>27</v>
      </c>
      <c r="I1155" t="s">
        <v>68</v>
      </c>
      <c r="J1155" s="4">
        <v>45669</v>
      </c>
      <c r="K1155" s="4" t="str">
        <f>TEXT(Table2[[#This Row],[Enrollment_date]],"Mmm")</f>
        <v>Jan</v>
      </c>
      <c r="L1155" s="4" t="str">
        <f>TEXT(Table2[[#This Row],[Enrollment_date]],"Ddd")</f>
        <v>Sun</v>
      </c>
      <c r="M1155" s="4" t="s">
        <v>34</v>
      </c>
      <c r="N1155" t="s">
        <v>36</v>
      </c>
      <c r="O1155" t="s">
        <v>38</v>
      </c>
      <c r="P1155" s="8">
        <v>4</v>
      </c>
      <c r="Q1155" s="6">
        <v>0.75</v>
      </c>
      <c r="R1155" s="6">
        <v>77.5</v>
      </c>
      <c r="S1155" s="6" t="str">
        <f>IF(Table2[[#This Row],[Avg_score]]&gt;=79,"Distinction",IF(Table2[[#This Row],[Avg_score]]&gt;=60,"Pass","Fail"))</f>
        <v>Pass</v>
      </c>
      <c r="T1155" t="s">
        <v>40</v>
      </c>
      <c r="U1155">
        <f>IF(Table2[[#This Row],[Completed]]="Yes",1,0)</f>
        <v>0</v>
      </c>
      <c r="V1155" t="s">
        <v>40</v>
      </c>
      <c r="W1155" t="s">
        <v>40</v>
      </c>
      <c r="X1155" s="4">
        <v>45838</v>
      </c>
    </row>
    <row r="1156" spans="1:24" x14ac:dyDescent="0.3">
      <c r="A1156">
        <v>1155</v>
      </c>
      <c r="B1156" s="8">
        <v>385</v>
      </c>
      <c r="C1156">
        <v>3</v>
      </c>
      <c r="D1156" t="s">
        <v>19</v>
      </c>
      <c r="E1156" t="s">
        <v>22</v>
      </c>
      <c r="F1156">
        <v>34</v>
      </c>
      <c r="G1156" t="str">
        <f>IF(Table2[[#This Row],[Age]]&gt;=30,"Experienced",IF(Table2[[#This Row],[Age]]&gt;=25,"Mid Level", "Entry Level"))</f>
        <v>Experienced</v>
      </c>
      <c r="H1156" t="s">
        <v>27</v>
      </c>
      <c r="I1156" t="s">
        <v>68</v>
      </c>
      <c r="J1156" s="4">
        <v>45669</v>
      </c>
      <c r="K1156" s="4" t="str">
        <f>TEXT(Table2[[#This Row],[Enrollment_date]],"Mmm")</f>
        <v>Jan</v>
      </c>
      <c r="L1156" s="4" t="str">
        <f>TEXT(Table2[[#This Row],[Enrollment_date]],"Ddd")</f>
        <v>Sun</v>
      </c>
      <c r="M1156" s="4" t="s">
        <v>34</v>
      </c>
      <c r="N1156" t="s">
        <v>37</v>
      </c>
      <c r="O1156" t="s">
        <v>38</v>
      </c>
      <c r="P1156" s="8">
        <v>4</v>
      </c>
      <c r="Q1156" s="6">
        <v>0.91666666666666663</v>
      </c>
      <c r="R1156" s="6">
        <v>61</v>
      </c>
      <c r="S1156" s="6" t="str">
        <f>IF(Table2[[#This Row],[Avg_score]]&gt;=79,"Distinction",IF(Table2[[#This Row],[Avg_score]]&gt;=60,"Pass","Fail"))</f>
        <v>Pass</v>
      </c>
      <c r="T1156" t="s">
        <v>40</v>
      </c>
      <c r="U1156">
        <f>IF(Table2[[#This Row],[Completed]]="Yes",1,0)</f>
        <v>0</v>
      </c>
      <c r="V1156" t="s">
        <v>40</v>
      </c>
      <c r="W1156" t="s">
        <v>40</v>
      </c>
      <c r="X1156" s="4">
        <v>45838</v>
      </c>
    </row>
    <row r="1157" spans="1:24" x14ac:dyDescent="0.3">
      <c r="A1157">
        <v>1156</v>
      </c>
      <c r="B1157" s="8">
        <v>386</v>
      </c>
      <c r="C1157">
        <v>1</v>
      </c>
      <c r="D1157" t="s">
        <v>19</v>
      </c>
      <c r="E1157" t="s">
        <v>22</v>
      </c>
      <c r="F1157">
        <v>22</v>
      </c>
      <c r="G1157" t="str">
        <f>IF(Table2[[#This Row],[Age]]&gt;=30,"Experienced",IF(Table2[[#This Row],[Age]]&gt;=25,"Mid Level", "Entry Level"))</f>
        <v>Entry Level</v>
      </c>
      <c r="H1157" t="s">
        <v>24</v>
      </c>
      <c r="I1157" t="s">
        <v>30</v>
      </c>
      <c r="J1157" s="4">
        <v>45779</v>
      </c>
      <c r="K1157" s="4" t="str">
        <f>TEXT(Table2[[#This Row],[Enrollment_date]],"Mmm")</f>
        <v>May</v>
      </c>
      <c r="L1157" s="4" t="str">
        <f>TEXT(Table2[[#This Row],[Enrollment_date]],"Ddd")</f>
        <v>Fri</v>
      </c>
      <c r="M1157" s="4" t="s">
        <v>34</v>
      </c>
      <c r="N1157" t="s">
        <v>35</v>
      </c>
      <c r="O1157" t="s">
        <v>38</v>
      </c>
      <c r="P1157" s="8">
        <v>4</v>
      </c>
      <c r="Q1157" s="6">
        <v>0.8125</v>
      </c>
      <c r="R1157" s="6">
        <v>80</v>
      </c>
      <c r="S1157" s="6" t="str">
        <f>IF(Table2[[#This Row],[Avg_score]]&gt;=79,"Distinction",IF(Table2[[#This Row],[Avg_score]]&gt;=60,"Pass","Fail"))</f>
        <v>Distinction</v>
      </c>
      <c r="T1157" t="s">
        <v>39</v>
      </c>
      <c r="U1157">
        <f>IF(Table2[[#This Row],[Completed]]="Yes",1,0)</f>
        <v>1</v>
      </c>
      <c r="V1157" t="s">
        <v>39</v>
      </c>
      <c r="W1157" t="s">
        <v>40</v>
      </c>
      <c r="X1157" s="4">
        <v>45838</v>
      </c>
    </row>
    <row r="1158" spans="1:24" x14ac:dyDescent="0.3">
      <c r="A1158">
        <v>1157</v>
      </c>
      <c r="B1158" s="8">
        <v>386</v>
      </c>
      <c r="C1158">
        <v>2</v>
      </c>
      <c r="D1158" t="s">
        <v>21</v>
      </c>
      <c r="E1158" t="s">
        <v>22</v>
      </c>
      <c r="F1158">
        <v>22</v>
      </c>
      <c r="G1158" t="str">
        <f>IF(Table2[[#This Row],[Age]]&gt;=30,"Experienced",IF(Table2[[#This Row],[Age]]&gt;=25,"Mid Level", "Entry Level"))</f>
        <v>Entry Level</v>
      </c>
      <c r="H1158" t="s">
        <v>24</v>
      </c>
      <c r="I1158" t="s">
        <v>30</v>
      </c>
      <c r="J1158" s="4">
        <v>45779</v>
      </c>
      <c r="K1158" s="4" t="str">
        <f>TEXT(Table2[[#This Row],[Enrollment_date]],"Mmm")</f>
        <v>May</v>
      </c>
      <c r="L1158" s="4" t="str">
        <f>TEXT(Table2[[#This Row],[Enrollment_date]],"Ddd")</f>
        <v>Fri</v>
      </c>
      <c r="M1158" s="4" t="s">
        <v>34</v>
      </c>
      <c r="N1158" t="s">
        <v>36</v>
      </c>
      <c r="O1158" t="s">
        <v>38</v>
      </c>
      <c r="P1158" s="8">
        <v>4</v>
      </c>
      <c r="Q1158" s="6">
        <v>0.89583333333333337</v>
      </c>
      <c r="R1158" s="6">
        <v>71.5</v>
      </c>
      <c r="S1158" s="6" t="str">
        <f>IF(Table2[[#This Row],[Avg_score]]&gt;=79,"Distinction",IF(Table2[[#This Row],[Avg_score]]&gt;=60,"Pass","Fail"))</f>
        <v>Pass</v>
      </c>
      <c r="T1158" t="s">
        <v>39</v>
      </c>
      <c r="U1158">
        <f>IF(Table2[[#This Row],[Completed]]="Yes",1,0)</f>
        <v>1</v>
      </c>
      <c r="V1158" t="s">
        <v>39</v>
      </c>
      <c r="W1158" t="s">
        <v>40</v>
      </c>
      <c r="X1158" s="4">
        <v>45838</v>
      </c>
    </row>
    <row r="1159" spans="1:24" x14ac:dyDescent="0.3">
      <c r="A1159">
        <v>1158</v>
      </c>
      <c r="B1159" s="8">
        <v>386</v>
      </c>
      <c r="C1159">
        <v>3</v>
      </c>
      <c r="D1159" t="s">
        <v>20</v>
      </c>
      <c r="E1159" t="s">
        <v>22</v>
      </c>
      <c r="F1159">
        <v>22</v>
      </c>
      <c r="G1159" t="str">
        <f>IF(Table2[[#This Row],[Age]]&gt;=30,"Experienced",IF(Table2[[#This Row],[Age]]&gt;=25,"Mid Level", "Entry Level"))</f>
        <v>Entry Level</v>
      </c>
      <c r="H1159" t="s">
        <v>24</v>
      </c>
      <c r="I1159" t="s">
        <v>30</v>
      </c>
      <c r="J1159" s="4">
        <v>45779</v>
      </c>
      <c r="K1159" s="4" t="str">
        <f>TEXT(Table2[[#This Row],[Enrollment_date]],"Mmm")</f>
        <v>May</v>
      </c>
      <c r="L1159" s="4" t="str">
        <f>TEXT(Table2[[#This Row],[Enrollment_date]],"Ddd")</f>
        <v>Fri</v>
      </c>
      <c r="M1159" s="4" t="s">
        <v>34</v>
      </c>
      <c r="N1159" t="s">
        <v>37</v>
      </c>
      <c r="O1159" t="s">
        <v>38</v>
      </c>
      <c r="P1159" s="8">
        <v>4</v>
      </c>
      <c r="Q1159" s="6">
        <v>0.79166666666666663</v>
      </c>
      <c r="R1159" s="6">
        <v>69.5</v>
      </c>
      <c r="S1159" s="6" t="str">
        <f>IF(Table2[[#This Row],[Avg_score]]&gt;=79,"Distinction",IF(Table2[[#This Row],[Avg_score]]&gt;=60,"Pass","Fail"))</f>
        <v>Pass</v>
      </c>
      <c r="T1159" t="s">
        <v>39</v>
      </c>
      <c r="U1159">
        <f>IF(Table2[[#This Row],[Completed]]="Yes",1,0)</f>
        <v>1</v>
      </c>
      <c r="V1159" t="s">
        <v>39</v>
      </c>
      <c r="W1159" t="s">
        <v>40</v>
      </c>
      <c r="X1159" s="4">
        <v>45838</v>
      </c>
    </row>
    <row r="1160" spans="1:24" x14ac:dyDescent="0.3">
      <c r="A1160">
        <v>1159</v>
      </c>
      <c r="B1160" s="8">
        <v>387</v>
      </c>
      <c r="C1160">
        <v>1</v>
      </c>
      <c r="D1160" t="s">
        <v>21</v>
      </c>
      <c r="E1160" t="s">
        <v>23</v>
      </c>
      <c r="F1160">
        <v>22</v>
      </c>
      <c r="G1160" t="str">
        <f>IF(Table2[[#This Row],[Age]]&gt;=30,"Experienced",IF(Table2[[#This Row],[Age]]&gt;=25,"Mid Level", "Entry Level"))</f>
        <v>Entry Level</v>
      </c>
      <c r="H1160" t="s">
        <v>26</v>
      </c>
      <c r="I1160" t="s">
        <v>32</v>
      </c>
      <c r="J1160" s="4">
        <v>45741</v>
      </c>
      <c r="K1160" s="4" t="str">
        <f>TEXT(Table2[[#This Row],[Enrollment_date]],"Mmm")</f>
        <v>Mar</v>
      </c>
      <c r="L1160" s="4" t="str">
        <f>TEXT(Table2[[#This Row],[Enrollment_date]],"Ddd")</f>
        <v>Tue</v>
      </c>
      <c r="M1160" s="4" t="s">
        <v>34</v>
      </c>
      <c r="N1160" t="s">
        <v>35</v>
      </c>
      <c r="O1160" t="s">
        <v>38</v>
      </c>
      <c r="P1160" s="8">
        <v>4</v>
      </c>
      <c r="Q1160" s="6">
        <v>0.91666666666666663</v>
      </c>
      <c r="R1160" s="6">
        <v>56</v>
      </c>
      <c r="S1160" s="6" t="str">
        <f>IF(Table2[[#This Row],[Avg_score]]&gt;=79,"Distinction",IF(Table2[[#This Row],[Avg_score]]&gt;=60,"Pass","Fail"))</f>
        <v>Fail</v>
      </c>
      <c r="T1160" t="s">
        <v>39</v>
      </c>
      <c r="U1160">
        <f>IF(Table2[[#This Row],[Completed]]="Yes",1,0)</f>
        <v>1</v>
      </c>
      <c r="V1160" t="s">
        <v>39</v>
      </c>
      <c r="W1160" t="s">
        <v>40</v>
      </c>
      <c r="X1160" s="4">
        <v>45838</v>
      </c>
    </row>
    <row r="1161" spans="1:24" x14ac:dyDescent="0.3">
      <c r="A1161">
        <v>1160</v>
      </c>
      <c r="B1161" s="8">
        <v>387</v>
      </c>
      <c r="C1161">
        <v>2</v>
      </c>
      <c r="D1161" t="s">
        <v>19</v>
      </c>
      <c r="E1161" t="s">
        <v>23</v>
      </c>
      <c r="F1161">
        <v>22</v>
      </c>
      <c r="G1161" t="str">
        <f>IF(Table2[[#This Row],[Age]]&gt;=30,"Experienced",IF(Table2[[#This Row],[Age]]&gt;=25,"Mid Level", "Entry Level"))</f>
        <v>Entry Level</v>
      </c>
      <c r="H1161" t="s">
        <v>26</v>
      </c>
      <c r="I1161" t="s">
        <v>32</v>
      </c>
      <c r="J1161" s="4">
        <v>45741</v>
      </c>
      <c r="K1161" s="4" t="str">
        <f>TEXT(Table2[[#This Row],[Enrollment_date]],"Mmm")</f>
        <v>Mar</v>
      </c>
      <c r="L1161" s="4" t="str">
        <f>TEXT(Table2[[#This Row],[Enrollment_date]],"Ddd")</f>
        <v>Tue</v>
      </c>
      <c r="M1161" s="4" t="s">
        <v>34</v>
      </c>
      <c r="N1161" t="s">
        <v>36</v>
      </c>
      <c r="O1161" t="s">
        <v>38</v>
      </c>
      <c r="P1161" s="8">
        <v>4</v>
      </c>
      <c r="Q1161" s="6">
        <v>0.77083333333333337</v>
      </c>
      <c r="R1161" s="6">
        <v>75.5</v>
      </c>
      <c r="S1161" s="6" t="str">
        <f>IF(Table2[[#This Row],[Avg_score]]&gt;=79,"Distinction",IF(Table2[[#This Row],[Avg_score]]&gt;=60,"Pass","Fail"))</f>
        <v>Pass</v>
      </c>
      <c r="T1161" t="s">
        <v>39</v>
      </c>
      <c r="U1161">
        <f>IF(Table2[[#This Row],[Completed]]="Yes",1,0)</f>
        <v>1</v>
      </c>
      <c r="V1161" t="s">
        <v>39</v>
      </c>
      <c r="W1161" t="s">
        <v>40</v>
      </c>
      <c r="X1161" s="4">
        <v>45838</v>
      </c>
    </row>
    <row r="1162" spans="1:24" x14ac:dyDescent="0.3">
      <c r="A1162">
        <v>1161</v>
      </c>
      <c r="B1162" s="8">
        <v>387</v>
      </c>
      <c r="C1162">
        <v>3</v>
      </c>
      <c r="D1162" t="s">
        <v>19</v>
      </c>
      <c r="E1162" t="s">
        <v>23</v>
      </c>
      <c r="F1162">
        <v>22</v>
      </c>
      <c r="G1162" t="str">
        <f>IF(Table2[[#This Row],[Age]]&gt;=30,"Experienced",IF(Table2[[#This Row],[Age]]&gt;=25,"Mid Level", "Entry Level"))</f>
        <v>Entry Level</v>
      </c>
      <c r="H1162" t="s">
        <v>26</v>
      </c>
      <c r="I1162" t="s">
        <v>32</v>
      </c>
      <c r="J1162" s="4">
        <v>45741</v>
      </c>
      <c r="K1162" s="4" t="str">
        <f>TEXT(Table2[[#This Row],[Enrollment_date]],"Mmm")</f>
        <v>Mar</v>
      </c>
      <c r="L1162" s="4" t="str">
        <f>TEXT(Table2[[#This Row],[Enrollment_date]],"Ddd")</f>
        <v>Tue</v>
      </c>
      <c r="M1162" s="4" t="s">
        <v>34</v>
      </c>
      <c r="N1162" t="s">
        <v>37</v>
      </c>
      <c r="O1162" t="s">
        <v>38</v>
      </c>
      <c r="P1162" s="8">
        <v>4</v>
      </c>
      <c r="Q1162" s="6">
        <v>0.8125</v>
      </c>
      <c r="R1162" s="6">
        <v>49.5</v>
      </c>
      <c r="S1162" s="6" t="str">
        <f>IF(Table2[[#This Row],[Avg_score]]&gt;=79,"Distinction",IF(Table2[[#This Row],[Avg_score]]&gt;=60,"Pass","Fail"))</f>
        <v>Fail</v>
      </c>
      <c r="T1162" t="s">
        <v>39</v>
      </c>
      <c r="U1162">
        <f>IF(Table2[[#This Row],[Completed]]="Yes",1,0)</f>
        <v>1</v>
      </c>
      <c r="V1162" t="s">
        <v>39</v>
      </c>
      <c r="W1162" t="s">
        <v>40</v>
      </c>
      <c r="X1162" s="4">
        <v>45838</v>
      </c>
    </row>
    <row r="1163" spans="1:24" x14ac:dyDescent="0.3">
      <c r="A1163">
        <v>1162</v>
      </c>
      <c r="B1163" s="8">
        <v>388</v>
      </c>
      <c r="C1163">
        <v>1</v>
      </c>
      <c r="D1163" t="s">
        <v>19</v>
      </c>
      <c r="E1163" t="s">
        <v>23</v>
      </c>
      <c r="F1163">
        <v>23</v>
      </c>
      <c r="G1163" t="str">
        <f>IF(Table2[[#This Row],[Age]]&gt;=30,"Experienced",IF(Table2[[#This Row],[Age]]&gt;=25,"Mid Level", "Entry Level"))</f>
        <v>Entry Level</v>
      </c>
      <c r="H1163" t="s">
        <v>27</v>
      </c>
      <c r="I1163" t="s">
        <v>30</v>
      </c>
      <c r="J1163" s="4">
        <v>45744</v>
      </c>
      <c r="K1163" s="4" t="str">
        <f>TEXT(Table2[[#This Row],[Enrollment_date]],"Mmm")</f>
        <v>Mar</v>
      </c>
      <c r="L1163" s="4" t="str">
        <f>TEXT(Table2[[#This Row],[Enrollment_date]],"Ddd")</f>
        <v>Fri</v>
      </c>
      <c r="M1163" s="4" t="s">
        <v>34</v>
      </c>
      <c r="N1163" t="s">
        <v>35</v>
      </c>
      <c r="O1163" t="s">
        <v>38</v>
      </c>
      <c r="P1163" s="8">
        <v>4</v>
      </c>
      <c r="Q1163" s="6">
        <v>0.75</v>
      </c>
      <c r="R1163" s="6">
        <v>71.5</v>
      </c>
      <c r="S1163" s="6" t="str">
        <f>IF(Table2[[#This Row],[Avg_score]]&gt;=79,"Distinction",IF(Table2[[#This Row],[Avg_score]]&gt;=60,"Pass","Fail"))</f>
        <v>Pass</v>
      </c>
      <c r="T1163" t="s">
        <v>39</v>
      </c>
      <c r="U1163">
        <f>IF(Table2[[#This Row],[Completed]]="Yes",1,0)</f>
        <v>1</v>
      </c>
      <c r="V1163" t="s">
        <v>39</v>
      </c>
      <c r="W1163" t="s">
        <v>40</v>
      </c>
      <c r="X1163" s="4">
        <v>45838</v>
      </c>
    </row>
    <row r="1164" spans="1:24" x14ac:dyDescent="0.3">
      <c r="A1164">
        <v>1163</v>
      </c>
      <c r="B1164" s="8">
        <v>388</v>
      </c>
      <c r="C1164">
        <v>2</v>
      </c>
      <c r="D1164" t="s">
        <v>20</v>
      </c>
      <c r="E1164" t="s">
        <v>23</v>
      </c>
      <c r="F1164">
        <v>23</v>
      </c>
      <c r="G1164" t="str">
        <f>IF(Table2[[#This Row],[Age]]&gt;=30,"Experienced",IF(Table2[[#This Row],[Age]]&gt;=25,"Mid Level", "Entry Level"))</f>
        <v>Entry Level</v>
      </c>
      <c r="H1164" t="s">
        <v>27</v>
      </c>
      <c r="I1164" t="s">
        <v>30</v>
      </c>
      <c r="J1164" s="4">
        <v>45744</v>
      </c>
      <c r="K1164" s="4" t="str">
        <f>TEXT(Table2[[#This Row],[Enrollment_date]],"Mmm")</f>
        <v>Mar</v>
      </c>
      <c r="L1164" s="4" t="str">
        <f>TEXT(Table2[[#This Row],[Enrollment_date]],"Ddd")</f>
        <v>Fri</v>
      </c>
      <c r="M1164" s="4" t="s">
        <v>34</v>
      </c>
      <c r="N1164" t="s">
        <v>36</v>
      </c>
      <c r="O1164" t="s">
        <v>38</v>
      </c>
      <c r="P1164" s="8">
        <v>4</v>
      </c>
      <c r="Q1164" s="6">
        <v>0.8125</v>
      </c>
      <c r="R1164" s="6">
        <v>60</v>
      </c>
      <c r="S1164" s="6" t="str">
        <f>IF(Table2[[#This Row],[Avg_score]]&gt;=79,"Distinction",IF(Table2[[#This Row],[Avg_score]]&gt;=60,"Pass","Fail"))</f>
        <v>Pass</v>
      </c>
      <c r="T1164" t="s">
        <v>39</v>
      </c>
      <c r="U1164">
        <f>IF(Table2[[#This Row],[Completed]]="Yes",1,0)</f>
        <v>1</v>
      </c>
      <c r="V1164" t="s">
        <v>39</v>
      </c>
      <c r="W1164" t="s">
        <v>40</v>
      </c>
      <c r="X1164" s="4">
        <v>45838</v>
      </c>
    </row>
    <row r="1165" spans="1:24" x14ac:dyDescent="0.3">
      <c r="A1165">
        <v>1164</v>
      </c>
      <c r="B1165" s="8">
        <v>388</v>
      </c>
      <c r="C1165">
        <v>3</v>
      </c>
      <c r="D1165" t="s">
        <v>21</v>
      </c>
      <c r="E1165" t="s">
        <v>23</v>
      </c>
      <c r="F1165">
        <v>23</v>
      </c>
      <c r="G1165" t="str">
        <f>IF(Table2[[#This Row],[Age]]&gt;=30,"Experienced",IF(Table2[[#This Row],[Age]]&gt;=25,"Mid Level", "Entry Level"))</f>
        <v>Entry Level</v>
      </c>
      <c r="H1165" t="s">
        <v>27</v>
      </c>
      <c r="I1165" t="s">
        <v>30</v>
      </c>
      <c r="J1165" s="4">
        <v>45744</v>
      </c>
      <c r="K1165" s="4" t="str">
        <f>TEXT(Table2[[#This Row],[Enrollment_date]],"Mmm")</f>
        <v>Mar</v>
      </c>
      <c r="L1165" s="4" t="str">
        <f>TEXT(Table2[[#This Row],[Enrollment_date]],"Ddd")</f>
        <v>Fri</v>
      </c>
      <c r="M1165" s="4" t="s">
        <v>34</v>
      </c>
      <c r="N1165" t="s">
        <v>37</v>
      </c>
      <c r="O1165" t="s">
        <v>38</v>
      </c>
      <c r="P1165" s="8">
        <v>4</v>
      </c>
      <c r="Q1165" s="6">
        <v>0.875</v>
      </c>
      <c r="R1165" s="6">
        <v>62</v>
      </c>
      <c r="S1165" s="6" t="str">
        <f>IF(Table2[[#This Row],[Avg_score]]&gt;=79,"Distinction",IF(Table2[[#This Row],[Avg_score]]&gt;=60,"Pass","Fail"))</f>
        <v>Pass</v>
      </c>
      <c r="T1165" t="s">
        <v>39</v>
      </c>
      <c r="U1165">
        <f>IF(Table2[[#This Row],[Completed]]="Yes",1,0)</f>
        <v>1</v>
      </c>
      <c r="V1165" t="s">
        <v>39</v>
      </c>
      <c r="W1165" t="s">
        <v>40</v>
      </c>
      <c r="X1165" s="4">
        <v>45838</v>
      </c>
    </row>
    <row r="1166" spans="1:24" x14ac:dyDescent="0.3">
      <c r="A1166">
        <v>1165</v>
      </c>
      <c r="B1166" s="8">
        <v>389</v>
      </c>
      <c r="C1166">
        <v>1</v>
      </c>
      <c r="D1166" t="s">
        <v>21</v>
      </c>
      <c r="E1166" t="s">
        <v>23</v>
      </c>
      <c r="F1166">
        <v>27</v>
      </c>
      <c r="G1166" t="str">
        <f>IF(Table2[[#This Row],[Age]]&gt;=30,"Experienced",IF(Table2[[#This Row],[Age]]&gt;=25,"Mid Level", "Entry Level"))</f>
        <v>Mid Level</v>
      </c>
      <c r="H1166" t="s">
        <v>27</v>
      </c>
      <c r="I1166" t="s">
        <v>68</v>
      </c>
      <c r="J1166" s="4">
        <v>45752</v>
      </c>
      <c r="K1166" s="4" t="str">
        <f>TEXT(Table2[[#This Row],[Enrollment_date]],"Mmm")</f>
        <v>Apr</v>
      </c>
      <c r="L1166" s="4" t="str">
        <f>TEXT(Table2[[#This Row],[Enrollment_date]],"Ddd")</f>
        <v>Sat</v>
      </c>
      <c r="M1166" s="4" t="s">
        <v>34</v>
      </c>
      <c r="N1166" t="s">
        <v>35</v>
      </c>
      <c r="O1166" t="s">
        <v>38</v>
      </c>
      <c r="P1166" s="8">
        <v>4</v>
      </c>
      <c r="Q1166" s="6">
        <v>0.83333333333333337</v>
      </c>
      <c r="R1166" s="6">
        <v>81</v>
      </c>
      <c r="S1166" s="6" t="str">
        <f>IF(Table2[[#This Row],[Avg_score]]&gt;=79,"Distinction",IF(Table2[[#This Row],[Avg_score]]&gt;=60,"Pass","Fail"))</f>
        <v>Distinction</v>
      </c>
      <c r="T1166" t="s">
        <v>39</v>
      </c>
      <c r="U1166">
        <f>IF(Table2[[#This Row],[Completed]]="Yes",1,0)</f>
        <v>1</v>
      </c>
      <c r="V1166" t="s">
        <v>40</v>
      </c>
      <c r="W1166" t="s">
        <v>40</v>
      </c>
      <c r="X1166" s="4">
        <v>45838</v>
      </c>
    </row>
    <row r="1167" spans="1:24" x14ac:dyDescent="0.3">
      <c r="A1167">
        <v>1166</v>
      </c>
      <c r="B1167" s="8">
        <v>389</v>
      </c>
      <c r="C1167">
        <v>2</v>
      </c>
      <c r="D1167" t="s">
        <v>21</v>
      </c>
      <c r="E1167" t="s">
        <v>23</v>
      </c>
      <c r="F1167">
        <v>27</v>
      </c>
      <c r="G1167" t="str">
        <f>IF(Table2[[#This Row],[Age]]&gt;=30,"Experienced",IF(Table2[[#This Row],[Age]]&gt;=25,"Mid Level", "Entry Level"))</f>
        <v>Mid Level</v>
      </c>
      <c r="H1167" t="s">
        <v>27</v>
      </c>
      <c r="I1167" t="s">
        <v>68</v>
      </c>
      <c r="J1167" s="4">
        <v>45752</v>
      </c>
      <c r="K1167" s="4" t="str">
        <f>TEXT(Table2[[#This Row],[Enrollment_date]],"Mmm")</f>
        <v>Apr</v>
      </c>
      <c r="L1167" s="4" t="str">
        <f>TEXT(Table2[[#This Row],[Enrollment_date]],"Ddd")</f>
        <v>Sat</v>
      </c>
      <c r="M1167" s="4" t="s">
        <v>34</v>
      </c>
      <c r="N1167" t="s">
        <v>36</v>
      </c>
      <c r="O1167" t="s">
        <v>38</v>
      </c>
      <c r="P1167" s="8">
        <v>4</v>
      </c>
      <c r="Q1167" s="6">
        <v>0.79166666666666663</v>
      </c>
      <c r="R1167" s="6">
        <v>58.5</v>
      </c>
      <c r="S1167" s="6" t="str">
        <f>IF(Table2[[#This Row],[Avg_score]]&gt;=79,"Distinction",IF(Table2[[#This Row],[Avg_score]]&gt;=60,"Pass","Fail"))</f>
        <v>Fail</v>
      </c>
      <c r="T1167" t="s">
        <v>39</v>
      </c>
      <c r="U1167">
        <f>IF(Table2[[#This Row],[Completed]]="Yes",1,0)</f>
        <v>1</v>
      </c>
      <c r="V1167" t="s">
        <v>40</v>
      </c>
      <c r="W1167" t="s">
        <v>40</v>
      </c>
      <c r="X1167" s="4">
        <v>45838</v>
      </c>
    </row>
    <row r="1168" spans="1:24" x14ac:dyDescent="0.3">
      <c r="A1168">
        <v>1167</v>
      </c>
      <c r="B1168" s="8">
        <v>389</v>
      </c>
      <c r="C1168">
        <v>3</v>
      </c>
      <c r="D1168" t="s">
        <v>20</v>
      </c>
      <c r="E1168" t="s">
        <v>23</v>
      </c>
      <c r="F1168">
        <v>27</v>
      </c>
      <c r="G1168" t="str">
        <f>IF(Table2[[#This Row],[Age]]&gt;=30,"Experienced",IF(Table2[[#This Row],[Age]]&gt;=25,"Mid Level", "Entry Level"))</f>
        <v>Mid Level</v>
      </c>
      <c r="H1168" t="s">
        <v>27</v>
      </c>
      <c r="I1168" t="s">
        <v>68</v>
      </c>
      <c r="J1168" s="4">
        <v>45752</v>
      </c>
      <c r="K1168" s="4" t="str">
        <f>TEXT(Table2[[#This Row],[Enrollment_date]],"Mmm")</f>
        <v>Apr</v>
      </c>
      <c r="L1168" s="4" t="str">
        <f>TEXT(Table2[[#This Row],[Enrollment_date]],"Ddd")</f>
        <v>Sat</v>
      </c>
      <c r="M1168" s="4" t="s">
        <v>34</v>
      </c>
      <c r="N1168" t="s">
        <v>37</v>
      </c>
      <c r="O1168" t="s">
        <v>38</v>
      </c>
      <c r="P1168" s="8">
        <v>4</v>
      </c>
      <c r="Q1168" s="6">
        <v>0.8125</v>
      </c>
      <c r="R1168" s="6">
        <v>74.5</v>
      </c>
      <c r="S1168" s="6" t="str">
        <f>IF(Table2[[#This Row],[Avg_score]]&gt;=79,"Distinction",IF(Table2[[#This Row],[Avg_score]]&gt;=60,"Pass","Fail"))</f>
        <v>Pass</v>
      </c>
      <c r="T1168" t="s">
        <v>39</v>
      </c>
      <c r="U1168">
        <f>IF(Table2[[#This Row],[Completed]]="Yes",1,0)</f>
        <v>1</v>
      </c>
      <c r="V1168" t="s">
        <v>40</v>
      </c>
      <c r="W1168" t="s">
        <v>40</v>
      </c>
      <c r="X1168" s="4">
        <v>45838</v>
      </c>
    </row>
    <row r="1169" spans="1:24" x14ac:dyDescent="0.3">
      <c r="A1169">
        <v>1168</v>
      </c>
      <c r="B1169" s="8">
        <v>390</v>
      </c>
      <c r="C1169">
        <v>1</v>
      </c>
      <c r="D1169" t="s">
        <v>19</v>
      </c>
      <c r="E1169" t="s">
        <v>23</v>
      </c>
      <c r="F1169">
        <v>21</v>
      </c>
      <c r="G1169" t="str">
        <f>IF(Table2[[#This Row],[Age]]&gt;=30,"Experienced",IF(Table2[[#This Row],[Age]]&gt;=25,"Mid Level", "Entry Level"))</f>
        <v>Entry Level</v>
      </c>
      <c r="H1169" t="s">
        <v>27</v>
      </c>
      <c r="I1169" t="s">
        <v>30</v>
      </c>
      <c r="J1169" s="4">
        <v>45664</v>
      </c>
      <c r="K1169" s="4" t="str">
        <f>TEXT(Table2[[#This Row],[Enrollment_date]],"Mmm")</f>
        <v>Jan</v>
      </c>
      <c r="L1169" s="4" t="str">
        <f>TEXT(Table2[[#This Row],[Enrollment_date]],"Ddd")</f>
        <v>Tue</v>
      </c>
      <c r="M1169" s="4" t="s">
        <v>34</v>
      </c>
      <c r="N1169" t="s">
        <v>35</v>
      </c>
      <c r="O1169" t="s">
        <v>38</v>
      </c>
      <c r="P1169" s="8">
        <v>4</v>
      </c>
      <c r="Q1169" s="6">
        <v>0.83333333333333337</v>
      </c>
      <c r="R1169" s="6">
        <v>74.5</v>
      </c>
      <c r="S1169" s="6" t="str">
        <f>IF(Table2[[#This Row],[Avg_score]]&gt;=79,"Distinction",IF(Table2[[#This Row],[Avg_score]]&gt;=60,"Pass","Fail"))</f>
        <v>Pass</v>
      </c>
      <c r="T1169" t="s">
        <v>40</v>
      </c>
      <c r="U1169">
        <f>IF(Table2[[#This Row],[Completed]]="Yes",1,0)</f>
        <v>0</v>
      </c>
      <c r="V1169" t="s">
        <v>40</v>
      </c>
      <c r="W1169" t="s">
        <v>40</v>
      </c>
      <c r="X1169" s="4">
        <v>45838</v>
      </c>
    </row>
    <row r="1170" spans="1:24" x14ac:dyDescent="0.3">
      <c r="A1170">
        <v>1169</v>
      </c>
      <c r="B1170" s="8">
        <v>390</v>
      </c>
      <c r="C1170">
        <v>2</v>
      </c>
      <c r="D1170" t="s">
        <v>20</v>
      </c>
      <c r="E1170" t="s">
        <v>23</v>
      </c>
      <c r="F1170">
        <v>21</v>
      </c>
      <c r="G1170" t="str">
        <f>IF(Table2[[#This Row],[Age]]&gt;=30,"Experienced",IF(Table2[[#This Row],[Age]]&gt;=25,"Mid Level", "Entry Level"))</f>
        <v>Entry Level</v>
      </c>
      <c r="H1170" t="s">
        <v>27</v>
      </c>
      <c r="I1170" t="s">
        <v>30</v>
      </c>
      <c r="J1170" s="4">
        <v>45664</v>
      </c>
      <c r="K1170" s="4" t="str">
        <f>TEXT(Table2[[#This Row],[Enrollment_date]],"Mmm")</f>
        <v>Jan</v>
      </c>
      <c r="L1170" s="4" t="str">
        <f>TEXT(Table2[[#This Row],[Enrollment_date]],"Ddd")</f>
        <v>Tue</v>
      </c>
      <c r="M1170" s="4" t="s">
        <v>34</v>
      </c>
      <c r="N1170" t="s">
        <v>36</v>
      </c>
      <c r="O1170" t="s">
        <v>38</v>
      </c>
      <c r="P1170" s="8">
        <v>4</v>
      </c>
      <c r="Q1170" s="6">
        <v>0.875</v>
      </c>
      <c r="R1170" s="6">
        <v>61.5</v>
      </c>
      <c r="S1170" s="6" t="str">
        <f>IF(Table2[[#This Row],[Avg_score]]&gt;=79,"Distinction",IF(Table2[[#This Row],[Avg_score]]&gt;=60,"Pass","Fail"))</f>
        <v>Pass</v>
      </c>
      <c r="T1170" t="s">
        <v>40</v>
      </c>
      <c r="U1170">
        <f>IF(Table2[[#This Row],[Completed]]="Yes",1,0)</f>
        <v>0</v>
      </c>
      <c r="V1170" t="s">
        <v>40</v>
      </c>
      <c r="W1170" t="s">
        <v>40</v>
      </c>
      <c r="X1170" s="4">
        <v>45838</v>
      </c>
    </row>
    <row r="1171" spans="1:24" x14ac:dyDescent="0.3">
      <c r="A1171">
        <v>1170</v>
      </c>
      <c r="B1171" s="8">
        <v>390</v>
      </c>
      <c r="C1171">
        <v>3</v>
      </c>
      <c r="D1171" t="s">
        <v>19</v>
      </c>
      <c r="E1171" t="s">
        <v>23</v>
      </c>
      <c r="F1171">
        <v>21</v>
      </c>
      <c r="G1171" t="str">
        <f>IF(Table2[[#This Row],[Age]]&gt;=30,"Experienced",IF(Table2[[#This Row],[Age]]&gt;=25,"Mid Level", "Entry Level"))</f>
        <v>Entry Level</v>
      </c>
      <c r="H1171" t="s">
        <v>27</v>
      </c>
      <c r="I1171" t="s">
        <v>30</v>
      </c>
      <c r="J1171" s="4">
        <v>45664</v>
      </c>
      <c r="K1171" s="4" t="str">
        <f>TEXT(Table2[[#This Row],[Enrollment_date]],"Mmm")</f>
        <v>Jan</v>
      </c>
      <c r="L1171" s="4" t="str">
        <f>TEXT(Table2[[#This Row],[Enrollment_date]],"Ddd")</f>
        <v>Tue</v>
      </c>
      <c r="M1171" s="4" t="s">
        <v>34</v>
      </c>
      <c r="N1171" t="s">
        <v>37</v>
      </c>
      <c r="O1171" t="s">
        <v>38</v>
      </c>
      <c r="P1171" s="8">
        <v>4</v>
      </c>
      <c r="Q1171" s="6">
        <v>0.79166666666666663</v>
      </c>
      <c r="R1171" s="6">
        <v>89</v>
      </c>
      <c r="S1171" s="6" t="str">
        <f>IF(Table2[[#This Row],[Avg_score]]&gt;=79,"Distinction",IF(Table2[[#This Row],[Avg_score]]&gt;=60,"Pass","Fail"))</f>
        <v>Distinction</v>
      </c>
      <c r="T1171" t="s">
        <v>40</v>
      </c>
      <c r="U1171">
        <f>IF(Table2[[#This Row],[Completed]]="Yes",1,0)</f>
        <v>0</v>
      </c>
      <c r="V1171" t="s">
        <v>40</v>
      </c>
      <c r="W1171" t="s">
        <v>40</v>
      </c>
      <c r="X1171" s="4">
        <v>45838</v>
      </c>
    </row>
    <row r="1172" spans="1:24" x14ac:dyDescent="0.3">
      <c r="A1172">
        <v>1171</v>
      </c>
      <c r="B1172" s="8">
        <v>391</v>
      </c>
      <c r="C1172">
        <v>1</v>
      </c>
      <c r="D1172" t="s">
        <v>19</v>
      </c>
      <c r="E1172" t="s">
        <v>23</v>
      </c>
      <c r="F1172">
        <v>26</v>
      </c>
      <c r="G1172" t="str">
        <f>IF(Table2[[#This Row],[Age]]&gt;=30,"Experienced",IF(Table2[[#This Row],[Age]]&gt;=25,"Mid Level", "Entry Level"))</f>
        <v>Mid Level</v>
      </c>
      <c r="H1172" t="s">
        <v>24</v>
      </c>
      <c r="I1172" t="s">
        <v>32</v>
      </c>
      <c r="J1172" s="4">
        <v>45671</v>
      </c>
      <c r="K1172" s="4" t="str">
        <f>TEXT(Table2[[#This Row],[Enrollment_date]],"Mmm")</f>
        <v>Jan</v>
      </c>
      <c r="L1172" s="4" t="str">
        <f>TEXT(Table2[[#This Row],[Enrollment_date]],"Ddd")</f>
        <v>Tue</v>
      </c>
      <c r="M1172" s="4" t="s">
        <v>34</v>
      </c>
      <c r="N1172" t="s">
        <v>35</v>
      </c>
      <c r="O1172" t="s">
        <v>38</v>
      </c>
      <c r="P1172" s="8">
        <v>4</v>
      </c>
      <c r="Q1172" s="6">
        <v>0.83333333333333337</v>
      </c>
      <c r="R1172" s="6">
        <v>81.5</v>
      </c>
      <c r="S1172" s="6" t="str">
        <f>IF(Table2[[#This Row],[Avg_score]]&gt;=79,"Distinction",IF(Table2[[#This Row],[Avg_score]]&gt;=60,"Pass","Fail"))</f>
        <v>Distinction</v>
      </c>
      <c r="T1172" t="s">
        <v>39</v>
      </c>
      <c r="U1172">
        <f>IF(Table2[[#This Row],[Completed]]="Yes",1,0)</f>
        <v>1</v>
      </c>
      <c r="V1172" t="s">
        <v>39</v>
      </c>
      <c r="W1172" t="s">
        <v>39</v>
      </c>
      <c r="X1172" s="4">
        <v>45838</v>
      </c>
    </row>
    <row r="1173" spans="1:24" x14ac:dyDescent="0.3">
      <c r="A1173">
        <v>1172</v>
      </c>
      <c r="B1173" s="8">
        <v>391</v>
      </c>
      <c r="C1173">
        <v>2</v>
      </c>
      <c r="D1173" t="s">
        <v>19</v>
      </c>
      <c r="E1173" t="s">
        <v>23</v>
      </c>
      <c r="F1173">
        <v>26</v>
      </c>
      <c r="G1173" t="str">
        <f>IF(Table2[[#This Row],[Age]]&gt;=30,"Experienced",IF(Table2[[#This Row],[Age]]&gt;=25,"Mid Level", "Entry Level"))</f>
        <v>Mid Level</v>
      </c>
      <c r="H1173" t="s">
        <v>24</v>
      </c>
      <c r="I1173" t="s">
        <v>32</v>
      </c>
      <c r="J1173" s="4">
        <v>45671</v>
      </c>
      <c r="K1173" s="4" t="str">
        <f>TEXT(Table2[[#This Row],[Enrollment_date]],"Mmm")</f>
        <v>Jan</v>
      </c>
      <c r="L1173" s="4" t="str">
        <f>TEXT(Table2[[#This Row],[Enrollment_date]],"Ddd")</f>
        <v>Tue</v>
      </c>
      <c r="M1173" s="4" t="s">
        <v>34</v>
      </c>
      <c r="N1173" t="s">
        <v>36</v>
      </c>
      <c r="O1173" t="s">
        <v>38</v>
      </c>
      <c r="P1173" s="8">
        <v>4</v>
      </c>
      <c r="Q1173" s="6">
        <v>0.75</v>
      </c>
      <c r="R1173" s="6">
        <v>71.5</v>
      </c>
      <c r="S1173" s="6" t="str">
        <f>IF(Table2[[#This Row],[Avg_score]]&gt;=79,"Distinction",IF(Table2[[#This Row],[Avg_score]]&gt;=60,"Pass","Fail"))</f>
        <v>Pass</v>
      </c>
      <c r="T1173" t="s">
        <v>39</v>
      </c>
      <c r="U1173">
        <f>IF(Table2[[#This Row],[Completed]]="Yes",1,0)</f>
        <v>1</v>
      </c>
      <c r="V1173" t="s">
        <v>39</v>
      </c>
      <c r="W1173" t="s">
        <v>39</v>
      </c>
      <c r="X1173" s="4">
        <v>45838</v>
      </c>
    </row>
    <row r="1174" spans="1:24" x14ac:dyDescent="0.3">
      <c r="A1174">
        <v>1173</v>
      </c>
      <c r="B1174" s="8">
        <v>391</v>
      </c>
      <c r="C1174">
        <v>3</v>
      </c>
      <c r="D1174" t="s">
        <v>19</v>
      </c>
      <c r="E1174" t="s">
        <v>23</v>
      </c>
      <c r="F1174">
        <v>26</v>
      </c>
      <c r="G1174" t="str">
        <f>IF(Table2[[#This Row],[Age]]&gt;=30,"Experienced",IF(Table2[[#This Row],[Age]]&gt;=25,"Mid Level", "Entry Level"))</f>
        <v>Mid Level</v>
      </c>
      <c r="H1174" t="s">
        <v>24</v>
      </c>
      <c r="I1174" t="s">
        <v>32</v>
      </c>
      <c r="J1174" s="4">
        <v>45671</v>
      </c>
      <c r="K1174" s="4" t="str">
        <f>TEXT(Table2[[#This Row],[Enrollment_date]],"Mmm")</f>
        <v>Jan</v>
      </c>
      <c r="L1174" s="4" t="str">
        <f>TEXT(Table2[[#This Row],[Enrollment_date]],"Ddd")</f>
        <v>Tue</v>
      </c>
      <c r="M1174" s="4" t="s">
        <v>34</v>
      </c>
      <c r="N1174" t="s">
        <v>37</v>
      </c>
      <c r="O1174" t="s">
        <v>38</v>
      </c>
      <c r="P1174" s="8">
        <v>4</v>
      </c>
      <c r="Q1174" s="6">
        <v>0.89583333333333337</v>
      </c>
      <c r="R1174" s="6">
        <v>80.5</v>
      </c>
      <c r="S1174" s="6" t="str">
        <f>IF(Table2[[#This Row],[Avg_score]]&gt;=79,"Distinction",IF(Table2[[#This Row],[Avg_score]]&gt;=60,"Pass","Fail"))</f>
        <v>Distinction</v>
      </c>
      <c r="T1174" t="s">
        <v>39</v>
      </c>
      <c r="U1174">
        <f>IF(Table2[[#This Row],[Completed]]="Yes",1,0)</f>
        <v>1</v>
      </c>
      <c r="V1174" t="s">
        <v>39</v>
      </c>
      <c r="W1174" t="s">
        <v>39</v>
      </c>
      <c r="X1174" s="4">
        <v>45838</v>
      </c>
    </row>
    <row r="1175" spans="1:24" x14ac:dyDescent="0.3">
      <c r="A1175">
        <v>1174</v>
      </c>
      <c r="B1175" s="8">
        <v>392</v>
      </c>
      <c r="C1175">
        <v>1</v>
      </c>
      <c r="D1175" t="s">
        <v>19</v>
      </c>
      <c r="E1175" t="s">
        <v>23</v>
      </c>
      <c r="F1175">
        <v>23</v>
      </c>
      <c r="G1175" t="str">
        <f>IF(Table2[[#This Row],[Age]]&gt;=30,"Experienced",IF(Table2[[#This Row],[Age]]&gt;=25,"Mid Level", "Entry Level"))</f>
        <v>Entry Level</v>
      </c>
      <c r="H1175" t="s">
        <v>26</v>
      </c>
      <c r="I1175" t="s">
        <v>44</v>
      </c>
      <c r="J1175" s="4">
        <v>45695</v>
      </c>
      <c r="K1175" s="4" t="str">
        <f>TEXT(Table2[[#This Row],[Enrollment_date]],"Mmm")</f>
        <v>Feb</v>
      </c>
      <c r="L1175" s="4" t="str">
        <f>TEXT(Table2[[#This Row],[Enrollment_date]],"Ddd")</f>
        <v>Fri</v>
      </c>
      <c r="M1175" s="4" t="s">
        <v>34</v>
      </c>
      <c r="N1175" t="s">
        <v>35</v>
      </c>
      <c r="O1175" t="s">
        <v>38</v>
      </c>
      <c r="P1175" s="8">
        <v>4</v>
      </c>
      <c r="Q1175" s="6">
        <v>0.89583333333333337</v>
      </c>
      <c r="R1175" s="6">
        <v>54.5</v>
      </c>
      <c r="S1175" s="6" t="str">
        <f>IF(Table2[[#This Row],[Avg_score]]&gt;=79,"Distinction",IF(Table2[[#This Row],[Avg_score]]&gt;=60,"Pass","Fail"))</f>
        <v>Fail</v>
      </c>
      <c r="T1175" t="s">
        <v>39</v>
      </c>
      <c r="U1175">
        <f>IF(Table2[[#This Row],[Completed]]="Yes",1,0)</f>
        <v>1</v>
      </c>
      <c r="V1175" t="s">
        <v>40</v>
      </c>
      <c r="W1175" t="s">
        <v>40</v>
      </c>
      <c r="X1175" s="4">
        <v>45838</v>
      </c>
    </row>
    <row r="1176" spans="1:24" x14ac:dyDescent="0.3">
      <c r="A1176">
        <v>1175</v>
      </c>
      <c r="B1176" s="8">
        <v>392</v>
      </c>
      <c r="C1176">
        <v>2</v>
      </c>
      <c r="D1176" t="s">
        <v>20</v>
      </c>
      <c r="E1176" t="s">
        <v>23</v>
      </c>
      <c r="F1176">
        <v>23</v>
      </c>
      <c r="G1176" t="str">
        <f>IF(Table2[[#This Row],[Age]]&gt;=30,"Experienced",IF(Table2[[#This Row],[Age]]&gt;=25,"Mid Level", "Entry Level"))</f>
        <v>Entry Level</v>
      </c>
      <c r="H1176" t="s">
        <v>26</v>
      </c>
      <c r="I1176" t="s">
        <v>44</v>
      </c>
      <c r="J1176" s="4">
        <v>45695</v>
      </c>
      <c r="K1176" s="4" t="str">
        <f>TEXT(Table2[[#This Row],[Enrollment_date]],"Mmm")</f>
        <v>Feb</v>
      </c>
      <c r="L1176" s="4" t="str">
        <f>TEXT(Table2[[#This Row],[Enrollment_date]],"Ddd")</f>
        <v>Fri</v>
      </c>
      <c r="M1176" s="4" t="s">
        <v>34</v>
      </c>
      <c r="N1176" t="s">
        <v>36</v>
      </c>
      <c r="O1176" t="s">
        <v>38</v>
      </c>
      <c r="P1176" s="8">
        <v>4</v>
      </c>
      <c r="Q1176" s="6">
        <v>0.77083333333333337</v>
      </c>
      <c r="R1176" s="6">
        <v>74</v>
      </c>
      <c r="S1176" s="6" t="str">
        <f>IF(Table2[[#This Row],[Avg_score]]&gt;=79,"Distinction",IF(Table2[[#This Row],[Avg_score]]&gt;=60,"Pass","Fail"))</f>
        <v>Pass</v>
      </c>
      <c r="T1176" t="s">
        <v>39</v>
      </c>
      <c r="U1176">
        <f>IF(Table2[[#This Row],[Completed]]="Yes",1,0)</f>
        <v>1</v>
      </c>
      <c r="V1176" t="s">
        <v>40</v>
      </c>
      <c r="W1176" t="s">
        <v>40</v>
      </c>
      <c r="X1176" s="4">
        <v>45838</v>
      </c>
    </row>
    <row r="1177" spans="1:24" x14ac:dyDescent="0.3">
      <c r="A1177">
        <v>1176</v>
      </c>
      <c r="B1177" s="8">
        <v>392</v>
      </c>
      <c r="C1177">
        <v>3</v>
      </c>
      <c r="D1177" t="s">
        <v>21</v>
      </c>
      <c r="E1177" t="s">
        <v>23</v>
      </c>
      <c r="F1177">
        <v>23</v>
      </c>
      <c r="G1177" t="str">
        <f>IF(Table2[[#This Row],[Age]]&gt;=30,"Experienced",IF(Table2[[#This Row],[Age]]&gt;=25,"Mid Level", "Entry Level"))</f>
        <v>Entry Level</v>
      </c>
      <c r="H1177" t="s">
        <v>26</v>
      </c>
      <c r="I1177" t="s">
        <v>44</v>
      </c>
      <c r="J1177" s="4">
        <v>45695</v>
      </c>
      <c r="K1177" s="4" t="str">
        <f>TEXT(Table2[[#This Row],[Enrollment_date]],"Mmm")</f>
        <v>Feb</v>
      </c>
      <c r="L1177" s="4" t="str">
        <f>TEXT(Table2[[#This Row],[Enrollment_date]],"Ddd")</f>
        <v>Fri</v>
      </c>
      <c r="M1177" s="4" t="s">
        <v>34</v>
      </c>
      <c r="N1177" t="s">
        <v>37</v>
      </c>
      <c r="O1177" t="s">
        <v>38</v>
      </c>
      <c r="P1177" s="8">
        <v>4</v>
      </c>
      <c r="Q1177" s="6">
        <v>0.8125</v>
      </c>
      <c r="R1177" s="6">
        <v>64</v>
      </c>
      <c r="S1177" s="6" t="str">
        <f>IF(Table2[[#This Row],[Avg_score]]&gt;=79,"Distinction",IF(Table2[[#This Row],[Avg_score]]&gt;=60,"Pass","Fail"))</f>
        <v>Pass</v>
      </c>
      <c r="T1177" t="s">
        <v>39</v>
      </c>
      <c r="U1177">
        <f>IF(Table2[[#This Row],[Completed]]="Yes",1,0)</f>
        <v>1</v>
      </c>
      <c r="V1177" t="s">
        <v>40</v>
      </c>
      <c r="W1177" t="s">
        <v>40</v>
      </c>
      <c r="X1177" s="4">
        <v>45838</v>
      </c>
    </row>
    <row r="1178" spans="1:24" x14ac:dyDescent="0.3">
      <c r="A1178">
        <v>1177</v>
      </c>
      <c r="B1178" s="8">
        <v>393</v>
      </c>
      <c r="C1178">
        <v>1</v>
      </c>
      <c r="D1178" t="s">
        <v>20</v>
      </c>
      <c r="E1178" t="s">
        <v>22</v>
      </c>
      <c r="F1178">
        <v>19</v>
      </c>
      <c r="G1178" t="str">
        <f>IF(Table2[[#This Row],[Age]]&gt;=30,"Experienced",IF(Table2[[#This Row],[Age]]&gt;=25,"Mid Level", "Entry Level"))</f>
        <v>Entry Level</v>
      </c>
      <c r="H1178" t="s">
        <v>26</v>
      </c>
      <c r="I1178" t="s">
        <v>68</v>
      </c>
      <c r="J1178" s="4">
        <v>45706</v>
      </c>
      <c r="K1178" s="4" t="str">
        <f>TEXT(Table2[[#This Row],[Enrollment_date]],"Mmm")</f>
        <v>Feb</v>
      </c>
      <c r="L1178" s="4" t="str">
        <f>TEXT(Table2[[#This Row],[Enrollment_date]],"Ddd")</f>
        <v>Tue</v>
      </c>
      <c r="M1178" s="4" t="s">
        <v>34</v>
      </c>
      <c r="N1178" t="s">
        <v>35</v>
      </c>
      <c r="O1178" t="s">
        <v>38</v>
      </c>
      <c r="P1178" s="8">
        <v>4</v>
      </c>
      <c r="Q1178" s="6">
        <v>0.89583333333333337</v>
      </c>
      <c r="R1178" s="6">
        <v>72.5</v>
      </c>
      <c r="S1178" s="6" t="str">
        <f>IF(Table2[[#This Row],[Avg_score]]&gt;=79,"Distinction",IF(Table2[[#This Row],[Avg_score]]&gt;=60,"Pass","Fail"))</f>
        <v>Pass</v>
      </c>
      <c r="T1178" t="s">
        <v>39</v>
      </c>
      <c r="U1178">
        <f>IF(Table2[[#This Row],[Completed]]="Yes",1,0)</f>
        <v>1</v>
      </c>
      <c r="V1178" t="s">
        <v>39</v>
      </c>
      <c r="W1178" t="s">
        <v>40</v>
      </c>
      <c r="X1178" s="4">
        <v>45838</v>
      </c>
    </row>
    <row r="1179" spans="1:24" x14ac:dyDescent="0.3">
      <c r="A1179">
        <v>1178</v>
      </c>
      <c r="B1179" s="8">
        <v>393</v>
      </c>
      <c r="C1179">
        <v>2</v>
      </c>
      <c r="D1179" t="s">
        <v>19</v>
      </c>
      <c r="E1179" t="s">
        <v>22</v>
      </c>
      <c r="F1179">
        <v>19</v>
      </c>
      <c r="G1179" t="str">
        <f>IF(Table2[[#This Row],[Age]]&gt;=30,"Experienced",IF(Table2[[#This Row],[Age]]&gt;=25,"Mid Level", "Entry Level"))</f>
        <v>Entry Level</v>
      </c>
      <c r="H1179" t="s">
        <v>26</v>
      </c>
      <c r="I1179" t="s">
        <v>68</v>
      </c>
      <c r="J1179" s="4">
        <v>45706</v>
      </c>
      <c r="K1179" s="4" t="str">
        <f>TEXT(Table2[[#This Row],[Enrollment_date]],"Mmm")</f>
        <v>Feb</v>
      </c>
      <c r="L1179" s="4" t="str">
        <f>TEXT(Table2[[#This Row],[Enrollment_date]],"Ddd")</f>
        <v>Tue</v>
      </c>
      <c r="M1179" s="4" t="s">
        <v>34</v>
      </c>
      <c r="N1179" t="s">
        <v>36</v>
      </c>
      <c r="O1179" t="s">
        <v>38</v>
      </c>
      <c r="P1179" s="8">
        <v>4</v>
      </c>
      <c r="Q1179" s="6">
        <v>0.83333333333333337</v>
      </c>
      <c r="R1179" s="6">
        <v>93.5</v>
      </c>
      <c r="S1179" s="6" t="str">
        <f>IF(Table2[[#This Row],[Avg_score]]&gt;=79,"Distinction",IF(Table2[[#This Row],[Avg_score]]&gt;=60,"Pass","Fail"))</f>
        <v>Distinction</v>
      </c>
      <c r="T1179" t="s">
        <v>39</v>
      </c>
      <c r="U1179">
        <f>IF(Table2[[#This Row],[Completed]]="Yes",1,0)</f>
        <v>1</v>
      </c>
      <c r="V1179" t="s">
        <v>39</v>
      </c>
      <c r="W1179" t="s">
        <v>40</v>
      </c>
      <c r="X1179" s="4">
        <v>45838</v>
      </c>
    </row>
    <row r="1180" spans="1:24" x14ac:dyDescent="0.3">
      <c r="A1180">
        <v>1179</v>
      </c>
      <c r="B1180" s="8">
        <v>393</v>
      </c>
      <c r="C1180">
        <v>3</v>
      </c>
      <c r="D1180" t="s">
        <v>19</v>
      </c>
      <c r="E1180" t="s">
        <v>22</v>
      </c>
      <c r="F1180">
        <v>19</v>
      </c>
      <c r="G1180" t="str">
        <f>IF(Table2[[#This Row],[Age]]&gt;=30,"Experienced",IF(Table2[[#This Row],[Age]]&gt;=25,"Mid Level", "Entry Level"))</f>
        <v>Entry Level</v>
      </c>
      <c r="H1180" t="s">
        <v>26</v>
      </c>
      <c r="I1180" t="s">
        <v>68</v>
      </c>
      <c r="J1180" s="4">
        <v>45706</v>
      </c>
      <c r="K1180" s="4" t="str">
        <f>TEXT(Table2[[#This Row],[Enrollment_date]],"Mmm")</f>
        <v>Feb</v>
      </c>
      <c r="L1180" s="4" t="str">
        <f>TEXT(Table2[[#This Row],[Enrollment_date]],"Ddd")</f>
        <v>Tue</v>
      </c>
      <c r="M1180" s="4" t="s">
        <v>34</v>
      </c>
      <c r="N1180" t="s">
        <v>37</v>
      </c>
      <c r="O1180" t="s">
        <v>38</v>
      </c>
      <c r="P1180" s="8">
        <v>4</v>
      </c>
      <c r="Q1180" s="6">
        <v>0.77083333333333337</v>
      </c>
      <c r="R1180" s="6">
        <v>73</v>
      </c>
      <c r="S1180" s="6" t="str">
        <f>IF(Table2[[#This Row],[Avg_score]]&gt;=79,"Distinction",IF(Table2[[#This Row],[Avg_score]]&gt;=60,"Pass","Fail"))</f>
        <v>Pass</v>
      </c>
      <c r="T1180" t="s">
        <v>39</v>
      </c>
      <c r="U1180">
        <f>IF(Table2[[#This Row],[Completed]]="Yes",1,0)</f>
        <v>1</v>
      </c>
      <c r="V1180" t="s">
        <v>39</v>
      </c>
      <c r="W1180" t="s">
        <v>40</v>
      </c>
      <c r="X1180" s="4">
        <v>45838</v>
      </c>
    </row>
    <row r="1181" spans="1:24" x14ac:dyDescent="0.3">
      <c r="A1181">
        <v>1180</v>
      </c>
      <c r="B1181" s="8">
        <v>394</v>
      </c>
      <c r="C1181">
        <v>1</v>
      </c>
      <c r="D1181" t="s">
        <v>20</v>
      </c>
      <c r="E1181" t="s">
        <v>22</v>
      </c>
      <c r="F1181">
        <v>32</v>
      </c>
      <c r="G1181" t="str">
        <f>IF(Table2[[#This Row],[Age]]&gt;=30,"Experienced",IF(Table2[[#This Row],[Age]]&gt;=25,"Mid Level", "Entry Level"))</f>
        <v>Experienced</v>
      </c>
      <c r="H1181" t="s">
        <v>29</v>
      </c>
      <c r="I1181" t="s">
        <v>44</v>
      </c>
      <c r="J1181" s="4">
        <v>45696</v>
      </c>
      <c r="K1181" s="4" t="str">
        <f>TEXT(Table2[[#This Row],[Enrollment_date]],"Mmm")</f>
        <v>Feb</v>
      </c>
      <c r="L1181" s="4" t="str">
        <f>TEXT(Table2[[#This Row],[Enrollment_date]],"Ddd")</f>
        <v>Sat</v>
      </c>
      <c r="M1181" s="4" t="s">
        <v>34</v>
      </c>
      <c r="N1181" t="s">
        <v>35</v>
      </c>
      <c r="O1181" t="s">
        <v>38</v>
      </c>
      <c r="P1181" s="8">
        <v>4</v>
      </c>
      <c r="Q1181" s="6">
        <v>0.75</v>
      </c>
      <c r="R1181" s="6">
        <v>63</v>
      </c>
      <c r="S1181" s="6" t="str">
        <f>IF(Table2[[#This Row],[Avg_score]]&gt;=79,"Distinction",IF(Table2[[#This Row],[Avg_score]]&gt;=60,"Pass","Fail"))</f>
        <v>Pass</v>
      </c>
      <c r="T1181" t="s">
        <v>40</v>
      </c>
      <c r="U1181">
        <f>IF(Table2[[#This Row],[Completed]]="Yes",1,0)</f>
        <v>0</v>
      </c>
      <c r="V1181" t="s">
        <v>40</v>
      </c>
      <c r="W1181" t="s">
        <v>40</v>
      </c>
      <c r="X1181" s="4">
        <v>45838</v>
      </c>
    </row>
    <row r="1182" spans="1:24" x14ac:dyDescent="0.3">
      <c r="A1182">
        <v>1181</v>
      </c>
      <c r="B1182" s="8">
        <v>394</v>
      </c>
      <c r="C1182">
        <v>2</v>
      </c>
      <c r="D1182" t="s">
        <v>21</v>
      </c>
      <c r="E1182" t="s">
        <v>22</v>
      </c>
      <c r="F1182">
        <v>32</v>
      </c>
      <c r="G1182" t="str">
        <f>IF(Table2[[#This Row],[Age]]&gt;=30,"Experienced",IF(Table2[[#This Row],[Age]]&gt;=25,"Mid Level", "Entry Level"))</f>
        <v>Experienced</v>
      </c>
      <c r="H1182" t="s">
        <v>29</v>
      </c>
      <c r="I1182" t="s">
        <v>44</v>
      </c>
      <c r="J1182" s="4">
        <v>45696</v>
      </c>
      <c r="K1182" s="4" t="str">
        <f>TEXT(Table2[[#This Row],[Enrollment_date]],"Mmm")</f>
        <v>Feb</v>
      </c>
      <c r="L1182" s="4" t="str">
        <f>TEXT(Table2[[#This Row],[Enrollment_date]],"Ddd")</f>
        <v>Sat</v>
      </c>
      <c r="M1182" s="4" t="s">
        <v>34</v>
      </c>
      <c r="N1182" t="s">
        <v>36</v>
      </c>
      <c r="O1182" t="s">
        <v>38</v>
      </c>
      <c r="P1182" s="8">
        <v>4</v>
      </c>
      <c r="Q1182" s="6">
        <v>0.85416666666666663</v>
      </c>
      <c r="R1182" s="6">
        <v>59</v>
      </c>
      <c r="S1182" s="6" t="str">
        <f>IF(Table2[[#This Row],[Avg_score]]&gt;=79,"Distinction",IF(Table2[[#This Row],[Avg_score]]&gt;=60,"Pass","Fail"))</f>
        <v>Fail</v>
      </c>
      <c r="T1182" t="s">
        <v>40</v>
      </c>
      <c r="U1182">
        <f>IF(Table2[[#This Row],[Completed]]="Yes",1,0)</f>
        <v>0</v>
      </c>
      <c r="V1182" t="s">
        <v>40</v>
      </c>
      <c r="W1182" t="s">
        <v>40</v>
      </c>
      <c r="X1182" s="4">
        <v>45838</v>
      </c>
    </row>
    <row r="1183" spans="1:24" x14ac:dyDescent="0.3">
      <c r="A1183">
        <v>1182</v>
      </c>
      <c r="B1183" s="8">
        <v>394</v>
      </c>
      <c r="C1183">
        <v>3</v>
      </c>
      <c r="D1183" t="s">
        <v>20</v>
      </c>
      <c r="E1183" t="s">
        <v>22</v>
      </c>
      <c r="F1183">
        <v>32</v>
      </c>
      <c r="G1183" t="str">
        <f>IF(Table2[[#This Row],[Age]]&gt;=30,"Experienced",IF(Table2[[#This Row],[Age]]&gt;=25,"Mid Level", "Entry Level"))</f>
        <v>Experienced</v>
      </c>
      <c r="H1183" t="s">
        <v>29</v>
      </c>
      <c r="I1183" t="s">
        <v>44</v>
      </c>
      <c r="J1183" s="4">
        <v>45696</v>
      </c>
      <c r="K1183" s="4" t="str">
        <f>TEXT(Table2[[#This Row],[Enrollment_date]],"Mmm")</f>
        <v>Feb</v>
      </c>
      <c r="L1183" s="4" t="str">
        <f>TEXT(Table2[[#This Row],[Enrollment_date]],"Ddd")</f>
        <v>Sat</v>
      </c>
      <c r="M1183" s="4" t="s">
        <v>34</v>
      </c>
      <c r="N1183" t="s">
        <v>37</v>
      </c>
      <c r="O1183" t="s">
        <v>38</v>
      </c>
      <c r="P1183" s="8">
        <v>4</v>
      </c>
      <c r="Q1183" s="6">
        <v>0.875</v>
      </c>
      <c r="R1183" s="6">
        <v>69.5</v>
      </c>
      <c r="S1183" s="6" t="str">
        <f>IF(Table2[[#This Row],[Avg_score]]&gt;=79,"Distinction",IF(Table2[[#This Row],[Avg_score]]&gt;=60,"Pass","Fail"))</f>
        <v>Pass</v>
      </c>
      <c r="T1183" t="s">
        <v>40</v>
      </c>
      <c r="U1183">
        <f>IF(Table2[[#This Row],[Completed]]="Yes",1,0)</f>
        <v>0</v>
      </c>
      <c r="V1183" t="s">
        <v>40</v>
      </c>
      <c r="W1183" t="s">
        <v>40</v>
      </c>
      <c r="X1183" s="4">
        <v>45838</v>
      </c>
    </row>
    <row r="1184" spans="1:24" x14ac:dyDescent="0.3">
      <c r="A1184">
        <v>1183</v>
      </c>
      <c r="B1184" s="8">
        <v>395</v>
      </c>
      <c r="C1184">
        <v>1</v>
      </c>
      <c r="D1184" t="s">
        <v>21</v>
      </c>
      <c r="E1184" t="s">
        <v>23</v>
      </c>
      <c r="F1184">
        <v>24</v>
      </c>
      <c r="G1184" t="str">
        <f>IF(Table2[[#This Row],[Age]]&gt;=30,"Experienced",IF(Table2[[#This Row],[Age]]&gt;=25,"Mid Level", "Entry Level"))</f>
        <v>Entry Level</v>
      </c>
      <c r="H1184" t="s">
        <v>27</v>
      </c>
      <c r="I1184" t="s">
        <v>44</v>
      </c>
      <c r="J1184" s="4">
        <v>45673</v>
      </c>
      <c r="K1184" s="4" t="str">
        <f>TEXT(Table2[[#This Row],[Enrollment_date]],"Mmm")</f>
        <v>Jan</v>
      </c>
      <c r="L1184" s="4" t="str">
        <f>TEXT(Table2[[#This Row],[Enrollment_date]],"Ddd")</f>
        <v>Thu</v>
      </c>
      <c r="M1184" s="4" t="s">
        <v>34</v>
      </c>
      <c r="N1184" t="s">
        <v>35</v>
      </c>
      <c r="O1184" t="s">
        <v>38</v>
      </c>
      <c r="P1184" s="8">
        <v>4</v>
      </c>
      <c r="Q1184" s="6">
        <v>0.89583333333333337</v>
      </c>
      <c r="R1184" s="6">
        <v>62.5</v>
      </c>
      <c r="S1184" s="6" t="str">
        <f>IF(Table2[[#This Row],[Avg_score]]&gt;=79,"Distinction",IF(Table2[[#This Row],[Avg_score]]&gt;=60,"Pass","Fail"))</f>
        <v>Pass</v>
      </c>
      <c r="T1184" t="s">
        <v>39</v>
      </c>
      <c r="U1184">
        <f>IF(Table2[[#This Row],[Completed]]="Yes",1,0)</f>
        <v>1</v>
      </c>
      <c r="V1184" t="s">
        <v>40</v>
      </c>
      <c r="W1184" t="s">
        <v>40</v>
      </c>
      <c r="X1184" s="4">
        <v>45838</v>
      </c>
    </row>
    <row r="1185" spans="1:24" x14ac:dyDescent="0.3">
      <c r="A1185">
        <v>1184</v>
      </c>
      <c r="B1185" s="8">
        <v>395</v>
      </c>
      <c r="C1185">
        <v>2</v>
      </c>
      <c r="D1185" t="s">
        <v>19</v>
      </c>
      <c r="E1185" t="s">
        <v>23</v>
      </c>
      <c r="F1185">
        <v>24</v>
      </c>
      <c r="G1185" t="str">
        <f>IF(Table2[[#This Row],[Age]]&gt;=30,"Experienced",IF(Table2[[#This Row],[Age]]&gt;=25,"Mid Level", "Entry Level"))</f>
        <v>Entry Level</v>
      </c>
      <c r="H1185" t="s">
        <v>27</v>
      </c>
      <c r="I1185" t="s">
        <v>44</v>
      </c>
      <c r="J1185" s="4">
        <v>45673</v>
      </c>
      <c r="K1185" s="4" t="str">
        <f>TEXT(Table2[[#This Row],[Enrollment_date]],"Mmm")</f>
        <v>Jan</v>
      </c>
      <c r="L1185" s="4" t="str">
        <f>TEXT(Table2[[#This Row],[Enrollment_date]],"Ddd")</f>
        <v>Thu</v>
      </c>
      <c r="M1185" s="4" t="s">
        <v>34</v>
      </c>
      <c r="N1185" t="s">
        <v>36</v>
      </c>
      <c r="O1185" t="s">
        <v>38</v>
      </c>
      <c r="P1185" s="8">
        <v>4</v>
      </c>
      <c r="Q1185" s="6">
        <v>0.79166666666666663</v>
      </c>
      <c r="R1185" s="6">
        <v>69.5</v>
      </c>
      <c r="S1185" s="6" t="str">
        <f>IF(Table2[[#This Row],[Avg_score]]&gt;=79,"Distinction",IF(Table2[[#This Row],[Avg_score]]&gt;=60,"Pass","Fail"))</f>
        <v>Pass</v>
      </c>
      <c r="T1185" t="s">
        <v>39</v>
      </c>
      <c r="U1185">
        <f>IF(Table2[[#This Row],[Completed]]="Yes",1,0)</f>
        <v>1</v>
      </c>
      <c r="V1185" t="s">
        <v>40</v>
      </c>
      <c r="W1185" t="s">
        <v>40</v>
      </c>
      <c r="X1185" s="4">
        <v>45838</v>
      </c>
    </row>
    <row r="1186" spans="1:24" x14ac:dyDescent="0.3">
      <c r="A1186">
        <v>1185</v>
      </c>
      <c r="B1186" s="8">
        <v>395</v>
      </c>
      <c r="C1186">
        <v>3</v>
      </c>
      <c r="D1186" t="s">
        <v>19</v>
      </c>
      <c r="E1186" t="s">
        <v>23</v>
      </c>
      <c r="F1186">
        <v>24</v>
      </c>
      <c r="G1186" t="str">
        <f>IF(Table2[[#This Row],[Age]]&gt;=30,"Experienced",IF(Table2[[#This Row],[Age]]&gt;=25,"Mid Level", "Entry Level"))</f>
        <v>Entry Level</v>
      </c>
      <c r="H1186" t="s">
        <v>27</v>
      </c>
      <c r="I1186" t="s">
        <v>44</v>
      </c>
      <c r="J1186" s="4">
        <v>45673</v>
      </c>
      <c r="K1186" s="4" t="str">
        <f>TEXT(Table2[[#This Row],[Enrollment_date]],"Mmm")</f>
        <v>Jan</v>
      </c>
      <c r="L1186" s="4" t="str">
        <f>TEXT(Table2[[#This Row],[Enrollment_date]],"Ddd")</f>
        <v>Thu</v>
      </c>
      <c r="M1186" s="4" t="s">
        <v>34</v>
      </c>
      <c r="N1186" t="s">
        <v>37</v>
      </c>
      <c r="O1186" t="s">
        <v>38</v>
      </c>
      <c r="P1186" s="8">
        <v>4</v>
      </c>
      <c r="Q1186" s="6">
        <v>0.875</v>
      </c>
      <c r="R1186" s="6">
        <v>69</v>
      </c>
      <c r="S1186" s="6" t="str">
        <f>IF(Table2[[#This Row],[Avg_score]]&gt;=79,"Distinction",IF(Table2[[#This Row],[Avg_score]]&gt;=60,"Pass","Fail"))</f>
        <v>Pass</v>
      </c>
      <c r="T1186" t="s">
        <v>39</v>
      </c>
      <c r="U1186">
        <f>IF(Table2[[#This Row],[Completed]]="Yes",1,0)</f>
        <v>1</v>
      </c>
      <c r="V1186" t="s">
        <v>40</v>
      </c>
      <c r="W1186" t="s">
        <v>40</v>
      </c>
      <c r="X1186" s="4">
        <v>45838</v>
      </c>
    </row>
    <row r="1187" spans="1:24" x14ac:dyDescent="0.3">
      <c r="A1187">
        <v>1186</v>
      </c>
      <c r="B1187" s="8">
        <v>396</v>
      </c>
      <c r="C1187">
        <v>1</v>
      </c>
      <c r="D1187" t="s">
        <v>19</v>
      </c>
      <c r="E1187" t="s">
        <v>22</v>
      </c>
      <c r="F1187">
        <v>34</v>
      </c>
      <c r="G1187" t="str">
        <f>IF(Table2[[#This Row],[Age]]&gt;=30,"Experienced",IF(Table2[[#This Row],[Age]]&gt;=25,"Mid Level", "Entry Level"))</f>
        <v>Experienced</v>
      </c>
      <c r="H1187" t="s">
        <v>28</v>
      </c>
      <c r="I1187" t="s">
        <v>30</v>
      </c>
      <c r="J1187" s="4">
        <v>45780</v>
      </c>
      <c r="K1187" s="4" t="str">
        <f>TEXT(Table2[[#This Row],[Enrollment_date]],"Mmm")</f>
        <v>May</v>
      </c>
      <c r="L1187" s="4" t="str">
        <f>TEXT(Table2[[#This Row],[Enrollment_date]],"Ddd")</f>
        <v>Sat</v>
      </c>
      <c r="M1187" s="4" t="s">
        <v>34</v>
      </c>
      <c r="N1187" t="s">
        <v>35</v>
      </c>
      <c r="O1187" t="s">
        <v>38</v>
      </c>
      <c r="P1187" s="8">
        <v>4</v>
      </c>
      <c r="Q1187" s="6">
        <v>0.875</v>
      </c>
      <c r="R1187" s="6">
        <v>66.5</v>
      </c>
      <c r="S1187" s="6" t="str">
        <f>IF(Table2[[#This Row],[Avg_score]]&gt;=79,"Distinction",IF(Table2[[#This Row],[Avg_score]]&gt;=60,"Pass","Fail"))</f>
        <v>Pass</v>
      </c>
      <c r="T1187" t="s">
        <v>39</v>
      </c>
      <c r="U1187">
        <f>IF(Table2[[#This Row],[Completed]]="Yes",1,0)</f>
        <v>1</v>
      </c>
      <c r="V1187" t="s">
        <v>39</v>
      </c>
      <c r="W1187" t="s">
        <v>40</v>
      </c>
      <c r="X1187" s="4">
        <v>45838</v>
      </c>
    </row>
    <row r="1188" spans="1:24" x14ac:dyDescent="0.3">
      <c r="A1188">
        <v>1187</v>
      </c>
      <c r="B1188" s="8">
        <v>396</v>
      </c>
      <c r="C1188">
        <v>2</v>
      </c>
      <c r="D1188" t="s">
        <v>19</v>
      </c>
      <c r="E1188" t="s">
        <v>22</v>
      </c>
      <c r="F1188">
        <v>34</v>
      </c>
      <c r="G1188" t="str">
        <f>IF(Table2[[#This Row],[Age]]&gt;=30,"Experienced",IF(Table2[[#This Row],[Age]]&gt;=25,"Mid Level", "Entry Level"))</f>
        <v>Experienced</v>
      </c>
      <c r="H1188" t="s">
        <v>28</v>
      </c>
      <c r="I1188" t="s">
        <v>30</v>
      </c>
      <c r="J1188" s="4">
        <v>45780</v>
      </c>
      <c r="K1188" s="4" t="str">
        <f>TEXT(Table2[[#This Row],[Enrollment_date]],"Mmm")</f>
        <v>May</v>
      </c>
      <c r="L1188" s="4" t="str">
        <f>TEXT(Table2[[#This Row],[Enrollment_date]],"Ddd")</f>
        <v>Sat</v>
      </c>
      <c r="M1188" s="4" t="s">
        <v>34</v>
      </c>
      <c r="N1188" t="s">
        <v>36</v>
      </c>
      <c r="O1188" t="s">
        <v>38</v>
      </c>
      <c r="P1188" s="8">
        <v>4</v>
      </c>
      <c r="Q1188" s="6">
        <v>0.79166666666666663</v>
      </c>
      <c r="R1188" s="6">
        <v>53.5</v>
      </c>
      <c r="S1188" s="6" t="str">
        <f>IF(Table2[[#This Row],[Avg_score]]&gt;=79,"Distinction",IF(Table2[[#This Row],[Avg_score]]&gt;=60,"Pass","Fail"))</f>
        <v>Fail</v>
      </c>
      <c r="T1188" t="s">
        <v>39</v>
      </c>
      <c r="U1188">
        <f>IF(Table2[[#This Row],[Completed]]="Yes",1,0)</f>
        <v>1</v>
      </c>
      <c r="V1188" t="s">
        <v>39</v>
      </c>
      <c r="W1188" t="s">
        <v>40</v>
      </c>
      <c r="X1188" s="4">
        <v>45838</v>
      </c>
    </row>
    <row r="1189" spans="1:24" x14ac:dyDescent="0.3">
      <c r="A1189">
        <v>1188</v>
      </c>
      <c r="B1189" s="8">
        <v>396</v>
      </c>
      <c r="C1189">
        <v>3</v>
      </c>
      <c r="D1189" t="s">
        <v>21</v>
      </c>
      <c r="E1189" t="s">
        <v>22</v>
      </c>
      <c r="F1189">
        <v>34</v>
      </c>
      <c r="G1189" t="str">
        <f>IF(Table2[[#This Row],[Age]]&gt;=30,"Experienced",IF(Table2[[#This Row],[Age]]&gt;=25,"Mid Level", "Entry Level"))</f>
        <v>Experienced</v>
      </c>
      <c r="H1189" t="s">
        <v>28</v>
      </c>
      <c r="I1189" t="s">
        <v>30</v>
      </c>
      <c r="J1189" s="4">
        <v>45780</v>
      </c>
      <c r="K1189" s="4" t="str">
        <f>TEXT(Table2[[#This Row],[Enrollment_date]],"Mmm")</f>
        <v>May</v>
      </c>
      <c r="L1189" s="4" t="str">
        <f>TEXT(Table2[[#This Row],[Enrollment_date]],"Ddd")</f>
        <v>Sat</v>
      </c>
      <c r="M1189" s="4" t="s">
        <v>34</v>
      </c>
      <c r="N1189" t="s">
        <v>37</v>
      </c>
      <c r="O1189" t="s">
        <v>38</v>
      </c>
      <c r="P1189" s="8">
        <v>4</v>
      </c>
      <c r="Q1189" s="6">
        <v>0.72916666666666663</v>
      </c>
      <c r="R1189" s="6">
        <v>79.5</v>
      </c>
      <c r="S1189" s="6" t="str">
        <f>IF(Table2[[#This Row],[Avg_score]]&gt;=79,"Distinction",IF(Table2[[#This Row],[Avg_score]]&gt;=60,"Pass","Fail"))</f>
        <v>Distinction</v>
      </c>
      <c r="T1189" t="s">
        <v>39</v>
      </c>
      <c r="U1189">
        <f>IF(Table2[[#This Row],[Completed]]="Yes",1,0)</f>
        <v>1</v>
      </c>
      <c r="V1189" t="s">
        <v>39</v>
      </c>
      <c r="W1189" t="s">
        <v>40</v>
      </c>
      <c r="X1189" s="4">
        <v>45838</v>
      </c>
    </row>
    <row r="1190" spans="1:24" x14ac:dyDescent="0.3">
      <c r="A1190">
        <v>1189</v>
      </c>
      <c r="B1190" s="8">
        <v>397</v>
      </c>
      <c r="C1190">
        <v>1</v>
      </c>
      <c r="D1190" t="s">
        <v>19</v>
      </c>
      <c r="E1190" t="s">
        <v>23</v>
      </c>
      <c r="F1190">
        <v>28</v>
      </c>
      <c r="G1190" t="str">
        <f>IF(Table2[[#This Row],[Age]]&gt;=30,"Experienced",IF(Table2[[#This Row],[Age]]&gt;=25,"Mid Level", "Entry Level"))</f>
        <v>Mid Level</v>
      </c>
      <c r="H1190" t="s">
        <v>28</v>
      </c>
      <c r="I1190" t="s">
        <v>44</v>
      </c>
      <c r="J1190" s="4">
        <v>45794</v>
      </c>
      <c r="K1190" s="4" t="str">
        <f>TEXT(Table2[[#This Row],[Enrollment_date]],"Mmm")</f>
        <v>May</v>
      </c>
      <c r="L1190" s="4" t="str">
        <f>TEXT(Table2[[#This Row],[Enrollment_date]],"Ddd")</f>
        <v>Sat</v>
      </c>
      <c r="M1190" s="4" t="s">
        <v>34</v>
      </c>
      <c r="N1190" t="s">
        <v>35</v>
      </c>
      <c r="O1190" t="s">
        <v>38</v>
      </c>
      <c r="P1190" s="8">
        <v>4</v>
      </c>
      <c r="Q1190" s="6">
        <v>0.75</v>
      </c>
      <c r="R1190" s="6">
        <v>63</v>
      </c>
      <c r="S1190" s="6" t="str">
        <f>IF(Table2[[#This Row],[Avg_score]]&gt;=79,"Distinction",IF(Table2[[#This Row],[Avg_score]]&gt;=60,"Pass","Fail"))</f>
        <v>Pass</v>
      </c>
      <c r="T1190" t="s">
        <v>39</v>
      </c>
      <c r="U1190">
        <f>IF(Table2[[#This Row],[Completed]]="Yes",1,0)</f>
        <v>1</v>
      </c>
      <c r="V1190" t="s">
        <v>40</v>
      </c>
      <c r="W1190" t="s">
        <v>39</v>
      </c>
      <c r="X1190" s="4">
        <v>45838</v>
      </c>
    </row>
    <row r="1191" spans="1:24" x14ac:dyDescent="0.3">
      <c r="A1191">
        <v>1190</v>
      </c>
      <c r="B1191" s="8">
        <v>397</v>
      </c>
      <c r="C1191">
        <v>2</v>
      </c>
      <c r="D1191" t="s">
        <v>21</v>
      </c>
      <c r="E1191" t="s">
        <v>23</v>
      </c>
      <c r="F1191">
        <v>28</v>
      </c>
      <c r="G1191" t="str">
        <f>IF(Table2[[#This Row],[Age]]&gt;=30,"Experienced",IF(Table2[[#This Row],[Age]]&gt;=25,"Mid Level", "Entry Level"))</f>
        <v>Mid Level</v>
      </c>
      <c r="H1191" t="s">
        <v>28</v>
      </c>
      <c r="I1191" t="s">
        <v>44</v>
      </c>
      <c r="J1191" s="4">
        <v>45794</v>
      </c>
      <c r="K1191" s="4" t="str">
        <f>TEXT(Table2[[#This Row],[Enrollment_date]],"Mmm")</f>
        <v>May</v>
      </c>
      <c r="L1191" s="4" t="str">
        <f>TEXT(Table2[[#This Row],[Enrollment_date]],"Ddd")</f>
        <v>Sat</v>
      </c>
      <c r="M1191" s="4" t="s">
        <v>34</v>
      </c>
      <c r="N1191" t="s">
        <v>36</v>
      </c>
      <c r="O1191" t="s">
        <v>38</v>
      </c>
      <c r="P1191" s="8">
        <v>4</v>
      </c>
      <c r="Q1191" s="6">
        <v>0.72916666666666663</v>
      </c>
      <c r="R1191" s="6">
        <v>77</v>
      </c>
      <c r="S1191" s="6" t="str">
        <f>IF(Table2[[#This Row],[Avg_score]]&gt;=79,"Distinction",IF(Table2[[#This Row],[Avg_score]]&gt;=60,"Pass","Fail"))</f>
        <v>Pass</v>
      </c>
      <c r="T1191" t="s">
        <v>39</v>
      </c>
      <c r="U1191">
        <f>IF(Table2[[#This Row],[Completed]]="Yes",1,0)</f>
        <v>1</v>
      </c>
      <c r="V1191" t="s">
        <v>40</v>
      </c>
      <c r="W1191" t="s">
        <v>39</v>
      </c>
      <c r="X1191" s="4">
        <v>45838</v>
      </c>
    </row>
    <row r="1192" spans="1:24" x14ac:dyDescent="0.3">
      <c r="A1192">
        <v>1191</v>
      </c>
      <c r="B1192" s="8">
        <v>397</v>
      </c>
      <c r="C1192">
        <v>3</v>
      </c>
      <c r="D1192" t="s">
        <v>20</v>
      </c>
      <c r="E1192" t="s">
        <v>23</v>
      </c>
      <c r="F1192">
        <v>28</v>
      </c>
      <c r="G1192" t="str">
        <f>IF(Table2[[#This Row],[Age]]&gt;=30,"Experienced",IF(Table2[[#This Row],[Age]]&gt;=25,"Mid Level", "Entry Level"))</f>
        <v>Mid Level</v>
      </c>
      <c r="H1192" t="s">
        <v>28</v>
      </c>
      <c r="I1192" t="s">
        <v>44</v>
      </c>
      <c r="J1192" s="4">
        <v>45794</v>
      </c>
      <c r="K1192" s="4" t="str">
        <f>TEXT(Table2[[#This Row],[Enrollment_date]],"Mmm")</f>
        <v>May</v>
      </c>
      <c r="L1192" s="4" t="str">
        <f>TEXT(Table2[[#This Row],[Enrollment_date]],"Ddd")</f>
        <v>Sat</v>
      </c>
      <c r="M1192" s="4" t="s">
        <v>34</v>
      </c>
      <c r="N1192" t="s">
        <v>37</v>
      </c>
      <c r="O1192" t="s">
        <v>38</v>
      </c>
      <c r="P1192" s="8">
        <v>4</v>
      </c>
      <c r="Q1192" s="6">
        <v>0.77083333333333337</v>
      </c>
      <c r="R1192" s="6">
        <v>53</v>
      </c>
      <c r="S1192" s="6" t="str">
        <f>IF(Table2[[#This Row],[Avg_score]]&gt;=79,"Distinction",IF(Table2[[#This Row],[Avg_score]]&gt;=60,"Pass","Fail"))</f>
        <v>Fail</v>
      </c>
      <c r="T1192" t="s">
        <v>39</v>
      </c>
      <c r="U1192">
        <f>IF(Table2[[#This Row],[Completed]]="Yes",1,0)</f>
        <v>1</v>
      </c>
      <c r="V1192" t="s">
        <v>40</v>
      </c>
      <c r="W1192" t="s">
        <v>39</v>
      </c>
      <c r="X1192" s="4">
        <v>45838</v>
      </c>
    </row>
    <row r="1193" spans="1:24" x14ac:dyDescent="0.3">
      <c r="A1193">
        <v>1192</v>
      </c>
      <c r="B1193" s="8">
        <v>398</v>
      </c>
      <c r="C1193">
        <v>1</v>
      </c>
      <c r="D1193" t="s">
        <v>20</v>
      </c>
      <c r="E1193" t="s">
        <v>23</v>
      </c>
      <c r="F1193">
        <v>35</v>
      </c>
      <c r="G1193" t="str">
        <f>IF(Table2[[#This Row],[Age]]&gt;=30,"Experienced",IF(Table2[[#This Row],[Age]]&gt;=25,"Mid Level", "Entry Level"))</f>
        <v>Experienced</v>
      </c>
      <c r="H1193" t="s">
        <v>29</v>
      </c>
      <c r="I1193" t="s">
        <v>30</v>
      </c>
      <c r="J1193" s="4">
        <v>45781</v>
      </c>
      <c r="K1193" s="4" t="str">
        <f>TEXT(Table2[[#This Row],[Enrollment_date]],"Mmm")</f>
        <v>May</v>
      </c>
      <c r="L1193" s="4" t="str">
        <f>TEXT(Table2[[#This Row],[Enrollment_date]],"Ddd")</f>
        <v>Sun</v>
      </c>
      <c r="M1193" s="4" t="s">
        <v>34</v>
      </c>
      <c r="N1193" t="s">
        <v>35</v>
      </c>
      <c r="O1193" t="s">
        <v>38</v>
      </c>
      <c r="P1193" s="8">
        <v>4</v>
      </c>
      <c r="Q1193" s="6">
        <v>0.85416666666666663</v>
      </c>
      <c r="R1193" s="6">
        <v>64.5</v>
      </c>
      <c r="S1193" s="6" t="str">
        <f>IF(Table2[[#This Row],[Avg_score]]&gt;=79,"Distinction",IF(Table2[[#This Row],[Avg_score]]&gt;=60,"Pass","Fail"))</f>
        <v>Pass</v>
      </c>
      <c r="T1193" t="s">
        <v>39</v>
      </c>
      <c r="U1193">
        <f>IF(Table2[[#This Row],[Completed]]="Yes",1,0)</f>
        <v>1</v>
      </c>
      <c r="V1193" t="s">
        <v>39</v>
      </c>
      <c r="W1193" t="s">
        <v>40</v>
      </c>
      <c r="X1193" s="4">
        <v>45838</v>
      </c>
    </row>
    <row r="1194" spans="1:24" x14ac:dyDescent="0.3">
      <c r="A1194">
        <v>1193</v>
      </c>
      <c r="B1194" s="8">
        <v>398</v>
      </c>
      <c r="C1194">
        <v>2</v>
      </c>
      <c r="D1194" t="s">
        <v>19</v>
      </c>
      <c r="E1194" t="s">
        <v>23</v>
      </c>
      <c r="F1194">
        <v>35</v>
      </c>
      <c r="G1194" t="str">
        <f>IF(Table2[[#This Row],[Age]]&gt;=30,"Experienced",IF(Table2[[#This Row],[Age]]&gt;=25,"Mid Level", "Entry Level"))</f>
        <v>Experienced</v>
      </c>
      <c r="H1194" t="s">
        <v>29</v>
      </c>
      <c r="I1194" t="s">
        <v>30</v>
      </c>
      <c r="J1194" s="4">
        <v>45781</v>
      </c>
      <c r="K1194" s="4" t="str">
        <f>TEXT(Table2[[#This Row],[Enrollment_date]],"Mmm")</f>
        <v>May</v>
      </c>
      <c r="L1194" s="4" t="str">
        <f>TEXT(Table2[[#This Row],[Enrollment_date]],"Ddd")</f>
        <v>Sun</v>
      </c>
      <c r="M1194" s="4" t="s">
        <v>34</v>
      </c>
      <c r="N1194" t="s">
        <v>36</v>
      </c>
      <c r="O1194" t="s">
        <v>38</v>
      </c>
      <c r="P1194" s="8">
        <v>4</v>
      </c>
      <c r="Q1194" s="6">
        <v>0.85416666666666663</v>
      </c>
      <c r="R1194" s="6">
        <v>81</v>
      </c>
      <c r="S1194" s="6" t="str">
        <f>IF(Table2[[#This Row],[Avg_score]]&gt;=79,"Distinction",IF(Table2[[#This Row],[Avg_score]]&gt;=60,"Pass","Fail"))</f>
        <v>Distinction</v>
      </c>
      <c r="T1194" t="s">
        <v>39</v>
      </c>
      <c r="U1194">
        <f>IF(Table2[[#This Row],[Completed]]="Yes",1,0)</f>
        <v>1</v>
      </c>
      <c r="V1194" t="s">
        <v>39</v>
      </c>
      <c r="W1194" t="s">
        <v>40</v>
      </c>
      <c r="X1194" s="4">
        <v>45838</v>
      </c>
    </row>
    <row r="1195" spans="1:24" x14ac:dyDescent="0.3">
      <c r="A1195">
        <v>1194</v>
      </c>
      <c r="B1195" s="8">
        <v>398</v>
      </c>
      <c r="C1195">
        <v>3</v>
      </c>
      <c r="D1195" t="s">
        <v>20</v>
      </c>
      <c r="E1195" t="s">
        <v>23</v>
      </c>
      <c r="F1195">
        <v>35</v>
      </c>
      <c r="G1195" t="str">
        <f>IF(Table2[[#This Row],[Age]]&gt;=30,"Experienced",IF(Table2[[#This Row],[Age]]&gt;=25,"Mid Level", "Entry Level"))</f>
        <v>Experienced</v>
      </c>
      <c r="H1195" t="s">
        <v>29</v>
      </c>
      <c r="I1195" t="s">
        <v>30</v>
      </c>
      <c r="J1195" s="4">
        <v>45781</v>
      </c>
      <c r="K1195" s="4" t="str">
        <f>TEXT(Table2[[#This Row],[Enrollment_date]],"Mmm")</f>
        <v>May</v>
      </c>
      <c r="L1195" s="4" t="str">
        <f>TEXT(Table2[[#This Row],[Enrollment_date]],"Ddd")</f>
        <v>Sun</v>
      </c>
      <c r="M1195" s="4" t="s">
        <v>34</v>
      </c>
      <c r="N1195" t="s">
        <v>37</v>
      </c>
      <c r="O1195" t="s">
        <v>38</v>
      </c>
      <c r="P1195" s="8">
        <v>4</v>
      </c>
      <c r="Q1195" s="6">
        <v>0.83333333333333337</v>
      </c>
      <c r="R1195" s="6">
        <v>72.5</v>
      </c>
      <c r="S1195" s="6" t="str">
        <f>IF(Table2[[#This Row],[Avg_score]]&gt;=79,"Distinction",IF(Table2[[#This Row],[Avg_score]]&gt;=60,"Pass","Fail"))</f>
        <v>Pass</v>
      </c>
      <c r="T1195" t="s">
        <v>39</v>
      </c>
      <c r="U1195">
        <f>IF(Table2[[#This Row],[Completed]]="Yes",1,0)</f>
        <v>1</v>
      </c>
      <c r="V1195" t="s">
        <v>39</v>
      </c>
      <c r="W1195" t="s">
        <v>40</v>
      </c>
      <c r="X1195" s="4">
        <v>45838</v>
      </c>
    </row>
    <row r="1196" spans="1:24" x14ac:dyDescent="0.3">
      <c r="A1196">
        <v>1195</v>
      </c>
      <c r="B1196" s="8">
        <v>399</v>
      </c>
      <c r="C1196">
        <v>1</v>
      </c>
      <c r="D1196" t="s">
        <v>20</v>
      </c>
      <c r="E1196" t="s">
        <v>22</v>
      </c>
      <c r="F1196">
        <v>25</v>
      </c>
      <c r="G1196" t="str">
        <f>IF(Table2[[#This Row],[Age]]&gt;=30,"Experienced",IF(Table2[[#This Row],[Age]]&gt;=25,"Mid Level", "Entry Level"))</f>
        <v>Mid Level</v>
      </c>
      <c r="H1196" t="s">
        <v>29</v>
      </c>
      <c r="I1196" t="s">
        <v>30</v>
      </c>
      <c r="J1196" s="4">
        <v>45715</v>
      </c>
      <c r="K1196" s="4" t="str">
        <f>TEXT(Table2[[#This Row],[Enrollment_date]],"Mmm")</f>
        <v>Feb</v>
      </c>
      <c r="L1196" s="4" t="str">
        <f>TEXT(Table2[[#This Row],[Enrollment_date]],"Ddd")</f>
        <v>Thu</v>
      </c>
      <c r="M1196" s="4" t="s">
        <v>34</v>
      </c>
      <c r="N1196" t="s">
        <v>35</v>
      </c>
      <c r="O1196" t="s">
        <v>38</v>
      </c>
      <c r="P1196" s="8">
        <v>4</v>
      </c>
      <c r="Q1196" s="6">
        <v>0.875</v>
      </c>
      <c r="R1196" s="6">
        <v>79</v>
      </c>
      <c r="S1196" s="6" t="str">
        <f>IF(Table2[[#This Row],[Avg_score]]&gt;=79,"Distinction",IF(Table2[[#This Row],[Avg_score]]&gt;=60,"Pass","Fail"))</f>
        <v>Distinction</v>
      </c>
      <c r="T1196" t="s">
        <v>40</v>
      </c>
      <c r="U1196">
        <f>IF(Table2[[#This Row],[Completed]]="Yes",1,0)</f>
        <v>0</v>
      </c>
      <c r="V1196" t="s">
        <v>40</v>
      </c>
      <c r="W1196" t="s">
        <v>40</v>
      </c>
      <c r="X1196" s="4">
        <v>45838</v>
      </c>
    </row>
    <row r="1197" spans="1:24" x14ac:dyDescent="0.3">
      <c r="A1197">
        <v>1196</v>
      </c>
      <c r="B1197" s="8">
        <v>399</v>
      </c>
      <c r="C1197">
        <v>2</v>
      </c>
      <c r="D1197" t="s">
        <v>19</v>
      </c>
      <c r="E1197" t="s">
        <v>22</v>
      </c>
      <c r="F1197">
        <v>25</v>
      </c>
      <c r="G1197" t="str">
        <f>IF(Table2[[#This Row],[Age]]&gt;=30,"Experienced",IF(Table2[[#This Row],[Age]]&gt;=25,"Mid Level", "Entry Level"))</f>
        <v>Mid Level</v>
      </c>
      <c r="H1197" t="s">
        <v>29</v>
      </c>
      <c r="I1197" t="s">
        <v>30</v>
      </c>
      <c r="J1197" s="4">
        <v>45715</v>
      </c>
      <c r="K1197" s="4" t="str">
        <f>TEXT(Table2[[#This Row],[Enrollment_date]],"Mmm")</f>
        <v>Feb</v>
      </c>
      <c r="L1197" s="4" t="str">
        <f>TEXT(Table2[[#This Row],[Enrollment_date]],"Ddd")</f>
        <v>Thu</v>
      </c>
      <c r="M1197" s="4" t="s">
        <v>34</v>
      </c>
      <c r="N1197" t="s">
        <v>36</v>
      </c>
      <c r="O1197" t="s">
        <v>38</v>
      </c>
      <c r="P1197" s="8">
        <v>4</v>
      </c>
      <c r="Q1197" s="6">
        <v>0.89583333333333337</v>
      </c>
      <c r="R1197" s="6">
        <v>77.5</v>
      </c>
      <c r="S1197" s="6" t="str">
        <f>IF(Table2[[#This Row],[Avg_score]]&gt;=79,"Distinction",IF(Table2[[#This Row],[Avg_score]]&gt;=60,"Pass","Fail"))</f>
        <v>Pass</v>
      </c>
      <c r="T1197" t="s">
        <v>40</v>
      </c>
      <c r="U1197">
        <f>IF(Table2[[#This Row],[Completed]]="Yes",1,0)</f>
        <v>0</v>
      </c>
      <c r="V1197" t="s">
        <v>40</v>
      </c>
      <c r="W1197" t="s">
        <v>40</v>
      </c>
      <c r="X1197" s="4">
        <v>45838</v>
      </c>
    </row>
    <row r="1198" spans="1:24" x14ac:dyDescent="0.3">
      <c r="A1198">
        <v>1197</v>
      </c>
      <c r="B1198" s="8">
        <v>399</v>
      </c>
      <c r="C1198">
        <v>3</v>
      </c>
      <c r="D1198" t="s">
        <v>19</v>
      </c>
      <c r="E1198" t="s">
        <v>22</v>
      </c>
      <c r="F1198">
        <v>25</v>
      </c>
      <c r="G1198" t="str">
        <f>IF(Table2[[#This Row],[Age]]&gt;=30,"Experienced",IF(Table2[[#This Row],[Age]]&gt;=25,"Mid Level", "Entry Level"))</f>
        <v>Mid Level</v>
      </c>
      <c r="H1198" t="s">
        <v>29</v>
      </c>
      <c r="I1198" t="s">
        <v>30</v>
      </c>
      <c r="J1198" s="4">
        <v>45715</v>
      </c>
      <c r="K1198" s="4" t="str">
        <f>TEXT(Table2[[#This Row],[Enrollment_date]],"Mmm")</f>
        <v>Feb</v>
      </c>
      <c r="L1198" s="4" t="str">
        <f>TEXT(Table2[[#This Row],[Enrollment_date]],"Ddd")</f>
        <v>Thu</v>
      </c>
      <c r="M1198" s="4" t="s">
        <v>34</v>
      </c>
      <c r="N1198" t="s">
        <v>37</v>
      </c>
      <c r="O1198" t="s">
        <v>38</v>
      </c>
      <c r="P1198" s="8">
        <v>4</v>
      </c>
      <c r="Q1198" s="6">
        <v>0.85416666666666663</v>
      </c>
      <c r="R1198" s="6">
        <v>65</v>
      </c>
      <c r="S1198" s="6" t="str">
        <f>IF(Table2[[#This Row],[Avg_score]]&gt;=79,"Distinction",IF(Table2[[#This Row],[Avg_score]]&gt;=60,"Pass","Fail"))</f>
        <v>Pass</v>
      </c>
      <c r="T1198" t="s">
        <v>40</v>
      </c>
      <c r="U1198">
        <f>IF(Table2[[#This Row],[Completed]]="Yes",1,0)</f>
        <v>0</v>
      </c>
      <c r="V1198" t="s">
        <v>40</v>
      </c>
      <c r="W1198" t="s">
        <v>40</v>
      </c>
      <c r="X1198" s="4">
        <v>45838</v>
      </c>
    </row>
    <row r="1199" spans="1:24" x14ac:dyDescent="0.3">
      <c r="A1199">
        <v>1198</v>
      </c>
      <c r="B1199" s="8">
        <v>400</v>
      </c>
      <c r="C1199">
        <v>1</v>
      </c>
      <c r="D1199" t="s">
        <v>20</v>
      </c>
      <c r="E1199" t="s">
        <v>23</v>
      </c>
      <c r="F1199">
        <v>27</v>
      </c>
      <c r="G1199" t="str">
        <f>IF(Table2[[#This Row],[Age]]&gt;=30,"Experienced",IF(Table2[[#This Row],[Age]]&gt;=25,"Mid Level", "Entry Level"))</f>
        <v>Mid Level</v>
      </c>
      <c r="H1199" t="s">
        <v>24</v>
      </c>
      <c r="I1199" t="s">
        <v>32</v>
      </c>
      <c r="J1199" s="4">
        <v>45783</v>
      </c>
      <c r="K1199" s="4" t="str">
        <f>TEXT(Table2[[#This Row],[Enrollment_date]],"Mmm")</f>
        <v>May</v>
      </c>
      <c r="L1199" s="4" t="str">
        <f>TEXT(Table2[[#This Row],[Enrollment_date]],"Ddd")</f>
        <v>Tue</v>
      </c>
      <c r="M1199" s="4" t="s">
        <v>34</v>
      </c>
      <c r="N1199" t="s">
        <v>35</v>
      </c>
      <c r="O1199" t="s">
        <v>38</v>
      </c>
      <c r="P1199" s="8">
        <v>4</v>
      </c>
      <c r="Q1199" s="6">
        <v>0.8125</v>
      </c>
      <c r="R1199" s="6">
        <v>89</v>
      </c>
      <c r="S1199" s="6" t="str">
        <f>IF(Table2[[#This Row],[Avg_score]]&gt;=79,"Distinction",IF(Table2[[#This Row],[Avg_score]]&gt;=60,"Pass","Fail"))</f>
        <v>Distinction</v>
      </c>
      <c r="T1199" t="s">
        <v>39</v>
      </c>
      <c r="U1199">
        <f>IF(Table2[[#This Row],[Completed]]="Yes",1,0)</f>
        <v>1</v>
      </c>
      <c r="V1199" t="s">
        <v>39</v>
      </c>
      <c r="W1199" t="s">
        <v>40</v>
      </c>
      <c r="X1199" s="4">
        <v>45838</v>
      </c>
    </row>
    <row r="1200" spans="1:24" x14ac:dyDescent="0.3">
      <c r="A1200">
        <v>1199</v>
      </c>
      <c r="B1200" s="8">
        <v>400</v>
      </c>
      <c r="C1200">
        <v>2</v>
      </c>
      <c r="D1200" t="s">
        <v>20</v>
      </c>
      <c r="E1200" t="s">
        <v>23</v>
      </c>
      <c r="F1200">
        <v>27</v>
      </c>
      <c r="G1200" t="str">
        <f>IF(Table2[[#This Row],[Age]]&gt;=30,"Experienced",IF(Table2[[#This Row],[Age]]&gt;=25,"Mid Level", "Entry Level"))</f>
        <v>Mid Level</v>
      </c>
      <c r="H1200" t="s">
        <v>24</v>
      </c>
      <c r="I1200" t="s">
        <v>32</v>
      </c>
      <c r="J1200" s="4">
        <v>45783</v>
      </c>
      <c r="K1200" s="4" t="str">
        <f>TEXT(Table2[[#This Row],[Enrollment_date]],"Mmm")</f>
        <v>May</v>
      </c>
      <c r="L1200" s="4" t="str">
        <f>TEXT(Table2[[#This Row],[Enrollment_date]],"Ddd")</f>
        <v>Tue</v>
      </c>
      <c r="M1200" s="4" t="s">
        <v>34</v>
      </c>
      <c r="N1200" t="s">
        <v>36</v>
      </c>
      <c r="O1200" t="s">
        <v>38</v>
      </c>
      <c r="P1200" s="8">
        <v>4</v>
      </c>
      <c r="Q1200" s="6">
        <v>0.8125</v>
      </c>
      <c r="R1200" s="6">
        <v>94.5</v>
      </c>
      <c r="S1200" s="6" t="str">
        <f>IF(Table2[[#This Row],[Avg_score]]&gt;=79,"Distinction",IF(Table2[[#This Row],[Avg_score]]&gt;=60,"Pass","Fail"))</f>
        <v>Distinction</v>
      </c>
      <c r="T1200" t="s">
        <v>39</v>
      </c>
      <c r="U1200">
        <f>IF(Table2[[#This Row],[Completed]]="Yes",1,0)</f>
        <v>1</v>
      </c>
      <c r="V1200" t="s">
        <v>39</v>
      </c>
      <c r="W1200" t="s">
        <v>40</v>
      </c>
      <c r="X1200" s="4">
        <v>45838</v>
      </c>
    </row>
    <row r="1201" spans="1:24" x14ac:dyDescent="0.3">
      <c r="A1201">
        <v>1200</v>
      </c>
      <c r="B1201" s="8">
        <v>400</v>
      </c>
      <c r="C1201">
        <v>3</v>
      </c>
      <c r="D1201" t="s">
        <v>19</v>
      </c>
      <c r="E1201" t="s">
        <v>23</v>
      </c>
      <c r="F1201">
        <v>27</v>
      </c>
      <c r="G1201" t="str">
        <f>IF(Table2[[#This Row],[Age]]&gt;=30,"Experienced",IF(Table2[[#This Row],[Age]]&gt;=25,"Mid Level", "Entry Level"))</f>
        <v>Mid Level</v>
      </c>
      <c r="H1201" t="s">
        <v>24</v>
      </c>
      <c r="I1201" t="s">
        <v>32</v>
      </c>
      <c r="J1201" s="4">
        <v>45783</v>
      </c>
      <c r="K1201" s="4" t="str">
        <f>TEXT(Table2[[#This Row],[Enrollment_date]],"Mmm")</f>
        <v>May</v>
      </c>
      <c r="L1201" s="4" t="str">
        <f>TEXT(Table2[[#This Row],[Enrollment_date]],"Ddd")</f>
        <v>Tue</v>
      </c>
      <c r="M1201" s="4" t="s">
        <v>34</v>
      </c>
      <c r="N1201" t="s">
        <v>37</v>
      </c>
      <c r="O1201" t="s">
        <v>38</v>
      </c>
      <c r="P1201" s="8">
        <v>4</v>
      </c>
      <c r="Q1201" s="6">
        <v>0.83333333333333337</v>
      </c>
      <c r="R1201" s="6">
        <v>53.5</v>
      </c>
      <c r="S1201" s="6" t="str">
        <f>IF(Table2[[#This Row],[Avg_score]]&gt;=79,"Distinction",IF(Table2[[#This Row],[Avg_score]]&gt;=60,"Pass","Fail"))</f>
        <v>Fail</v>
      </c>
      <c r="T1201" t="s">
        <v>39</v>
      </c>
      <c r="U1201">
        <f>IF(Table2[[#This Row],[Completed]]="Yes",1,0)</f>
        <v>1</v>
      </c>
      <c r="V1201" t="s">
        <v>39</v>
      </c>
      <c r="W1201" t="s">
        <v>40</v>
      </c>
      <c r="X1201" s="4">
        <v>45838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1B1A0-BF2F-43E4-9F8B-9ECD50FDE7FD}">
  <dimension ref="A2:K53"/>
  <sheetViews>
    <sheetView topLeftCell="A3" zoomScale="70" zoomScaleNormal="70" workbookViewId="0">
      <selection activeCell="E13" sqref="E13"/>
    </sheetView>
  </sheetViews>
  <sheetFormatPr defaultRowHeight="14.4" x14ac:dyDescent="0.3"/>
  <cols>
    <col min="1" max="1" width="40.33203125" bestFit="1" customWidth="1"/>
    <col min="2" max="2" width="19.44140625" bestFit="1" customWidth="1"/>
    <col min="3" max="3" width="25" bestFit="1" customWidth="1"/>
    <col min="4" max="4" width="29.77734375" bestFit="1" customWidth="1"/>
    <col min="5" max="5" width="18.21875" bestFit="1" customWidth="1"/>
    <col min="6" max="6" width="12.5546875" bestFit="1" customWidth="1"/>
    <col min="7" max="7" width="33.109375" bestFit="1" customWidth="1"/>
    <col min="8" max="9" width="15.5546875" bestFit="1" customWidth="1"/>
    <col min="10" max="11" width="10.77734375" bestFit="1" customWidth="1"/>
    <col min="12" max="12" width="5.77734375" bestFit="1" customWidth="1"/>
    <col min="13" max="13" width="4" bestFit="1" customWidth="1"/>
    <col min="14" max="14" width="8.44140625" bestFit="1" customWidth="1"/>
    <col min="15" max="15" width="10.77734375" bestFit="1" customWidth="1"/>
    <col min="16" max="16" width="4" bestFit="1" customWidth="1"/>
    <col min="17" max="18" width="8.44140625" bestFit="1" customWidth="1"/>
    <col min="19" max="19" width="10.77734375" bestFit="1" customWidth="1"/>
  </cols>
  <sheetData>
    <row r="2" spans="1:8" x14ac:dyDescent="0.3">
      <c r="A2" s="10" t="s">
        <v>74</v>
      </c>
      <c r="C2" s="10" t="s">
        <v>79</v>
      </c>
    </row>
    <row r="3" spans="1:8" ht="20.399999999999999" x14ac:dyDescent="0.45">
      <c r="A3" t="s">
        <v>73</v>
      </c>
      <c r="C3" s="20">
        <f>COUNT(_xlfn.UNIQUE('Cleaned Data'!B2:B1201))</f>
        <v>400</v>
      </c>
    </row>
    <row r="4" spans="1:8" x14ac:dyDescent="0.3">
      <c r="A4">
        <v>1200</v>
      </c>
    </row>
    <row r="6" spans="1:8" x14ac:dyDescent="0.3">
      <c r="A6" s="10" t="s">
        <v>75</v>
      </c>
      <c r="C6" s="10" t="s">
        <v>77</v>
      </c>
      <c r="E6" s="10" t="s">
        <v>80</v>
      </c>
    </row>
    <row r="7" spans="1:8" x14ac:dyDescent="0.3">
      <c r="A7" t="s">
        <v>76</v>
      </c>
      <c r="C7" t="s">
        <v>78</v>
      </c>
      <c r="E7" s="11" t="s">
        <v>81</v>
      </c>
      <c r="F7" t="s">
        <v>76</v>
      </c>
    </row>
    <row r="8" spans="1:8" ht="20.399999999999999" x14ac:dyDescent="0.45">
      <c r="A8" s="21">
        <v>0.83071180555555646</v>
      </c>
      <c r="C8" s="22">
        <v>71.563749999999999</v>
      </c>
      <c r="E8" s="13" t="s">
        <v>37</v>
      </c>
      <c r="F8" s="14">
        <v>0.83213541666666657</v>
      </c>
    </row>
    <row r="9" spans="1:8" x14ac:dyDescent="0.3">
      <c r="E9" s="13" t="s">
        <v>35</v>
      </c>
      <c r="F9" s="14">
        <v>0.83177083333333302</v>
      </c>
    </row>
    <row r="10" spans="1:8" x14ac:dyDescent="0.3">
      <c r="A10" s="10" t="s">
        <v>83</v>
      </c>
      <c r="E10" s="13" t="s">
        <v>36</v>
      </c>
      <c r="F10" s="14">
        <v>0.82822916666666646</v>
      </c>
    </row>
    <row r="11" spans="1:8" x14ac:dyDescent="0.3">
      <c r="A11" s="12" t="s">
        <v>84</v>
      </c>
      <c r="C11" s="10" t="s">
        <v>85</v>
      </c>
      <c r="E11" s="13" t="s">
        <v>82</v>
      </c>
      <c r="F11" s="14">
        <v>0.83071180555555579</v>
      </c>
    </row>
    <row r="12" spans="1:8" x14ac:dyDescent="0.3">
      <c r="A12" s="12">
        <v>0.74</v>
      </c>
      <c r="C12" s="11" t="s">
        <v>81</v>
      </c>
      <c r="D12" t="s">
        <v>78</v>
      </c>
    </row>
    <row r="13" spans="1:8" x14ac:dyDescent="0.3">
      <c r="C13" s="13" t="s">
        <v>36</v>
      </c>
      <c r="D13" s="6">
        <v>71.846249999999998</v>
      </c>
    </row>
    <row r="14" spans="1:8" x14ac:dyDescent="0.3">
      <c r="C14" s="13" t="s">
        <v>37</v>
      </c>
      <c r="D14" s="6">
        <v>71.594999999999999</v>
      </c>
      <c r="F14" s="10" t="s">
        <v>86</v>
      </c>
    </row>
    <row r="15" spans="1:8" x14ac:dyDescent="0.3">
      <c r="C15" s="13" t="s">
        <v>35</v>
      </c>
      <c r="D15" s="6">
        <v>71.25</v>
      </c>
      <c r="F15" s="11" t="s">
        <v>81</v>
      </c>
      <c r="G15" t="s">
        <v>87</v>
      </c>
      <c r="H15" s="32" t="s">
        <v>102</v>
      </c>
    </row>
    <row r="16" spans="1:8" x14ac:dyDescent="0.3">
      <c r="C16" s="13" t="s">
        <v>82</v>
      </c>
      <c r="D16" s="6">
        <v>71.563749999999999</v>
      </c>
      <c r="F16" s="13" t="s">
        <v>27</v>
      </c>
      <c r="G16">
        <v>228</v>
      </c>
      <c r="H16" s="16">
        <f>GETPIVOTDATA("Completed_flag",$F$15,"Location","Benin")/GETPIVOTDATA("Completed_flag",$F$15)</f>
        <v>0.19</v>
      </c>
    </row>
    <row r="17" spans="1:9" x14ac:dyDescent="0.3">
      <c r="F17" s="13" t="s">
        <v>25</v>
      </c>
      <c r="G17">
        <v>225</v>
      </c>
      <c r="H17" s="16">
        <f>GETPIVOTDATA("Completed_flag",$F$15,"Location","Lagos")/GETPIVOTDATA("Completed_flag",$F$15)</f>
        <v>0.1875</v>
      </c>
    </row>
    <row r="18" spans="1:9" x14ac:dyDescent="0.3">
      <c r="F18" s="13" t="s">
        <v>24</v>
      </c>
      <c r="G18">
        <v>192</v>
      </c>
      <c r="H18" s="16">
        <f>GETPIVOTDATA("Completed_flag",$F$15,"Location","Abeokuta")/GETPIVOTDATA("Completed_flag",$F$15)</f>
        <v>0.16</v>
      </c>
    </row>
    <row r="19" spans="1:9" x14ac:dyDescent="0.3">
      <c r="A19" s="10" t="s">
        <v>89</v>
      </c>
      <c r="F19" s="13" t="s">
        <v>26</v>
      </c>
      <c r="G19">
        <v>189</v>
      </c>
      <c r="H19" s="16">
        <f>GETPIVOTDATA("Completed_flag",$F$15,"Location","Ilorin")/GETPIVOTDATA("Completed_flag",$F$15)</f>
        <v>0.1575</v>
      </c>
    </row>
    <row r="20" spans="1:9" x14ac:dyDescent="0.3">
      <c r="A20" s="11" t="s">
        <v>81</v>
      </c>
      <c r="B20" t="s">
        <v>78</v>
      </c>
      <c r="C20" t="s">
        <v>76</v>
      </c>
      <c r="F20" s="13" t="s">
        <v>28</v>
      </c>
      <c r="G20">
        <v>183</v>
      </c>
      <c r="H20" s="16">
        <f>GETPIVOTDATA("Completed_flag",$F$15,"Location","Abuja")/GETPIVOTDATA("Completed_flag",$F$15)</f>
        <v>0.1525</v>
      </c>
    </row>
    <row r="21" spans="1:9" x14ac:dyDescent="0.3">
      <c r="A21" s="13" t="s">
        <v>35</v>
      </c>
      <c r="B21" s="6">
        <v>71.25</v>
      </c>
      <c r="C21" s="12">
        <v>0.83177083333333302</v>
      </c>
      <c r="F21" s="13" t="s">
        <v>29</v>
      </c>
      <c r="G21">
        <v>183</v>
      </c>
      <c r="H21" s="16">
        <f>GETPIVOTDATA("Completed_flag",$F$15,"Location","Ibadan")/GETPIVOTDATA("Completed_flag",$F$15)</f>
        <v>0.1525</v>
      </c>
    </row>
    <row r="22" spans="1:9" x14ac:dyDescent="0.3">
      <c r="A22" s="13" t="s">
        <v>37</v>
      </c>
      <c r="B22" s="6">
        <v>71.594999999999999</v>
      </c>
      <c r="C22" s="12">
        <v>0.83213541666666657</v>
      </c>
      <c r="F22" s="13" t="s">
        <v>82</v>
      </c>
      <c r="G22">
        <v>1200</v>
      </c>
      <c r="H22" s="12">
        <f>SUM(H16:H21)</f>
        <v>0.99999999999999989</v>
      </c>
    </row>
    <row r="23" spans="1:9" x14ac:dyDescent="0.3">
      <c r="A23" s="13" t="s">
        <v>36</v>
      </c>
      <c r="B23" s="6">
        <v>71.846249999999998</v>
      </c>
      <c r="C23" s="12">
        <v>0.82822916666666646</v>
      </c>
      <c r="H23" s="32"/>
    </row>
    <row r="24" spans="1:9" x14ac:dyDescent="0.3">
      <c r="A24" s="13" t="s">
        <v>82</v>
      </c>
      <c r="B24" s="6">
        <v>71.563749999999999</v>
      </c>
      <c r="C24" s="12">
        <v>0.83071180555555579</v>
      </c>
    </row>
    <row r="25" spans="1:9" x14ac:dyDescent="0.3">
      <c r="C25" s="14"/>
    </row>
    <row r="27" spans="1:9" x14ac:dyDescent="0.3">
      <c r="A27" s="10" t="s">
        <v>90</v>
      </c>
      <c r="D27" s="10" t="s">
        <v>92</v>
      </c>
      <c r="G27" s="10" t="s">
        <v>96</v>
      </c>
    </row>
    <row r="28" spans="1:9" x14ac:dyDescent="0.3">
      <c r="A28" s="11" t="s">
        <v>81</v>
      </c>
      <c r="B28" t="s">
        <v>91</v>
      </c>
      <c r="C28" s="29" t="s">
        <v>102</v>
      </c>
      <c r="D28" s="11" t="s">
        <v>81</v>
      </c>
      <c r="E28" t="s">
        <v>91</v>
      </c>
      <c r="F28" s="23" t="s">
        <v>102</v>
      </c>
      <c r="G28" s="11" t="s">
        <v>81</v>
      </c>
      <c r="H28" t="s">
        <v>91</v>
      </c>
    </row>
    <row r="29" spans="1:9" x14ac:dyDescent="0.3">
      <c r="A29" s="13" t="s">
        <v>30</v>
      </c>
      <c r="B29">
        <v>327</v>
      </c>
      <c r="C29" s="26">
        <f>GETPIVOTDATA("Student_id",$A$28,"Education_level","HND")/GETPIVOTDATA("Student_id",$A$28)</f>
        <v>0.27250000000000002</v>
      </c>
      <c r="D29" s="13" t="s">
        <v>23</v>
      </c>
      <c r="E29">
        <v>594</v>
      </c>
      <c r="F29" s="26">
        <f>GETPIVOTDATA("Student_id",$D$28,"Gender","Female")/GETPIVOTDATA("Student_id",$D$28)</f>
        <v>0.495</v>
      </c>
      <c r="G29" s="13" t="s">
        <v>99</v>
      </c>
      <c r="H29">
        <v>668</v>
      </c>
      <c r="I29" s="12">
        <f>GETPIVOTDATA("Student_id",$G$28,"Assessment grade","Pass")/GETPIVOTDATA("Student_id",$G$28)</f>
        <v>0.55666666666666664</v>
      </c>
    </row>
    <row r="30" spans="1:9" x14ac:dyDescent="0.3">
      <c r="A30" s="13" t="s">
        <v>32</v>
      </c>
      <c r="B30">
        <v>294</v>
      </c>
      <c r="C30" s="26">
        <f>GETPIVOTDATA("Student_id",$A$28,"Education_level","OND")/GETPIVOTDATA("Student_id",$A$28)</f>
        <v>0.245</v>
      </c>
      <c r="D30" s="13" t="s">
        <v>22</v>
      </c>
      <c r="E30">
        <v>606</v>
      </c>
      <c r="F30" s="26">
        <f>GETPIVOTDATA("Student_id",$D$28,"Gender","Male")/GETPIVOTDATA("Student_id",$D$28)</f>
        <v>0.505</v>
      </c>
      <c r="G30" s="13" t="s">
        <v>97</v>
      </c>
      <c r="H30">
        <v>331</v>
      </c>
      <c r="I30" s="12">
        <f>GETPIVOTDATA("Student_id",$G$28,"Assessment grade","Distinction")/GETPIVOTDATA("Student_id",$G$28)</f>
        <v>0.27583333333333332</v>
      </c>
    </row>
    <row r="31" spans="1:9" x14ac:dyDescent="0.3">
      <c r="A31" s="13" t="s">
        <v>44</v>
      </c>
      <c r="B31">
        <v>294</v>
      </c>
      <c r="C31" s="26">
        <f>GETPIVOTDATA("Student_id",$A$28,"Education_level","BSC")/GETPIVOTDATA("Student_id",$A$28)</f>
        <v>0.245</v>
      </c>
      <c r="D31" s="13" t="s">
        <v>82</v>
      </c>
      <c r="E31">
        <v>1200</v>
      </c>
      <c r="G31" s="13" t="s">
        <v>98</v>
      </c>
      <c r="H31">
        <v>201</v>
      </c>
      <c r="I31" s="12">
        <f>GETPIVOTDATA("Student_id",$G$28,"Assessment grade","Fail")/GETPIVOTDATA("Student_id",$G$28)</f>
        <v>0.16750000000000001</v>
      </c>
    </row>
    <row r="32" spans="1:9" x14ac:dyDescent="0.3">
      <c r="A32" s="13" t="s">
        <v>68</v>
      </c>
      <c r="B32">
        <v>285</v>
      </c>
      <c r="C32" s="26">
        <f>GETPIVOTDATA("Student_id",$A$28,"Education_level","SECONDARY")/GETPIVOTDATA("Student_id",$A$28)</f>
        <v>0.23749999999999999</v>
      </c>
      <c r="G32" s="13" t="s">
        <v>82</v>
      </c>
      <c r="H32">
        <v>1200</v>
      </c>
      <c r="I32" s="12">
        <f>SUM(I29:I31)</f>
        <v>1</v>
      </c>
    </row>
    <row r="33" spans="1:11" x14ac:dyDescent="0.3">
      <c r="A33" s="13" t="s">
        <v>82</v>
      </c>
      <c r="B33">
        <v>1200</v>
      </c>
      <c r="D33" s="31" t="s">
        <v>155</v>
      </c>
    </row>
    <row r="34" spans="1:11" x14ac:dyDescent="0.3">
      <c r="D34" s="11" t="s">
        <v>81</v>
      </c>
      <c r="E34" s="8" t="s">
        <v>91</v>
      </c>
      <c r="F34" s="30" t="s">
        <v>102</v>
      </c>
    </row>
    <row r="35" spans="1:11" x14ac:dyDescent="0.3">
      <c r="D35" s="13" t="s">
        <v>93</v>
      </c>
      <c r="E35" s="8">
        <v>438</v>
      </c>
      <c r="F35" s="16">
        <f>GETPIVOTDATA("Student_id",$D$34,"Age_group","Entry Level")/GETPIVOTDATA("Student_id",$D$34)</f>
        <v>0.36499999999999999</v>
      </c>
    </row>
    <row r="36" spans="1:11" x14ac:dyDescent="0.3">
      <c r="D36" s="13" t="s">
        <v>94</v>
      </c>
      <c r="E36" s="8">
        <v>408</v>
      </c>
      <c r="F36" s="16">
        <f>GETPIVOTDATA("Student_id",$D$34,"Age_group","Experienced")/GETPIVOTDATA("Student_id",$D$34)</f>
        <v>0.34</v>
      </c>
    </row>
    <row r="37" spans="1:11" x14ac:dyDescent="0.3">
      <c r="D37" s="13" t="s">
        <v>95</v>
      </c>
      <c r="E37" s="8">
        <v>354</v>
      </c>
      <c r="F37" s="16">
        <f>GETPIVOTDATA("Student_id",$D$34,"Age_group","Mid Level")/GETPIVOTDATA("Student_id",$D$34)</f>
        <v>0.29499999999999998</v>
      </c>
    </row>
    <row r="38" spans="1:11" x14ac:dyDescent="0.3">
      <c r="D38" s="13" t="s">
        <v>82</v>
      </c>
      <c r="E38" s="8">
        <v>1200</v>
      </c>
      <c r="F38" s="16">
        <f>SUM(F35:F37)</f>
        <v>1</v>
      </c>
      <c r="G38" s="10" t="s">
        <v>150</v>
      </c>
    </row>
    <row r="39" spans="1:11" x14ac:dyDescent="0.3">
      <c r="G39" s="11" t="s">
        <v>91</v>
      </c>
      <c r="H39" s="11" t="s">
        <v>149</v>
      </c>
    </row>
    <row r="40" spans="1:11" x14ac:dyDescent="0.3">
      <c r="G40" s="11" t="s">
        <v>81</v>
      </c>
      <c r="H40" t="s">
        <v>21</v>
      </c>
      <c r="I40" t="s">
        <v>19</v>
      </c>
      <c r="J40" t="s">
        <v>20</v>
      </c>
      <c r="K40" t="s">
        <v>82</v>
      </c>
    </row>
    <row r="41" spans="1:11" x14ac:dyDescent="0.3">
      <c r="G41" s="13" t="s">
        <v>23</v>
      </c>
      <c r="H41">
        <v>118</v>
      </c>
      <c r="I41">
        <v>395</v>
      </c>
      <c r="J41">
        <v>81</v>
      </c>
      <c r="K41">
        <v>594</v>
      </c>
    </row>
    <row r="42" spans="1:11" x14ac:dyDescent="0.3">
      <c r="A42" s="10" t="s">
        <v>83</v>
      </c>
      <c r="G42" s="13" t="s">
        <v>22</v>
      </c>
      <c r="H42">
        <v>124</v>
      </c>
      <c r="I42">
        <v>409</v>
      </c>
      <c r="J42">
        <v>73</v>
      </c>
      <c r="K42">
        <v>606</v>
      </c>
    </row>
    <row r="43" spans="1:11" x14ac:dyDescent="0.3">
      <c r="A43" s="15" t="s">
        <v>81</v>
      </c>
      <c r="B43" s="12" t="s">
        <v>101</v>
      </c>
      <c r="C43" s="17" t="s">
        <v>102</v>
      </c>
      <c r="G43" s="13" t="s">
        <v>82</v>
      </c>
      <c r="H43">
        <v>242</v>
      </c>
      <c r="I43">
        <v>804</v>
      </c>
      <c r="J43">
        <v>154</v>
      </c>
      <c r="K43">
        <v>1200</v>
      </c>
    </row>
    <row r="44" spans="1:11" x14ac:dyDescent="0.3">
      <c r="A44" s="13" t="s">
        <v>39</v>
      </c>
      <c r="B44" s="8">
        <v>888</v>
      </c>
      <c r="C44" s="16">
        <f>GETPIVOTDATA("Completed",$A$43,"Completed","No")/GETPIVOTDATA("Completed",$A$43)</f>
        <v>0.26</v>
      </c>
    </row>
    <row r="45" spans="1:11" x14ac:dyDescent="0.3">
      <c r="A45" s="13" t="s">
        <v>40</v>
      </c>
      <c r="B45" s="8">
        <v>312</v>
      </c>
      <c r="C45" s="16">
        <f>GETPIVOTDATA("Completed",$A$43,"Completed","Yes")/GETPIVOTDATA("Completed",$A$43)</f>
        <v>0.74</v>
      </c>
    </row>
    <row r="46" spans="1:11" x14ac:dyDescent="0.3">
      <c r="A46" s="13" t="s">
        <v>82</v>
      </c>
      <c r="B46" s="8">
        <v>1200</v>
      </c>
      <c r="C46" s="18">
        <f>SUM(C44:C45)</f>
        <v>1</v>
      </c>
    </row>
    <row r="47" spans="1:11" x14ac:dyDescent="0.3">
      <c r="B47" s="8"/>
    </row>
    <row r="50" spans="3:5" x14ac:dyDescent="0.3">
      <c r="C50" s="9" t="s">
        <v>81</v>
      </c>
      <c r="D50" s="9" t="s">
        <v>78</v>
      </c>
      <c r="E50" s="9" t="s">
        <v>76</v>
      </c>
    </row>
    <row r="51" spans="3:5" x14ac:dyDescent="0.3">
      <c r="C51" s="13" t="s">
        <v>35</v>
      </c>
      <c r="D51" s="6">
        <v>71.25</v>
      </c>
      <c r="E51" s="26">
        <v>0.83177083333333302</v>
      </c>
    </row>
    <row r="52" spans="3:5" x14ac:dyDescent="0.3">
      <c r="C52" s="13" t="s">
        <v>37</v>
      </c>
      <c r="D52" s="6">
        <v>71.594999999999999</v>
      </c>
      <c r="E52" s="26">
        <v>0.83213541666666657</v>
      </c>
    </row>
    <row r="53" spans="3:5" x14ac:dyDescent="0.3">
      <c r="C53" s="13" t="s">
        <v>36</v>
      </c>
      <c r="D53" s="6">
        <v>71.846249999999998</v>
      </c>
      <c r="E53" s="26">
        <v>0.82822916666666646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C0E9A-9A36-45C8-AE91-D6E0BFE68628}">
  <dimension ref="B2:L137"/>
  <sheetViews>
    <sheetView showGridLines="0" showRowColHeaders="0" tabSelected="1" topLeftCell="C68" zoomScale="85" zoomScaleNormal="85" workbookViewId="0">
      <selection activeCell="K83" sqref="K83"/>
    </sheetView>
  </sheetViews>
  <sheetFormatPr defaultRowHeight="14.4" x14ac:dyDescent="0.3"/>
  <cols>
    <col min="2" max="2" width="14.88671875" bestFit="1" customWidth="1"/>
  </cols>
  <sheetData>
    <row r="2" spans="2:6" ht="24.6" x14ac:dyDescent="0.55000000000000004">
      <c r="F2" s="24" t="s">
        <v>103</v>
      </c>
    </row>
    <row r="3" spans="2:6" ht="18" x14ac:dyDescent="0.35">
      <c r="B3" s="19" t="s">
        <v>105</v>
      </c>
    </row>
    <row r="5" spans="2:6" x14ac:dyDescent="0.3">
      <c r="C5" t="s">
        <v>104</v>
      </c>
    </row>
    <row r="8" spans="2:6" ht="15.6" x14ac:dyDescent="0.3">
      <c r="C8" t="s">
        <v>106</v>
      </c>
    </row>
    <row r="9" spans="2:6" x14ac:dyDescent="0.3">
      <c r="C9" t="s">
        <v>113</v>
      </c>
    </row>
    <row r="10" spans="2:6" x14ac:dyDescent="0.3">
      <c r="D10">
        <v>1</v>
      </c>
      <c r="E10" t="s">
        <v>114</v>
      </c>
    </row>
    <row r="11" spans="2:6" x14ac:dyDescent="0.3">
      <c r="D11">
        <v>2</v>
      </c>
      <c r="E11" t="s">
        <v>115</v>
      </c>
    </row>
    <row r="12" spans="2:6" x14ac:dyDescent="0.3">
      <c r="D12">
        <v>3</v>
      </c>
      <c r="E12" t="s">
        <v>116</v>
      </c>
    </row>
    <row r="13" spans="2:6" x14ac:dyDescent="0.3">
      <c r="D13">
        <v>4</v>
      </c>
      <c r="E13" t="s">
        <v>117</v>
      </c>
    </row>
    <row r="15" spans="2:6" ht="15.6" x14ac:dyDescent="0.3">
      <c r="C15" s="25" t="s">
        <v>107</v>
      </c>
    </row>
    <row r="16" spans="2:6" x14ac:dyDescent="0.3">
      <c r="C16" t="s">
        <v>118</v>
      </c>
    </row>
    <row r="17" spans="3:5" x14ac:dyDescent="0.3">
      <c r="D17" t="s">
        <v>108</v>
      </c>
      <c r="E17" t="s">
        <v>109</v>
      </c>
    </row>
    <row r="18" spans="3:5" x14ac:dyDescent="0.3">
      <c r="D18" t="s">
        <v>108</v>
      </c>
      <c r="E18" t="s">
        <v>110</v>
      </c>
    </row>
    <row r="19" spans="3:5" x14ac:dyDescent="0.3">
      <c r="D19" t="s">
        <v>108</v>
      </c>
      <c r="E19" t="s">
        <v>111</v>
      </c>
    </row>
    <row r="20" spans="3:5" x14ac:dyDescent="0.3">
      <c r="D20" t="s">
        <v>108</v>
      </c>
      <c r="E20" t="s">
        <v>112</v>
      </c>
    </row>
    <row r="22" spans="3:5" ht="15.6" x14ac:dyDescent="0.3">
      <c r="C22" s="25" t="s">
        <v>121</v>
      </c>
    </row>
    <row r="23" spans="3:5" ht="15.6" x14ac:dyDescent="0.3">
      <c r="C23" s="25"/>
    </row>
    <row r="25" spans="3:5" ht="15.6" x14ac:dyDescent="0.3">
      <c r="C25" s="25" t="s">
        <v>124</v>
      </c>
    </row>
    <row r="28" spans="3:5" ht="18" x14ac:dyDescent="0.35">
      <c r="C28" s="28" t="s">
        <v>119</v>
      </c>
    </row>
    <row r="31" spans="3:5" ht="15.6" x14ac:dyDescent="0.3">
      <c r="C31" s="25" t="s">
        <v>125</v>
      </c>
    </row>
    <row r="32" spans="3:5" x14ac:dyDescent="0.3">
      <c r="C32" t="s">
        <v>126</v>
      </c>
    </row>
    <row r="33" spans="3:10" x14ac:dyDescent="0.3">
      <c r="C33" t="s">
        <v>127</v>
      </c>
    </row>
    <row r="34" spans="3:10" x14ac:dyDescent="0.3">
      <c r="C34" t="s">
        <v>128</v>
      </c>
    </row>
    <row r="35" spans="3:10" x14ac:dyDescent="0.3">
      <c r="C35" t="s">
        <v>129</v>
      </c>
    </row>
    <row r="36" spans="3:10" x14ac:dyDescent="0.3">
      <c r="C36" t="s">
        <v>130</v>
      </c>
    </row>
    <row r="39" spans="3:10" ht="15.6" x14ac:dyDescent="0.3">
      <c r="D39" s="27" t="s">
        <v>120</v>
      </c>
    </row>
    <row r="44" spans="3:10" x14ac:dyDescent="0.3">
      <c r="J44" t="s">
        <v>122</v>
      </c>
    </row>
    <row r="45" spans="3:10" x14ac:dyDescent="0.3">
      <c r="J45" t="s">
        <v>123</v>
      </c>
    </row>
    <row r="57" spans="10:11" x14ac:dyDescent="0.3">
      <c r="K57" t="s">
        <v>131</v>
      </c>
    </row>
    <row r="58" spans="10:11" x14ac:dyDescent="0.3">
      <c r="J58" t="s">
        <v>132</v>
      </c>
    </row>
    <row r="74" spans="11:11" x14ac:dyDescent="0.3">
      <c r="K74" t="s">
        <v>133</v>
      </c>
    </row>
    <row r="76" spans="11:11" x14ac:dyDescent="0.3">
      <c r="K76" t="s">
        <v>134</v>
      </c>
    </row>
    <row r="78" spans="11:11" x14ac:dyDescent="0.3">
      <c r="K78" t="s">
        <v>135</v>
      </c>
    </row>
    <row r="80" spans="11:11" x14ac:dyDescent="0.3">
      <c r="K80" t="s">
        <v>136</v>
      </c>
    </row>
    <row r="81" spans="11:12" x14ac:dyDescent="0.3">
      <c r="K81" t="s">
        <v>137</v>
      </c>
    </row>
    <row r="82" spans="11:12" x14ac:dyDescent="0.3">
      <c r="K82" t="s">
        <v>138</v>
      </c>
    </row>
    <row r="83" spans="11:12" x14ac:dyDescent="0.3">
      <c r="K83" t="s">
        <v>139</v>
      </c>
    </row>
    <row r="92" spans="11:12" x14ac:dyDescent="0.3">
      <c r="L92" t="s">
        <v>140</v>
      </c>
    </row>
    <row r="93" spans="11:12" x14ac:dyDescent="0.3">
      <c r="L93" t="s">
        <v>141</v>
      </c>
    </row>
    <row r="95" spans="11:12" x14ac:dyDescent="0.3">
      <c r="L95" t="s">
        <v>142</v>
      </c>
    </row>
    <row r="96" spans="11:12" x14ac:dyDescent="0.3">
      <c r="L96" t="s">
        <v>143</v>
      </c>
    </row>
    <row r="111" spans="12:12" x14ac:dyDescent="0.3">
      <c r="L111" t="s">
        <v>144</v>
      </c>
    </row>
    <row r="112" spans="12:12" x14ac:dyDescent="0.3">
      <c r="L112" t="s">
        <v>145</v>
      </c>
    </row>
    <row r="113" spans="5:12" x14ac:dyDescent="0.3">
      <c r="L113" t="s">
        <v>146</v>
      </c>
    </row>
    <row r="114" spans="5:12" x14ac:dyDescent="0.3">
      <c r="L114" t="s">
        <v>147</v>
      </c>
    </row>
    <row r="127" spans="5:12" ht="15.6" x14ac:dyDescent="0.3">
      <c r="E127" s="25" t="s">
        <v>148</v>
      </c>
    </row>
    <row r="130" spans="5:5" x14ac:dyDescent="0.3">
      <c r="E130" t="s">
        <v>151</v>
      </c>
    </row>
    <row r="133" spans="5:5" ht="20.399999999999999" x14ac:dyDescent="0.45">
      <c r="E133" s="20" t="s">
        <v>152</v>
      </c>
    </row>
    <row r="135" spans="5:5" x14ac:dyDescent="0.3">
      <c r="E135" t="s">
        <v>153</v>
      </c>
    </row>
    <row r="137" spans="5:5" x14ac:dyDescent="0.3">
      <c r="E137" t="s">
        <v>154</v>
      </c>
    </row>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B9854-8700-49EF-81BB-9A386EE2B0BC}">
  <dimension ref="C3:AD17"/>
  <sheetViews>
    <sheetView topLeftCell="B14" zoomScale="89" zoomScaleNormal="89" workbookViewId="0">
      <selection activeCell="J60" sqref="J60"/>
    </sheetView>
  </sheetViews>
  <sheetFormatPr defaultRowHeight="14.4" x14ac:dyDescent="0.3"/>
  <sheetData>
    <row r="3" spans="3:3" x14ac:dyDescent="0.3">
      <c r="C3" t="s">
        <v>100</v>
      </c>
    </row>
    <row r="17" spans="30:30" ht="18" x14ac:dyDescent="0.35">
      <c r="AD17"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06"/>
  <sheetViews>
    <sheetView topLeftCell="A1193" workbookViewId="0">
      <selection activeCell="C24" sqref="C24"/>
    </sheetView>
  </sheetViews>
  <sheetFormatPr defaultRowHeight="14.4" x14ac:dyDescent="0.3"/>
  <cols>
    <col min="1" max="1" width="13.88671875" bestFit="1" customWidth="1"/>
    <col min="2" max="2" width="10.5546875" bestFit="1" customWidth="1"/>
    <col min="3" max="3" width="11.109375" bestFit="1" customWidth="1"/>
    <col min="4" max="4" width="17.5546875" bestFit="1" customWidth="1"/>
    <col min="5" max="5" width="7.5546875" bestFit="1" customWidth="1"/>
    <col min="6" max="6" width="4.109375" bestFit="1" customWidth="1"/>
    <col min="7" max="7" width="9.5546875" bestFit="1" customWidth="1"/>
    <col min="8" max="8" width="9.5546875" customWidth="1"/>
    <col min="9" max="9" width="15.44140625" bestFit="1" customWidth="1"/>
    <col min="10" max="10" width="18.33203125" bestFit="1" customWidth="1"/>
    <col min="11" max="11" width="12.33203125" bestFit="1" customWidth="1"/>
    <col min="12" max="12" width="14.5546875" bestFit="1" customWidth="1"/>
    <col min="13" max="13" width="9" bestFit="1" customWidth="1"/>
    <col min="14" max="14" width="15.44140625" bestFit="1" customWidth="1"/>
    <col min="15" max="15" width="15.6640625" bestFit="1" customWidth="1"/>
    <col min="16" max="16" width="9.6640625" bestFit="1" customWidth="1"/>
    <col min="17" max="17" width="10.5546875" bestFit="1" customWidth="1"/>
    <col min="18" max="18" width="16.6640625" bestFit="1" customWidth="1"/>
    <col min="19" max="19" width="16.6640625" customWidth="1"/>
    <col min="20" max="20" width="17.33203125" bestFit="1" customWidth="1"/>
    <col min="21" max="21" width="18.33203125" bestFit="1" customWidth="1"/>
  </cols>
  <sheetData>
    <row r="1" spans="1:21" x14ac:dyDescent="0.3">
      <c r="A1" s="2" t="s">
        <v>0</v>
      </c>
      <c r="B1" s="2" t="s">
        <v>1</v>
      </c>
      <c r="C1" s="2" t="s">
        <v>2</v>
      </c>
      <c r="D1" s="2" t="s">
        <v>3</v>
      </c>
      <c r="E1" s="2" t="s">
        <v>4</v>
      </c>
      <c r="F1" s="2" t="s">
        <v>5</v>
      </c>
      <c r="G1" s="2" t="s">
        <v>6</v>
      </c>
      <c r="H1" s="2"/>
      <c r="I1" s="2" t="s">
        <v>7</v>
      </c>
      <c r="J1" s="2" t="s">
        <v>8</v>
      </c>
      <c r="K1" s="2" t="s">
        <v>9</v>
      </c>
      <c r="L1" s="2" t="s">
        <v>10</v>
      </c>
      <c r="M1" s="2" t="s">
        <v>11</v>
      </c>
      <c r="N1" s="2" t="s">
        <v>12</v>
      </c>
      <c r="O1" s="2" t="s">
        <v>13</v>
      </c>
      <c r="P1" s="2" t="s">
        <v>14</v>
      </c>
      <c r="Q1" s="2" t="s">
        <v>15</v>
      </c>
      <c r="R1" s="2" t="s">
        <v>16</v>
      </c>
      <c r="S1" s="2"/>
      <c r="T1" s="2" t="s">
        <v>17</v>
      </c>
      <c r="U1" s="2" t="s">
        <v>18</v>
      </c>
    </row>
    <row r="2" spans="1:21" x14ac:dyDescent="0.3">
      <c r="A2">
        <v>1</v>
      </c>
      <c r="B2">
        <v>1</v>
      </c>
      <c r="C2">
        <v>1</v>
      </c>
      <c r="D2" t="s">
        <v>15</v>
      </c>
      <c r="E2" t="s">
        <v>48</v>
      </c>
      <c r="F2">
        <v>18</v>
      </c>
      <c r="G2" t="s">
        <v>24</v>
      </c>
      <c r="I2" t="s">
        <v>30</v>
      </c>
      <c r="J2" s="1">
        <v>45720</v>
      </c>
      <c r="K2" t="s">
        <v>34</v>
      </c>
      <c r="L2" t="s">
        <v>35</v>
      </c>
      <c r="M2" t="s">
        <v>38</v>
      </c>
      <c r="N2">
        <v>4</v>
      </c>
      <c r="O2">
        <v>0.79166666666666663</v>
      </c>
      <c r="P2">
        <v>58.5</v>
      </c>
      <c r="Q2" t="s">
        <v>39</v>
      </c>
      <c r="R2" t="s">
        <v>40</v>
      </c>
      <c r="T2" t="s">
        <v>40</v>
      </c>
      <c r="U2" s="1">
        <v>45838</v>
      </c>
    </row>
    <row r="3" spans="1:21" x14ac:dyDescent="0.3">
      <c r="A3">
        <v>2</v>
      </c>
      <c r="B3">
        <v>1</v>
      </c>
      <c r="C3">
        <v>2</v>
      </c>
      <c r="D3" t="s">
        <v>19</v>
      </c>
      <c r="E3" t="s">
        <v>22</v>
      </c>
      <c r="F3">
        <v>18</v>
      </c>
      <c r="G3" t="s">
        <v>45</v>
      </c>
      <c r="I3" t="s">
        <v>41</v>
      </c>
      <c r="J3" s="1">
        <v>45720</v>
      </c>
      <c r="K3" t="s">
        <v>34</v>
      </c>
      <c r="L3" t="s">
        <v>36</v>
      </c>
      <c r="M3" t="s">
        <v>38</v>
      </c>
      <c r="N3">
        <v>4</v>
      </c>
      <c r="O3">
        <v>0.89583333333333337</v>
      </c>
      <c r="P3">
        <v>62</v>
      </c>
      <c r="Q3" t="s">
        <v>39</v>
      </c>
      <c r="R3" t="s">
        <v>40</v>
      </c>
      <c r="T3" t="s">
        <v>40</v>
      </c>
      <c r="U3" s="1">
        <v>45838</v>
      </c>
    </row>
    <row r="4" spans="1:21" x14ac:dyDescent="0.3">
      <c r="A4">
        <v>3</v>
      </c>
      <c r="B4">
        <v>1</v>
      </c>
      <c r="C4">
        <v>3</v>
      </c>
      <c r="D4" t="s">
        <v>20</v>
      </c>
      <c r="E4" t="s">
        <v>22</v>
      </c>
      <c r="F4">
        <v>18</v>
      </c>
      <c r="G4" t="s">
        <v>24</v>
      </c>
      <c r="I4" t="s">
        <v>30</v>
      </c>
      <c r="J4" s="1">
        <v>45720</v>
      </c>
      <c r="K4" t="s">
        <v>34</v>
      </c>
      <c r="L4" t="s">
        <v>37</v>
      </c>
      <c r="M4" t="s">
        <v>38</v>
      </c>
      <c r="N4">
        <v>4</v>
      </c>
      <c r="O4">
        <v>0.70833333333333337</v>
      </c>
      <c r="P4">
        <v>64</v>
      </c>
      <c r="Q4" t="s">
        <v>39</v>
      </c>
      <c r="R4" t="s">
        <v>40</v>
      </c>
      <c r="T4" t="s">
        <v>40</v>
      </c>
      <c r="U4" s="1">
        <v>45838</v>
      </c>
    </row>
    <row r="5" spans="1:21" x14ac:dyDescent="0.3">
      <c r="A5">
        <v>4</v>
      </c>
      <c r="B5">
        <v>2</v>
      </c>
      <c r="C5">
        <v>1</v>
      </c>
      <c r="D5" t="s">
        <v>47</v>
      </c>
      <c r="E5" t="s">
        <v>48</v>
      </c>
      <c r="F5">
        <v>22</v>
      </c>
      <c r="G5" t="s">
        <v>24</v>
      </c>
      <c r="I5" t="s">
        <v>31</v>
      </c>
      <c r="J5" s="1">
        <v>45797</v>
      </c>
      <c r="K5" t="s">
        <v>34</v>
      </c>
      <c r="L5" t="s">
        <v>35</v>
      </c>
      <c r="M5" t="s">
        <v>38</v>
      </c>
      <c r="N5">
        <v>4</v>
      </c>
      <c r="O5">
        <v>0.83333333333333337</v>
      </c>
      <c r="P5">
        <v>70.5</v>
      </c>
      <c r="Q5" t="s">
        <v>39</v>
      </c>
      <c r="R5" t="s">
        <v>39</v>
      </c>
      <c r="T5" t="s">
        <v>39</v>
      </c>
      <c r="U5" s="1">
        <v>45838</v>
      </c>
    </row>
    <row r="6" spans="1:21" x14ac:dyDescent="0.3">
      <c r="A6">
        <v>5</v>
      </c>
      <c r="B6">
        <v>2</v>
      </c>
      <c r="C6">
        <v>2</v>
      </c>
      <c r="D6" t="s">
        <v>19</v>
      </c>
      <c r="E6" t="s">
        <v>22</v>
      </c>
      <c r="F6">
        <v>22</v>
      </c>
      <c r="G6" t="s">
        <v>24</v>
      </c>
      <c r="I6" t="s">
        <v>42</v>
      </c>
      <c r="J6" s="1">
        <v>45797</v>
      </c>
      <c r="K6" t="s">
        <v>34</v>
      </c>
      <c r="L6" t="s">
        <v>36</v>
      </c>
      <c r="M6" t="s">
        <v>38</v>
      </c>
      <c r="N6">
        <v>4</v>
      </c>
      <c r="O6">
        <v>0.79166666666666663</v>
      </c>
      <c r="P6">
        <v>86</v>
      </c>
      <c r="Q6" t="s">
        <v>39</v>
      </c>
      <c r="R6" t="s">
        <v>39</v>
      </c>
      <c r="T6" t="s">
        <v>39</v>
      </c>
      <c r="U6" s="1">
        <v>45838</v>
      </c>
    </row>
    <row r="7" spans="1:21" x14ac:dyDescent="0.3">
      <c r="A7">
        <v>6</v>
      </c>
      <c r="B7">
        <v>2</v>
      </c>
      <c r="C7">
        <v>3</v>
      </c>
      <c r="D7" t="s">
        <v>19</v>
      </c>
      <c r="E7" t="s">
        <v>22</v>
      </c>
      <c r="F7">
        <v>22</v>
      </c>
      <c r="G7" t="s">
        <v>45</v>
      </c>
      <c r="I7" t="s">
        <v>31</v>
      </c>
      <c r="J7" s="1">
        <v>45797</v>
      </c>
      <c r="K7" t="s">
        <v>34</v>
      </c>
      <c r="L7" t="s">
        <v>37</v>
      </c>
      <c r="M7" t="s">
        <v>38</v>
      </c>
      <c r="N7">
        <v>4</v>
      </c>
      <c r="O7">
        <v>0.85416666666666663</v>
      </c>
      <c r="P7">
        <v>66</v>
      </c>
      <c r="Q7" t="s">
        <v>39</v>
      </c>
      <c r="R7" t="s">
        <v>39</v>
      </c>
      <c r="T7" t="s">
        <v>39</v>
      </c>
      <c r="U7" s="1">
        <v>45838</v>
      </c>
    </row>
    <row r="8" spans="1:21" x14ac:dyDescent="0.3">
      <c r="J8" s="1"/>
      <c r="U8" s="1"/>
    </row>
    <row r="9" spans="1:21" x14ac:dyDescent="0.3">
      <c r="A9">
        <v>7</v>
      </c>
      <c r="B9">
        <v>3</v>
      </c>
      <c r="C9">
        <v>1</v>
      </c>
      <c r="D9" t="s">
        <v>19</v>
      </c>
      <c r="E9" t="s">
        <v>22</v>
      </c>
      <c r="F9">
        <v>31</v>
      </c>
      <c r="G9" t="s">
        <v>25</v>
      </c>
      <c r="I9" t="s">
        <v>31</v>
      </c>
      <c r="J9" s="1">
        <v>45681</v>
      </c>
      <c r="K9" t="s">
        <v>34</v>
      </c>
      <c r="L9" t="s">
        <v>35</v>
      </c>
      <c r="M9" t="s">
        <v>38</v>
      </c>
      <c r="N9">
        <v>4</v>
      </c>
      <c r="O9">
        <v>0.77083333333333337</v>
      </c>
      <c r="P9">
        <v>75.5</v>
      </c>
      <c r="Q9" t="s">
        <v>40</v>
      </c>
      <c r="R9" t="s">
        <v>40</v>
      </c>
      <c r="T9" t="s">
        <v>40</v>
      </c>
      <c r="U9" s="1">
        <v>45838</v>
      </c>
    </row>
    <row r="10" spans="1:21" x14ac:dyDescent="0.3">
      <c r="A10">
        <v>8</v>
      </c>
      <c r="B10">
        <v>3</v>
      </c>
      <c r="C10">
        <v>2</v>
      </c>
      <c r="D10" t="s">
        <v>19</v>
      </c>
      <c r="E10" t="s">
        <v>22</v>
      </c>
      <c r="F10">
        <v>31</v>
      </c>
      <c r="G10" t="s">
        <v>25</v>
      </c>
      <c r="I10" t="s">
        <v>31</v>
      </c>
      <c r="J10" s="1">
        <v>45681</v>
      </c>
      <c r="K10" t="s">
        <v>34</v>
      </c>
      <c r="L10" t="s">
        <v>36</v>
      </c>
      <c r="M10" t="s">
        <v>38</v>
      </c>
      <c r="N10">
        <v>4</v>
      </c>
      <c r="O10">
        <v>0.85416666666666663</v>
      </c>
      <c r="P10">
        <v>73</v>
      </c>
      <c r="Q10" t="s">
        <v>40</v>
      </c>
      <c r="R10" t="s">
        <v>40</v>
      </c>
      <c r="T10" t="s">
        <v>40</v>
      </c>
      <c r="U10" s="1">
        <v>45838</v>
      </c>
    </row>
    <row r="11" spans="1:21" x14ac:dyDescent="0.3">
      <c r="A11">
        <v>9</v>
      </c>
      <c r="B11">
        <v>3</v>
      </c>
      <c r="C11">
        <v>3</v>
      </c>
      <c r="D11" t="s">
        <v>20</v>
      </c>
      <c r="E11" t="s">
        <v>22</v>
      </c>
      <c r="F11">
        <v>31</v>
      </c>
      <c r="G11" t="s">
        <v>25</v>
      </c>
      <c r="I11" t="s">
        <v>31</v>
      </c>
      <c r="J11" s="1">
        <v>45681</v>
      </c>
      <c r="K11" t="s">
        <v>34</v>
      </c>
      <c r="L11" t="s">
        <v>37</v>
      </c>
      <c r="M11" t="s">
        <v>38</v>
      </c>
      <c r="N11">
        <v>4</v>
      </c>
      <c r="O11">
        <v>0.9375</v>
      </c>
      <c r="P11">
        <v>79.5</v>
      </c>
      <c r="Q11" t="s">
        <v>40</v>
      </c>
      <c r="R11" t="s">
        <v>40</v>
      </c>
      <c r="T11" t="s">
        <v>40</v>
      </c>
      <c r="U11" s="1">
        <v>45838</v>
      </c>
    </row>
    <row r="12" spans="1:21" x14ac:dyDescent="0.3">
      <c r="A12">
        <v>10</v>
      </c>
      <c r="B12">
        <v>4</v>
      </c>
      <c r="C12">
        <v>1</v>
      </c>
      <c r="D12" t="s">
        <v>21</v>
      </c>
      <c r="E12" t="s">
        <v>22</v>
      </c>
      <c r="F12">
        <v>25</v>
      </c>
      <c r="G12" t="s">
        <v>26</v>
      </c>
      <c r="I12" t="s">
        <v>31</v>
      </c>
      <c r="J12" s="1">
        <v>45801</v>
      </c>
      <c r="K12" t="s">
        <v>34</v>
      </c>
      <c r="L12" t="s">
        <v>35</v>
      </c>
      <c r="M12" t="s">
        <v>38</v>
      </c>
      <c r="N12">
        <v>4</v>
      </c>
      <c r="O12">
        <v>0.83333333333333337</v>
      </c>
      <c r="P12">
        <v>57</v>
      </c>
      <c r="Q12" t="s">
        <v>40</v>
      </c>
      <c r="R12" t="s">
        <v>40</v>
      </c>
      <c r="T12" t="s">
        <v>40</v>
      </c>
      <c r="U12" s="1">
        <v>45838</v>
      </c>
    </row>
    <row r="13" spans="1:21" x14ac:dyDescent="0.3">
      <c r="A13">
        <v>10</v>
      </c>
      <c r="B13">
        <v>4</v>
      </c>
      <c r="C13">
        <v>1</v>
      </c>
      <c r="D13" t="s">
        <v>21</v>
      </c>
      <c r="E13" t="s">
        <v>22</v>
      </c>
      <c r="F13">
        <v>25</v>
      </c>
      <c r="G13" t="s">
        <v>46</v>
      </c>
      <c r="I13" t="s">
        <v>31</v>
      </c>
      <c r="J13" s="1">
        <v>45801</v>
      </c>
      <c r="K13" t="s">
        <v>34</v>
      </c>
      <c r="L13" t="s">
        <v>35</v>
      </c>
      <c r="M13" t="s">
        <v>38</v>
      </c>
      <c r="N13">
        <v>4</v>
      </c>
      <c r="O13">
        <v>0.83333333333333337</v>
      </c>
      <c r="P13">
        <v>57</v>
      </c>
      <c r="Q13" t="s">
        <v>40</v>
      </c>
      <c r="R13" t="s">
        <v>40</v>
      </c>
      <c r="T13" t="s">
        <v>40</v>
      </c>
      <c r="U13" s="1">
        <v>45838</v>
      </c>
    </row>
    <row r="14" spans="1:21" x14ac:dyDescent="0.3">
      <c r="A14">
        <v>11</v>
      </c>
      <c r="B14">
        <v>4</v>
      </c>
      <c r="C14">
        <v>2</v>
      </c>
      <c r="D14" t="s">
        <v>20</v>
      </c>
      <c r="E14" t="s">
        <v>22</v>
      </c>
      <c r="F14">
        <v>25</v>
      </c>
      <c r="G14" t="s">
        <v>26</v>
      </c>
      <c r="I14" t="s">
        <v>31</v>
      </c>
      <c r="J14" s="1">
        <v>45801</v>
      </c>
      <c r="K14" t="s">
        <v>34</v>
      </c>
      <c r="L14" t="s">
        <v>36</v>
      </c>
      <c r="M14" t="s">
        <v>38</v>
      </c>
      <c r="N14">
        <v>4</v>
      </c>
      <c r="O14">
        <v>0.79166666666666663</v>
      </c>
      <c r="P14">
        <v>65</v>
      </c>
      <c r="Q14" t="s">
        <v>40</v>
      </c>
      <c r="R14" t="s">
        <v>40</v>
      </c>
      <c r="T14" t="s">
        <v>40</v>
      </c>
      <c r="U14" s="1">
        <v>45838</v>
      </c>
    </row>
    <row r="15" spans="1:21" x14ac:dyDescent="0.3">
      <c r="A15">
        <v>12</v>
      </c>
      <c r="B15">
        <v>4</v>
      </c>
      <c r="C15">
        <v>3</v>
      </c>
      <c r="D15" t="s">
        <v>21</v>
      </c>
      <c r="E15" t="s">
        <v>22</v>
      </c>
      <c r="F15">
        <v>25</v>
      </c>
      <c r="G15" t="s">
        <v>26</v>
      </c>
      <c r="I15" t="s">
        <v>31</v>
      </c>
      <c r="J15" s="1">
        <v>45801</v>
      </c>
      <c r="K15" t="s">
        <v>34</v>
      </c>
      <c r="L15" t="s">
        <v>37</v>
      </c>
      <c r="M15" t="s">
        <v>38</v>
      </c>
      <c r="N15">
        <v>4</v>
      </c>
      <c r="O15">
        <v>0.91666666666666663</v>
      </c>
      <c r="P15">
        <v>73</v>
      </c>
      <c r="Q15" t="s">
        <v>40</v>
      </c>
      <c r="R15" t="s">
        <v>40</v>
      </c>
      <c r="T15" t="s">
        <v>40</v>
      </c>
      <c r="U15" s="1">
        <v>45838</v>
      </c>
    </row>
    <row r="16" spans="1:21" x14ac:dyDescent="0.3">
      <c r="A16">
        <v>13</v>
      </c>
      <c r="B16">
        <v>5</v>
      </c>
      <c r="C16">
        <v>1</v>
      </c>
      <c r="D16" t="s">
        <v>19</v>
      </c>
      <c r="E16" t="s">
        <v>22</v>
      </c>
      <c r="F16">
        <v>35</v>
      </c>
      <c r="G16" t="s">
        <v>27</v>
      </c>
      <c r="I16" t="s">
        <v>32</v>
      </c>
      <c r="J16" s="1">
        <v>45772</v>
      </c>
      <c r="K16" t="s">
        <v>34</v>
      </c>
      <c r="L16" t="s">
        <v>35</v>
      </c>
      <c r="M16" t="s">
        <v>38</v>
      </c>
      <c r="N16">
        <v>4</v>
      </c>
      <c r="O16">
        <v>0.75</v>
      </c>
      <c r="P16">
        <v>80</v>
      </c>
      <c r="Q16" t="s">
        <v>40</v>
      </c>
      <c r="R16" t="s">
        <v>40</v>
      </c>
      <c r="T16" t="s">
        <v>40</v>
      </c>
      <c r="U16" s="1">
        <v>45838</v>
      </c>
    </row>
    <row r="17" spans="1:21" x14ac:dyDescent="0.3">
      <c r="A17">
        <v>14</v>
      </c>
      <c r="B17">
        <v>5</v>
      </c>
      <c r="C17">
        <v>2</v>
      </c>
      <c r="D17" t="s">
        <v>19</v>
      </c>
      <c r="E17" t="s">
        <v>22</v>
      </c>
      <c r="F17">
        <v>35</v>
      </c>
      <c r="G17" t="s">
        <v>27</v>
      </c>
      <c r="I17" t="s">
        <v>32</v>
      </c>
      <c r="J17" s="1">
        <v>45772</v>
      </c>
      <c r="K17" t="s">
        <v>34</v>
      </c>
      <c r="L17" t="s">
        <v>36</v>
      </c>
      <c r="M17" t="s">
        <v>38</v>
      </c>
      <c r="N17">
        <v>4</v>
      </c>
      <c r="O17">
        <v>0.8125</v>
      </c>
      <c r="P17">
        <v>64</v>
      </c>
      <c r="Q17" t="s">
        <v>40</v>
      </c>
      <c r="R17" t="s">
        <v>40</v>
      </c>
      <c r="T17" t="s">
        <v>40</v>
      </c>
      <c r="U17" s="1">
        <v>45838</v>
      </c>
    </row>
    <row r="18" spans="1:21" x14ac:dyDescent="0.3">
      <c r="A18">
        <v>15</v>
      </c>
      <c r="B18">
        <v>5</v>
      </c>
      <c r="C18">
        <v>3</v>
      </c>
      <c r="D18" t="s">
        <v>21</v>
      </c>
      <c r="E18" t="s">
        <v>22</v>
      </c>
      <c r="F18">
        <v>35</v>
      </c>
      <c r="G18" t="s">
        <v>27</v>
      </c>
      <c r="I18" t="s">
        <v>32</v>
      </c>
      <c r="J18" s="1">
        <v>45772</v>
      </c>
      <c r="K18" t="s">
        <v>34</v>
      </c>
      <c r="L18" t="s">
        <v>37</v>
      </c>
      <c r="M18" t="s">
        <v>38</v>
      </c>
      <c r="N18">
        <v>4</v>
      </c>
      <c r="O18">
        <v>0.85416666666666663</v>
      </c>
      <c r="P18">
        <v>83</v>
      </c>
      <c r="Q18" t="s">
        <v>40</v>
      </c>
      <c r="R18" t="s">
        <v>40</v>
      </c>
      <c r="T18" t="s">
        <v>40</v>
      </c>
      <c r="U18" s="1">
        <v>45838</v>
      </c>
    </row>
    <row r="19" spans="1:21" x14ac:dyDescent="0.3">
      <c r="A19">
        <v>15</v>
      </c>
      <c r="B19">
        <v>5</v>
      </c>
      <c r="C19">
        <v>3</v>
      </c>
      <c r="D19" t="s">
        <v>21</v>
      </c>
      <c r="E19" t="s">
        <v>22</v>
      </c>
      <c r="F19">
        <v>35</v>
      </c>
      <c r="G19" t="s">
        <v>27</v>
      </c>
      <c r="I19" t="s">
        <v>43</v>
      </c>
      <c r="J19" s="1">
        <v>45772</v>
      </c>
      <c r="K19" t="s">
        <v>34</v>
      </c>
      <c r="L19" t="s">
        <v>37</v>
      </c>
      <c r="M19" t="s">
        <v>38</v>
      </c>
      <c r="N19">
        <v>4</v>
      </c>
      <c r="O19">
        <v>0.85416666666666663</v>
      </c>
      <c r="P19">
        <v>83</v>
      </c>
      <c r="Q19" t="s">
        <v>40</v>
      </c>
      <c r="R19" t="s">
        <v>40</v>
      </c>
      <c r="T19" t="s">
        <v>40</v>
      </c>
      <c r="U19" s="1">
        <v>45838</v>
      </c>
    </row>
    <row r="20" spans="1:21" x14ac:dyDescent="0.3">
      <c r="A20">
        <v>16</v>
      </c>
      <c r="B20">
        <v>6</v>
      </c>
      <c r="C20">
        <v>1</v>
      </c>
      <c r="D20" t="s">
        <v>15</v>
      </c>
      <c r="E20" t="s">
        <v>49</v>
      </c>
      <c r="F20">
        <v>18</v>
      </c>
      <c r="G20" t="s">
        <v>28</v>
      </c>
      <c r="I20" t="s">
        <v>33</v>
      </c>
      <c r="J20" s="1">
        <v>45745</v>
      </c>
      <c r="K20" t="s">
        <v>34</v>
      </c>
      <c r="L20" t="s">
        <v>35</v>
      </c>
      <c r="M20" t="s">
        <v>38</v>
      </c>
      <c r="N20">
        <v>4</v>
      </c>
      <c r="O20">
        <v>0.79166666666666663</v>
      </c>
      <c r="P20">
        <v>64.5</v>
      </c>
      <c r="Q20" t="s">
        <v>39</v>
      </c>
      <c r="R20" t="s">
        <v>40</v>
      </c>
      <c r="T20" t="s">
        <v>40</v>
      </c>
      <c r="U20" s="1">
        <v>45838</v>
      </c>
    </row>
    <row r="21" spans="1:21" x14ac:dyDescent="0.3">
      <c r="A21">
        <v>17</v>
      </c>
      <c r="B21">
        <v>6</v>
      </c>
      <c r="C21">
        <v>2</v>
      </c>
      <c r="D21" t="s">
        <v>19</v>
      </c>
      <c r="E21" t="s">
        <v>23</v>
      </c>
      <c r="F21">
        <v>18</v>
      </c>
      <c r="G21" t="s">
        <v>28</v>
      </c>
      <c r="I21" t="s">
        <v>33</v>
      </c>
      <c r="J21" s="1">
        <v>45745</v>
      </c>
      <c r="K21" t="s">
        <v>34</v>
      </c>
      <c r="L21" t="s">
        <v>36</v>
      </c>
      <c r="M21" t="s">
        <v>38</v>
      </c>
      <c r="N21">
        <v>4</v>
      </c>
      <c r="O21">
        <v>0.91666666666666663</v>
      </c>
      <c r="P21">
        <v>79.5</v>
      </c>
      <c r="Q21" t="s">
        <v>39</v>
      </c>
      <c r="R21" t="s">
        <v>40</v>
      </c>
      <c r="T21" t="s">
        <v>40</v>
      </c>
      <c r="U21" s="1">
        <v>45838</v>
      </c>
    </row>
    <row r="22" spans="1:21" x14ac:dyDescent="0.3">
      <c r="A22">
        <v>18</v>
      </c>
      <c r="B22">
        <v>6</v>
      </c>
      <c r="C22">
        <v>3</v>
      </c>
      <c r="D22" t="s">
        <v>19</v>
      </c>
      <c r="E22" t="s">
        <v>23</v>
      </c>
      <c r="F22">
        <v>18</v>
      </c>
      <c r="G22" t="s">
        <v>28</v>
      </c>
      <c r="I22" t="s">
        <v>33</v>
      </c>
      <c r="J22" s="1">
        <v>45745</v>
      </c>
      <c r="K22" t="s">
        <v>34</v>
      </c>
      <c r="L22" t="s">
        <v>37</v>
      </c>
      <c r="M22" t="s">
        <v>38</v>
      </c>
      <c r="N22">
        <v>4</v>
      </c>
      <c r="O22">
        <v>0.77083333333333337</v>
      </c>
      <c r="P22">
        <v>55.5</v>
      </c>
      <c r="Q22" t="s">
        <v>39</v>
      </c>
      <c r="R22" t="s">
        <v>40</v>
      </c>
      <c r="T22" t="s">
        <v>40</v>
      </c>
      <c r="U22" s="1">
        <v>45838</v>
      </c>
    </row>
    <row r="23" spans="1:21" x14ac:dyDescent="0.3">
      <c r="J23" s="1"/>
      <c r="U23" s="1"/>
    </row>
    <row r="24" spans="1:21" x14ac:dyDescent="0.3">
      <c r="A24">
        <v>19</v>
      </c>
      <c r="B24">
        <v>7</v>
      </c>
      <c r="C24">
        <v>1</v>
      </c>
      <c r="D24" t="s">
        <v>19</v>
      </c>
      <c r="E24" t="s">
        <v>23</v>
      </c>
      <c r="F24">
        <v>22</v>
      </c>
      <c r="G24" t="s">
        <v>28</v>
      </c>
      <c r="I24" t="s">
        <v>30</v>
      </c>
      <c r="J24" s="1">
        <v>45684</v>
      </c>
      <c r="K24" t="s">
        <v>34</v>
      </c>
      <c r="L24" t="s">
        <v>35</v>
      </c>
      <c r="M24" t="s">
        <v>38</v>
      </c>
      <c r="N24">
        <v>4</v>
      </c>
      <c r="O24">
        <v>0.85416666666666663</v>
      </c>
      <c r="P24">
        <v>56.5</v>
      </c>
      <c r="Q24" t="s">
        <v>39</v>
      </c>
      <c r="R24" t="s">
        <v>39</v>
      </c>
      <c r="T24" t="s">
        <v>40</v>
      </c>
      <c r="U24" s="1">
        <v>45838</v>
      </c>
    </row>
    <row r="25" spans="1:21" x14ac:dyDescent="0.3">
      <c r="A25">
        <v>20</v>
      </c>
      <c r="B25">
        <v>7</v>
      </c>
      <c r="C25">
        <v>2</v>
      </c>
      <c r="D25" t="s">
        <v>19</v>
      </c>
      <c r="E25" t="s">
        <v>23</v>
      </c>
      <c r="F25">
        <v>22</v>
      </c>
      <c r="G25" t="s">
        <v>28</v>
      </c>
      <c r="I25" t="s">
        <v>30</v>
      </c>
      <c r="J25" s="1">
        <v>45684</v>
      </c>
      <c r="K25" t="s">
        <v>34</v>
      </c>
      <c r="L25" t="s">
        <v>36</v>
      </c>
      <c r="M25" t="s">
        <v>38</v>
      </c>
      <c r="N25">
        <v>4</v>
      </c>
      <c r="O25">
        <v>0.8125</v>
      </c>
      <c r="P25">
        <v>73</v>
      </c>
      <c r="Q25" t="s">
        <v>39</v>
      </c>
      <c r="R25" t="s">
        <v>39</v>
      </c>
      <c r="T25" t="s">
        <v>40</v>
      </c>
      <c r="U25" s="1">
        <v>45838</v>
      </c>
    </row>
    <row r="26" spans="1:21" x14ac:dyDescent="0.3">
      <c r="A26">
        <v>21</v>
      </c>
      <c r="B26">
        <v>7</v>
      </c>
      <c r="C26">
        <v>3</v>
      </c>
      <c r="D26" t="s">
        <v>19</v>
      </c>
      <c r="E26" t="s">
        <v>23</v>
      </c>
      <c r="F26">
        <v>22</v>
      </c>
      <c r="G26" t="s">
        <v>28</v>
      </c>
      <c r="I26" t="s">
        <v>30</v>
      </c>
      <c r="J26" s="1">
        <v>45684</v>
      </c>
      <c r="K26" t="s">
        <v>34</v>
      </c>
      <c r="L26" t="s">
        <v>37</v>
      </c>
      <c r="M26" t="s">
        <v>38</v>
      </c>
      <c r="N26">
        <v>4</v>
      </c>
      <c r="O26">
        <v>0.89583333333333337</v>
      </c>
      <c r="P26">
        <v>59.5</v>
      </c>
      <c r="Q26" t="s">
        <v>39</v>
      </c>
      <c r="R26" t="s">
        <v>39</v>
      </c>
      <c r="T26" t="s">
        <v>40</v>
      </c>
      <c r="U26" s="1">
        <v>45838</v>
      </c>
    </row>
    <row r="27" spans="1:21" x14ac:dyDescent="0.3">
      <c r="A27">
        <v>22</v>
      </c>
      <c r="B27">
        <v>8</v>
      </c>
      <c r="C27">
        <v>1</v>
      </c>
      <c r="D27" t="s">
        <v>20</v>
      </c>
      <c r="E27" t="s">
        <v>22</v>
      </c>
      <c r="F27">
        <v>30</v>
      </c>
      <c r="G27" t="s">
        <v>25</v>
      </c>
      <c r="I27" t="s">
        <v>30</v>
      </c>
      <c r="J27" s="1">
        <v>45746</v>
      </c>
      <c r="K27" t="s">
        <v>34</v>
      </c>
      <c r="L27" t="s">
        <v>35</v>
      </c>
      <c r="M27" t="s">
        <v>38</v>
      </c>
      <c r="N27">
        <v>4</v>
      </c>
      <c r="O27">
        <v>0.91666666666666663</v>
      </c>
      <c r="P27">
        <v>74.5</v>
      </c>
      <c r="Q27" t="s">
        <v>39</v>
      </c>
      <c r="R27" t="s">
        <v>40</v>
      </c>
      <c r="T27" t="s">
        <v>40</v>
      </c>
      <c r="U27" s="1">
        <v>45838</v>
      </c>
    </row>
    <row r="28" spans="1:21" x14ac:dyDescent="0.3">
      <c r="A28">
        <v>23</v>
      </c>
      <c r="B28">
        <v>8</v>
      </c>
      <c r="C28">
        <v>2</v>
      </c>
      <c r="D28" t="s">
        <v>21</v>
      </c>
      <c r="E28" t="s">
        <v>22</v>
      </c>
      <c r="F28">
        <v>30</v>
      </c>
      <c r="G28" t="s">
        <v>25</v>
      </c>
      <c r="I28" t="s">
        <v>30</v>
      </c>
      <c r="J28" s="1">
        <v>45746</v>
      </c>
      <c r="K28" t="s">
        <v>34</v>
      </c>
      <c r="L28" t="s">
        <v>36</v>
      </c>
      <c r="M28" t="s">
        <v>38</v>
      </c>
      <c r="N28">
        <v>4</v>
      </c>
      <c r="O28">
        <v>0.91666666666666663</v>
      </c>
      <c r="P28">
        <v>55</v>
      </c>
      <c r="Q28" t="s">
        <v>39</v>
      </c>
      <c r="R28" t="s">
        <v>40</v>
      </c>
      <c r="T28" t="s">
        <v>40</v>
      </c>
      <c r="U28" s="1">
        <v>45838</v>
      </c>
    </row>
    <row r="29" spans="1:21" x14ac:dyDescent="0.3">
      <c r="A29">
        <v>24</v>
      </c>
      <c r="B29">
        <v>8</v>
      </c>
      <c r="C29">
        <v>3</v>
      </c>
      <c r="D29" t="s">
        <v>19</v>
      </c>
      <c r="E29" t="s">
        <v>22</v>
      </c>
      <c r="F29">
        <v>30</v>
      </c>
      <c r="G29" t="s">
        <v>25</v>
      </c>
      <c r="I29" t="s">
        <v>30</v>
      </c>
      <c r="J29" s="1">
        <v>45746</v>
      </c>
      <c r="K29" t="s">
        <v>34</v>
      </c>
      <c r="L29" t="s">
        <v>37</v>
      </c>
      <c r="M29" t="s">
        <v>38</v>
      </c>
      <c r="N29">
        <v>4</v>
      </c>
      <c r="O29">
        <v>0.875</v>
      </c>
      <c r="P29">
        <v>78.5</v>
      </c>
      <c r="Q29" t="s">
        <v>39</v>
      </c>
      <c r="R29" t="s">
        <v>40</v>
      </c>
      <c r="T29" t="s">
        <v>40</v>
      </c>
      <c r="U29" s="1">
        <v>45838</v>
      </c>
    </row>
    <row r="30" spans="1:21" x14ac:dyDescent="0.3">
      <c r="A30">
        <v>25</v>
      </c>
      <c r="B30">
        <v>9</v>
      </c>
      <c r="C30">
        <v>1</v>
      </c>
      <c r="D30" t="s">
        <v>19</v>
      </c>
      <c r="E30" t="s">
        <v>23</v>
      </c>
      <c r="F30">
        <v>19</v>
      </c>
      <c r="G30" t="s">
        <v>24</v>
      </c>
      <c r="I30" t="s">
        <v>33</v>
      </c>
      <c r="J30" s="1">
        <v>45795</v>
      </c>
      <c r="K30" t="s">
        <v>34</v>
      </c>
      <c r="L30" t="s">
        <v>35</v>
      </c>
      <c r="M30" t="s">
        <v>38</v>
      </c>
      <c r="N30">
        <v>4</v>
      </c>
      <c r="O30">
        <v>0.72916666666666663</v>
      </c>
      <c r="P30">
        <v>52</v>
      </c>
      <c r="Q30" t="s">
        <v>39</v>
      </c>
      <c r="R30" t="s">
        <v>39</v>
      </c>
      <c r="T30" t="s">
        <v>39</v>
      </c>
      <c r="U30" s="1">
        <v>45838</v>
      </c>
    </row>
    <row r="31" spans="1:21" x14ac:dyDescent="0.3">
      <c r="A31">
        <v>26</v>
      </c>
      <c r="B31">
        <v>9</v>
      </c>
      <c r="C31">
        <v>2</v>
      </c>
      <c r="D31" t="s">
        <v>19</v>
      </c>
      <c r="E31" t="s">
        <v>23</v>
      </c>
      <c r="F31">
        <v>19</v>
      </c>
      <c r="G31" t="s">
        <v>24</v>
      </c>
      <c r="I31" t="s">
        <v>44</v>
      </c>
      <c r="J31" s="1">
        <v>45795</v>
      </c>
      <c r="K31" t="s">
        <v>34</v>
      </c>
      <c r="L31" t="s">
        <v>36</v>
      </c>
      <c r="M31" t="s">
        <v>38</v>
      </c>
      <c r="N31">
        <v>4</v>
      </c>
      <c r="O31">
        <v>0.85416666666666663</v>
      </c>
      <c r="P31">
        <v>86.5</v>
      </c>
      <c r="Q31" t="s">
        <v>39</v>
      </c>
      <c r="R31" t="s">
        <v>39</v>
      </c>
      <c r="T31" t="s">
        <v>39</v>
      </c>
      <c r="U31" s="1">
        <v>45838</v>
      </c>
    </row>
    <row r="32" spans="1:21" x14ac:dyDescent="0.3">
      <c r="J32" s="1"/>
      <c r="U32" s="1"/>
    </row>
    <row r="33" spans="1:21" x14ac:dyDescent="0.3">
      <c r="A33">
        <v>27</v>
      </c>
      <c r="B33">
        <v>9</v>
      </c>
      <c r="C33">
        <v>3</v>
      </c>
      <c r="D33" t="s">
        <v>19</v>
      </c>
      <c r="E33" t="s">
        <v>23</v>
      </c>
      <c r="F33">
        <v>19</v>
      </c>
      <c r="G33" t="s">
        <v>24</v>
      </c>
      <c r="I33" t="s">
        <v>33</v>
      </c>
      <c r="J33" s="1">
        <v>45795</v>
      </c>
      <c r="K33" t="s">
        <v>34</v>
      </c>
      <c r="L33" t="s">
        <v>37</v>
      </c>
      <c r="M33" t="s">
        <v>38</v>
      </c>
      <c r="N33">
        <v>4</v>
      </c>
      <c r="O33">
        <v>0.85416666666666663</v>
      </c>
      <c r="P33">
        <v>58.5</v>
      </c>
      <c r="Q33" t="s">
        <v>39</v>
      </c>
      <c r="R33" t="s">
        <v>39</v>
      </c>
      <c r="T33" t="s">
        <v>39</v>
      </c>
      <c r="U33" s="1">
        <v>45838</v>
      </c>
    </row>
    <row r="34" spans="1:21" x14ac:dyDescent="0.3">
      <c r="A34">
        <v>28</v>
      </c>
      <c r="B34">
        <v>10</v>
      </c>
      <c r="C34">
        <v>1</v>
      </c>
      <c r="D34" t="s">
        <v>19</v>
      </c>
      <c r="E34" t="s">
        <v>22</v>
      </c>
      <c r="F34">
        <v>30</v>
      </c>
      <c r="G34" t="s">
        <v>25</v>
      </c>
      <c r="I34" t="s">
        <v>30</v>
      </c>
      <c r="J34" s="1">
        <v>45750</v>
      </c>
      <c r="K34" t="s">
        <v>34</v>
      </c>
      <c r="L34" t="s">
        <v>35</v>
      </c>
      <c r="M34" t="s">
        <v>38</v>
      </c>
      <c r="N34">
        <v>4</v>
      </c>
      <c r="O34">
        <v>0.875</v>
      </c>
      <c r="P34">
        <v>69.5</v>
      </c>
      <c r="Q34" t="s">
        <v>39</v>
      </c>
      <c r="R34" t="s">
        <v>39</v>
      </c>
      <c r="T34" t="s">
        <v>40</v>
      </c>
      <c r="U34" s="1">
        <v>45838</v>
      </c>
    </row>
    <row r="35" spans="1:21" x14ac:dyDescent="0.3">
      <c r="A35">
        <v>29</v>
      </c>
      <c r="B35">
        <v>10</v>
      </c>
      <c r="C35">
        <v>2</v>
      </c>
      <c r="D35" t="s">
        <v>19</v>
      </c>
      <c r="E35" t="s">
        <v>22</v>
      </c>
      <c r="F35">
        <v>30</v>
      </c>
      <c r="G35" t="s">
        <v>25</v>
      </c>
      <c r="I35" t="s">
        <v>30</v>
      </c>
      <c r="J35" s="1">
        <v>45750</v>
      </c>
      <c r="K35" t="s">
        <v>34</v>
      </c>
      <c r="L35" t="s">
        <v>36</v>
      </c>
      <c r="M35" t="s">
        <v>38</v>
      </c>
      <c r="N35">
        <v>4</v>
      </c>
      <c r="O35">
        <v>0.83333333333333337</v>
      </c>
      <c r="P35">
        <v>85.5</v>
      </c>
      <c r="Q35" t="s">
        <v>39</v>
      </c>
      <c r="R35" t="s">
        <v>39</v>
      </c>
      <c r="T35" t="s">
        <v>40</v>
      </c>
      <c r="U35" s="1">
        <v>45838</v>
      </c>
    </row>
    <row r="36" spans="1:21" x14ac:dyDescent="0.3">
      <c r="A36">
        <v>30</v>
      </c>
      <c r="B36">
        <v>10</v>
      </c>
      <c r="C36">
        <v>3</v>
      </c>
      <c r="D36" t="s">
        <v>19</v>
      </c>
      <c r="E36" t="s">
        <v>22</v>
      </c>
      <c r="F36">
        <v>30</v>
      </c>
      <c r="G36" t="s">
        <v>25</v>
      </c>
      <c r="I36" t="s">
        <v>30</v>
      </c>
      <c r="J36" s="1">
        <v>45750</v>
      </c>
      <c r="K36" t="s">
        <v>34</v>
      </c>
      <c r="L36" t="s">
        <v>37</v>
      </c>
      <c r="M36" t="s">
        <v>38</v>
      </c>
      <c r="N36">
        <v>4</v>
      </c>
      <c r="O36">
        <v>0.89583333333333337</v>
      </c>
      <c r="P36">
        <v>60.5</v>
      </c>
      <c r="Q36" t="s">
        <v>39</v>
      </c>
      <c r="R36" t="s">
        <v>39</v>
      </c>
      <c r="T36" t="s">
        <v>40</v>
      </c>
      <c r="U36" s="1">
        <v>45838</v>
      </c>
    </row>
    <row r="37" spans="1:21" x14ac:dyDescent="0.3">
      <c r="A37">
        <v>31</v>
      </c>
      <c r="B37">
        <v>11</v>
      </c>
      <c r="C37">
        <v>1</v>
      </c>
      <c r="D37" t="s">
        <v>19</v>
      </c>
      <c r="E37" t="s">
        <v>22</v>
      </c>
      <c r="F37">
        <v>20</v>
      </c>
      <c r="G37" t="s">
        <v>25</v>
      </c>
      <c r="I37" t="s">
        <v>32</v>
      </c>
      <c r="J37" s="1">
        <v>45732</v>
      </c>
      <c r="K37" t="s">
        <v>34</v>
      </c>
      <c r="L37" t="s">
        <v>35</v>
      </c>
      <c r="M37" t="s">
        <v>38</v>
      </c>
      <c r="N37">
        <v>4</v>
      </c>
      <c r="O37">
        <v>0.89583333333333337</v>
      </c>
      <c r="P37">
        <v>81</v>
      </c>
      <c r="Q37" t="s">
        <v>39</v>
      </c>
      <c r="R37" t="s">
        <v>39</v>
      </c>
      <c r="T37" t="s">
        <v>40</v>
      </c>
      <c r="U37" s="1">
        <v>45838</v>
      </c>
    </row>
    <row r="38" spans="1:21" x14ac:dyDescent="0.3">
      <c r="A38">
        <v>32</v>
      </c>
      <c r="B38">
        <v>11</v>
      </c>
      <c r="C38">
        <v>2</v>
      </c>
      <c r="D38" t="s">
        <v>19</v>
      </c>
      <c r="E38" t="s">
        <v>22</v>
      </c>
      <c r="F38">
        <v>20</v>
      </c>
      <c r="G38" t="s">
        <v>25</v>
      </c>
      <c r="I38" t="s">
        <v>32</v>
      </c>
      <c r="J38" s="1">
        <v>45732</v>
      </c>
      <c r="K38" t="s">
        <v>34</v>
      </c>
      <c r="L38" t="s">
        <v>36</v>
      </c>
      <c r="M38" t="s">
        <v>38</v>
      </c>
      <c r="N38">
        <v>4</v>
      </c>
      <c r="O38">
        <v>0.85416666666666663</v>
      </c>
      <c r="P38">
        <v>68.5</v>
      </c>
      <c r="Q38" t="s">
        <v>39</v>
      </c>
      <c r="R38" t="s">
        <v>39</v>
      </c>
      <c r="T38" t="s">
        <v>40</v>
      </c>
      <c r="U38" s="1">
        <v>45838</v>
      </c>
    </row>
    <row r="39" spans="1:21" x14ac:dyDescent="0.3">
      <c r="A39">
        <v>33</v>
      </c>
      <c r="B39">
        <v>11</v>
      </c>
      <c r="C39">
        <v>3</v>
      </c>
      <c r="D39" t="s">
        <v>21</v>
      </c>
      <c r="E39" t="s">
        <v>22</v>
      </c>
      <c r="F39">
        <v>20</v>
      </c>
      <c r="G39" t="s">
        <v>25</v>
      </c>
      <c r="I39" t="s">
        <v>32</v>
      </c>
      <c r="J39" s="1">
        <v>45732</v>
      </c>
      <c r="K39" t="s">
        <v>34</v>
      </c>
      <c r="L39" t="s">
        <v>37</v>
      </c>
      <c r="M39" t="s">
        <v>38</v>
      </c>
      <c r="N39">
        <v>4</v>
      </c>
      <c r="O39">
        <v>0.83333333333333337</v>
      </c>
      <c r="P39">
        <v>85.5</v>
      </c>
      <c r="Q39" t="s">
        <v>39</v>
      </c>
      <c r="R39" t="s">
        <v>39</v>
      </c>
      <c r="T39" t="s">
        <v>40</v>
      </c>
      <c r="U39" s="1">
        <v>45838</v>
      </c>
    </row>
    <row r="40" spans="1:21" x14ac:dyDescent="0.3">
      <c r="A40">
        <v>34</v>
      </c>
      <c r="B40">
        <v>12</v>
      </c>
      <c r="C40">
        <v>1</v>
      </c>
      <c r="D40" t="s">
        <v>19</v>
      </c>
      <c r="E40" t="s">
        <v>22</v>
      </c>
      <c r="F40">
        <v>25</v>
      </c>
      <c r="G40" t="s">
        <v>25</v>
      </c>
      <c r="I40" t="s">
        <v>33</v>
      </c>
      <c r="J40" s="1">
        <v>45729</v>
      </c>
      <c r="K40" t="s">
        <v>34</v>
      </c>
      <c r="L40" t="s">
        <v>35</v>
      </c>
      <c r="M40" t="s">
        <v>38</v>
      </c>
      <c r="N40">
        <v>4</v>
      </c>
      <c r="O40">
        <v>0.83333333333333337</v>
      </c>
      <c r="P40">
        <v>71</v>
      </c>
      <c r="Q40" t="s">
        <v>40</v>
      </c>
      <c r="R40" t="s">
        <v>40</v>
      </c>
      <c r="T40" t="s">
        <v>40</v>
      </c>
      <c r="U40" s="1">
        <v>45838</v>
      </c>
    </row>
    <row r="41" spans="1:21" x14ac:dyDescent="0.3">
      <c r="A41">
        <v>35</v>
      </c>
      <c r="B41">
        <v>12</v>
      </c>
      <c r="C41">
        <v>2</v>
      </c>
      <c r="D41" t="s">
        <v>21</v>
      </c>
      <c r="E41" t="s">
        <v>22</v>
      </c>
      <c r="F41">
        <v>25</v>
      </c>
      <c r="G41" t="s">
        <v>25</v>
      </c>
      <c r="I41" t="s">
        <v>33</v>
      </c>
      <c r="J41" s="1">
        <v>45729</v>
      </c>
      <c r="K41" t="s">
        <v>34</v>
      </c>
      <c r="L41" t="s">
        <v>36</v>
      </c>
      <c r="M41" t="s">
        <v>38</v>
      </c>
      <c r="N41">
        <v>4</v>
      </c>
      <c r="O41">
        <v>0.89583333333333337</v>
      </c>
      <c r="P41">
        <v>80.5</v>
      </c>
      <c r="Q41" t="s">
        <v>40</v>
      </c>
      <c r="R41" t="s">
        <v>40</v>
      </c>
      <c r="T41" t="s">
        <v>40</v>
      </c>
      <c r="U41" s="1">
        <v>45838</v>
      </c>
    </row>
    <row r="42" spans="1:21" x14ac:dyDescent="0.3">
      <c r="A42">
        <v>36</v>
      </c>
      <c r="B42">
        <v>12</v>
      </c>
      <c r="C42">
        <v>3</v>
      </c>
      <c r="D42" t="s">
        <v>19</v>
      </c>
      <c r="E42" t="s">
        <v>22</v>
      </c>
      <c r="F42">
        <v>25</v>
      </c>
      <c r="G42" t="s">
        <v>25</v>
      </c>
      <c r="I42" t="s">
        <v>33</v>
      </c>
      <c r="J42" s="1">
        <v>45729</v>
      </c>
      <c r="K42" t="s">
        <v>34</v>
      </c>
      <c r="L42" t="s">
        <v>37</v>
      </c>
      <c r="M42" t="s">
        <v>38</v>
      </c>
      <c r="N42">
        <v>4</v>
      </c>
      <c r="O42">
        <v>0.91666666666666663</v>
      </c>
      <c r="P42">
        <v>91</v>
      </c>
      <c r="Q42" t="s">
        <v>40</v>
      </c>
      <c r="R42" t="s">
        <v>40</v>
      </c>
      <c r="T42" t="s">
        <v>40</v>
      </c>
      <c r="U42" s="1">
        <v>45838</v>
      </c>
    </row>
    <row r="43" spans="1:21" x14ac:dyDescent="0.3">
      <c r="A43">
        <v>37</v>
      </c>
      <c r="B43">
        <v>13</v>
      </c>
      <c r="C43">
        <v>1</v>
      </c>
      <c r="D43" t="s">
        <v>19</v>
      </c>
      <c r="E43" t="s">
        <v>23</v>
      </c>
      <c r="F43">
        <v>29</v>
      </c>
      <c r="G43" t="s">
        <v>28</v>
      </c>
      <c r="I43" t="s">
        <v>30</v>
      </c>
      <c r="J43" s="1">
        <v>45748</v>
      </c>
      <c r="K43" t="s">
        <v>34</v>
      </c>
      <c r="L43" t="s">
        <v>35</v>
      </c>
      <c r="M43" t="s">
        <v>38</v>
      </c>
      <c r="N43">
        <v>4</v>
      </c>
      <c r="O43">
        <v>0.83333333333333337</v>
      </c>
      <c r="P43">
        <v>59.5</v>
      </c>
      <c r="Q43" t="s">
        <v>39</v>
      </c>
      <c r="R43" t="s">
        <v>39</v>
      </c>
      <c r="T43" t="s">
        <v>40</v>
      </c>
      <c r="U43" s="1">
        <v>45838</v>
      </c>
    </row>
    <row r="44" spans="1:21" x14ac:dyDescent="0.3">
      <c r="A44">
        <v>38</v>
      </c>
      <c r="B44">
        <v>13</v>
      </c>
      <c r="C44">
        <v>2</v>
      </c>
      <c r="D44" t="s">
        <v>20</v>
      </c>
      <c r="E44" t="s">
        <v>23</v>
      </c>
      <c r="F44">
        <v>29</v>
      </c>
      <c r="G44" t="s">
        <v>28</v>
      </c>
      <c r="I44" t="s">
        <v>30</v>
      </c>
      <c r="J44" s="1">
        <v>45748</v>
      </c>
      <c r="K44" t="s">
        <v>34</v>
      </c>
      <c r="L44" t="s">
        <v>36</v>
      </c>
      <c r="M44" t="s">
        <v>38</v>
      </c>
      <c r="N44">
        <v>4</v>
      </c>
      <c r="O44">
        <v>0.77083333333333337</v>
      </c>
      <c r="P44">
        <v>73</v>
      </c>
      <c r="Q44" t="s">
        <v>39</v>
      </c>
      <c r="R44" t="s">
        <v>39</v>
      </c>
      <c r="T44" t="s">
        <v>40</v>
      </c>
      <c r="U44" s="1">
        <v>45838</v>
      </c>
    </row>
    <row r="45" spans="1:21" x14ac:dyDescent="0.3">
      <c r="A45">
        <v>39</v>
      </c>
      <c r="B45">
        <v>13</v>
      </c>
      <c r="C45">
        <v>3</v>
      </c>
      <c r="D45" t="s">
        <v>19</v>
      </c>
      <c r="E45" t="s">
        <v>23</v>
      </c>
      <c r="F45">
        <v>29</v>
      </c>
      <c r="G45" t="s">
        <v>28</v>
      </c>
      <c r="I45" t="s">
        <v>30</v>
      </c>
      <c r="J45" s="1">
        <v>45748</v>
      </c>
      <c r="K45" t="s">
        <v>34</v>
      </c>
      <c r="L45" t="s">
        <v>37</v>
      </c>
      <c r="M45" t="s">
        <v>38</v>
      </c>
      <c r="N45">
        <v>4</v>
      </c>
      <c r="O45">
        <v>0.79166666666666663</v>
      </c>
      <c r="P45">
        <v>89.5</v>
      </c>
      <c r="Q45" t="s">
        <v>39</v>
      </c>
      <c r="R45" t="s">
        <v>39</v>
      </c>
      <c r="T45" t="s">
        <v>40</v>
      </c>
      <c r="U45" s="1">
        <v>45838</v>
      </c>
    </row>
    <row r="46" spans="1:21" x14ac:dyDescent="0.3">
      <c r="A46">
        <v>40</v>
      </c>
      <c r="B46">
        <v>14</v>
      </c>
      <c r="C46">
        <v>1</v>
      </c>
      <c r="D46" t="s">
        <v>20</v>
      </c>
      <c r="E46" t="s">
        <v>22</v>
      </c>
      <c r="F46">
        <v>26</v>
      </c>
      <c r="G46" t="s">
        <v>24</v>
      </c>
      <c r="I46" t="s">
        <v>31</v>
      </c>
      <c r="J46" s="1">
        <v>45701</v>
      </c>
      <c r="K46" t="s">
        <v>34</v>
      </c>
      <c r="L46" t="s">
        <v>35</v>
      </c>
      <c r="M46" t="s">
        <v>38</v>
      </c>
      <c r="N46">
        <v>4</v>
      </c>
      <c r="O46">
        <v>0.875</v>
      </c>
      <c r="P46">
        <v>65.5</v>
      </c>
      <c r="Q46" t="s">
        <v>40</v>
      </c>
      <c r="R46" t="s">
        <v>40</v>
      </c>
      <c r="T46" t="s">
        <v>40</v>
      </c>
      <c r="U46" s="1">
        <v>45838</v>
      </c>
    </row>
    <row r="47" spans="1:21" x14ac:dyDescent="0.3">
      <c r="A47">
        <v>41</v>
      </c>
      <c r="B47">
        <v>14</v>
      </c>
      <c r="C47">
        <v>2</v>
      </c>
      <c r="D47" t="s">
        <v>21</v>
      </c>
      <c r="E47" t="s">
        <v>22</v>
      </c>
      <c r="F47">
        <v>26</v>
      </c>
      <c r="G47" t="s">
        <v>24</v>
      </c>
      <c r="I47" t="s">
        <v>31</v>
      </c>
      <c r="J47" s="1">
        <v>45701</v>
      </c>
      <c r="K47" t="s">
        <v>34</v>
      </c>
      <c r="L47" t="s">
        <v>36</v>
      </c>
      <c r="M47" t="s">
        <v>38</v>
      </c>
      <c r="N47">
        <v>4</v>
      </c>
      <c r="O47">
        <v>0.875</v>
      </c>
      <c r="P47">
        <v>71.5</v>
      </c>
      <c r="Q47" t="s">
        <v>40</v>
      </c>
      <c r="R47" t="s">
        <v>40</v>
      </c>
      <c r="T47" t="s">
        <v>40</v>
      </c>
      <c r="U47" s="1">
        <v>45838</v>
      </c>
    </row>
    <row r="48" spans="1:21" x14ac:dyDescent="0.3">
      <c r="A48">
        <v>42</v>
      </c>
      <c r="B48">
        <v>14</v>
      </c>
      <c r="C48">
        <v>3</v>
      </c>
      <c r="D48" t="s">
        <v>19</v>
      </c>
      <c r="E48" t="s">
        <v>22</v>
      </c>
      <c r="F48">
        <v>26</v>
      </c>
      <c r="G48" t="s">
        <v>24</v>
      </c>
      <c r="I48" t="s">
        <v>31</v>
      </c>
      <c r="J48" s="1">
        <v>45701</v>
      </c>
      <c r="K48" t="s">
        <v>34</v>
      </c>
      <c r="L48" t="s">
        <v>37</v>
      </c>
      <c r="M48" t="s">
        <v>38</v>
      </c>
      <c r="N48">
        <v>4</v>
      </c>
      <c r="O48">
        <v>0.91666666666666663</v>
      </c>
      <c r="P48">
        <v>78.5</v>
      </c>
      <c r="Q48" t="s">
        <v>40</v>
      </c>
      <c r="R48" t="s">
        <v>40</v>
      </c>
      <c r="T48" t="s">
        <v>40</v>
      </c>
      <c r="U48" s="1">
        <v>45838</v>
      </c>
    </row>
    <row r="49" spans="1:21" x14ac:dyDescent="0.3">
      <c r="A49">
        <v>43</v>
      </c>
      <c r="B49">
        <v>15</v>
      </c>
      <c r="C49">
        <v>1</v>
      </c>
      <c r="D49" t="s">
        <v>19</v>
      </c>
      <c r="E49" t="s">
        <v>22</v>
      </c>
      <c r="F49">
        <v>23</v>
      </c>
      <c r="G49" t="s">
        <v>27</v>
      </c>
      <c r="I49" t="s">
        <v>44</v>
      </c>
      <c r="J49" s="1">
        <v>45727</v>
      </c>
      <c r="K49" t="s">
        <v>34</v>
      </c>
      <c r="L49" t="s">
        <v>35</v>
      </c>
      <c r="M49" t="s">
        <v>38</v>
      </c>
      <c r="N49">
        <v>4</v>
      </c>
      <c r="O49">
        <v>0.85416666666666663</v>
      </c>
      <c r="P49">
        <v>81.5</v>
      </c>
      <c r="Q49" t="s">
        <v>40</v>
      </c>
      <c r="R49" t="s">
        <v>40</v>
      </c>
      <c r="T49" t="s">
        <v>40</v>
      </c>
      <c r="U49" s="1">
        <v>45838</v>
      </c>
    </row>
    <row r="50" spans="1:21" x14ac:dyDescent="0.3">
      <c r="A50">
        <v>44</v>
      </c>
      <c r="B50">
        <v>15</v>
      </c>
      <c r="C50">
        <v>2</v>
      </c>
      <c r="D50" t="s">
        <v>20</v>
      </c>
      <c r="E50" t="s">
        <v>22</v>
      </c>
      <c r="F50">
        <v>23</v>
      </c>
      <c r="G50" t="s">
        <v>27</v>
      </c>
      <c r="I50" t="s">
        <v>33</v>
      </c>
      <c r="J50" s="1">
        <v>45727</v>
      </c>
      <c r="K50" t="s">
        <v>34</v>
      </c>
      <c r="L50" t="s">
        <v>36</v>
      </c>
      <c r="M50" t="s">
        <v>38</v>
      </c>
      <c r="N50">
        <v>4</v>
      </c>
      <c r="O50">
        <v>0.79166666666666663</v>
      </c>
      <c r="P50">
        <v>84.5</v>
      </c>
      <c r="Q50" t="s">
        <v>40</v>
      </c>
      <c r="R50" t="s">
        <v>40</v>
      </c>
      <c r="T50" t="s">
        <v>40</v>
      </c>
      <c r="U50" s="1">
        <v>45838</v>
      </c>
    </row>
    <row r="51" spans="1:21" x14ac:dyDescent="0.3">
      <c r="A51">
        <v>45</v>
      </c>
      <c r="B51">
        <v>15</v>
      </c>
      <c r="C51">
        <v>3</v>
      </c>
      <c r="D51" t="s">
        <v>19</v>
      </c>
      <c r="E51" t="s">
        <v>22</v>
      </c>
      <c r="F51">
        <v>23</v>
      </c>
      <c r="G51" t="s">
        <v>27</v>
      </c>
      <c r="I51" t="s">
        <v>33</v>
      </c>
      <c r="J51" s="1">
        <v>45727</v>
      </c>
      <c r="K51" t="s">
        <v>34</v>
      </c>
      <c r="L51" t="s">
        <v>37</v>
      </c>
      <c r="M51" t="s">
        <v>38</v>
      </c>
      <c r="N51">
        <v>4</v>
      </c>
      <c r="O51">
        <v>0.89583333333333337</v>
      </c>
      <c r="P51">
        <v>73</v>
      </c>
      <c r="Q51" t="s">
        <v>40</v>
      </c>
      <c r="R51" t="s">
        <v>40</v>
      </c>
      <c r="T51" t="s">
        <v>40</v>
      </c>
      <c r="U51" s="1">
        <v>45838</v>
      </c>
    </row>
    <row r="52" spans="1:21" x14ac:dyDescent="0.3">
      <c r="A52">
        <v>46</v>
      </c>
      <c r="B52">
        <v>16</v>
      </c>
      <c r="C52">
        <v>1</v>
      </c>
      <c r="D52" t="s">
        <v>19</v>
      </c>
      <c r="E52" t="s">
        <v>22</v>
      </c>
      <c r="F52">
        <v>28</v>
      </c>
      <c r="G52" t="s">
        <v>25</v>
      </c>
      <c r="I52" t="s">
        <v>32</v>
      </c>
      <c r="J52" s="1">
        <v>45666</v>
      </c>
      <c r="K52" t="s">
        <v>34</v>
      </c>
      <c r="L52" t="s">
        <v>35</v>
      </c>
      <c r="M52" t="s">
        <v>38</v>
      </c>
      <c r="N52">
        <v>4</v>
      </c>
      <c r="O52">
        <v>0.875</v>
      </c>
      <c r="P52">
        <v>79.5</v>
      </c>
      <c r="Q52" t="s">
        <v>40</v>
      </c>
      <c r="R52" t="s">
        <v>40</v>
      </c>
      <c r="T52" t="s">
        <v>40</v>
      </c>
      <c r="U52" s="1">
        <v>45838</v>
      </c>
    </row>
    <row r="53" spans="1:21" x14ac:dyDescent="0.3">
      <c r="A53">
        <v>47</v>
      </c>
      <c r="B53">
        <v>16</v>
      </c>
      <c r="C53">
        <v>2</v>
      </c>
      <c r="D53" t="s">
        <v>20</v>
      </c>
      <c r="E53" t="s">
        <v>22</v>
      </c>
      <c r="F53">
        <v>28</v>
      </c>
      <c r="G53" t="s">
        <v>25</v>
      </c>
      <c r="I53" t="s">
        <v>32</v>
      </c>
      <c r="J53" s="1">
        <v>45666</v>
      </c>
      <c r="K53" t="s">
        <v>34</v>
      </c>
      <c r="L53" t="s">
        <v>36</v>
      </c>
      <c r="M53" t="s">
        <v>38</v>
      </c>
      <c r="N53">
        <v>4</v>
      </c>
      <c r="O53">
        <v>0.89583333333333337</v>
      </c>
      <c r="P53">
        <v>79</v>
      </c>
      <c r="Q53" t="s">
        <v>40</v>
      </c>
      <c r="R53" t="s">
        <v>40</v>
      </c>
      <c r="T53" t="s">
        <v>40</v>
      </c>
      <c r="U53" s="1">
        <v>45838</v>
      </c>
    </row>
    <row r="54" spans="1:21" x14ac:dyDescent="0.3">
      <c r="A54">
        <v>48</v>
      </c>
      <c r="B54">
        <v>16</v>
      </c>
      <c r="C54">
        <v>3</v>
      </c>
      <c r="D54" t="s">
        <v>19</v>
      </c>
      <c r="E54" t="s">
        <v>22</v>
      </c>
      <c r="F54">
        <v>28</v>
      </c>
      <c r="G54" t="s">
        <v>25</v>
      </c>
      <c r="I54" t="s">
        <v>32</v>
      </c>
      <c r="J54" s="1">
        <v>45666</v>
      </c>
      <c r="K54" t="s">
        <v>34</v>
      </c>
      <c r="L54" t="s">
        <v>37</v>
      </c>
      <c r="M54" t="s">
        <v>38</v>
      </c>
      <c r="N54">
        <v>4</v>
      </c>
      <c r="O54">
        <v>0.8125</v>
      </c>
      <c r="P54">
        <v>75.5</v>
      </c>
      <c r="Q54" t="s">
        <v>40</v>
      </c>
      <c r="R54" t="s">
        <v>40</v>
      </c>
      <c r="T54" t="s">
        <v>40</v>
      </c>
      <c r="U54" s="1">
        <v>45838</v>
      </c>
    </row>
    <row r="55" spans="1:21" x14ac:dyDescent="0.3">
      <c r="A55">
        <v>49</v>
      </c>
      <c r="B55">
        <v>17</v>
      </c>
      <c r="C55">
        <v>1</v>
      </c>
      <c r="D55" t="s">
        <v>19</v>
      </c>
      <c r="E55" t="s">
        <v>23</v>
      </c>
      <c r="F55">
        <v>30</v>
      </c>
      <c r="G55" t="s">
        <v>29</v>
      </c>
      <c r="I55" t="s">
        <v>31</v>
      </c>
      <c r="J55" s="1">
        <v>45712</v>
      </c>
      <c r="K55" t="s">
        <v>34</v>
      </c>
      <c r="L55" t="s">
        <v>35</v>
      </c>
      <c r="M55" t="s">
        <v>38</v>
      </c>
      <c r="N55">
        <v>4</v>
      </c>
      <c r="O55">
        <v>0.85416666666666663</v>
      </c>
      <c r="P55">
        <v>57.5</v>
      </c>
      <c r="Q55" t="s">
        <v>39</v>
      </c>
      <c r="R55" t="s">
        <v>40</v>
      </c>
      <c r="T55" t="s">
        <v>40</v>
      </c>
      <c r="U55" s="1">
        <v>45838</v>
      </c>
    </row>
    <row r="56" spans="1:21" x14ac:dyDescent="0.3">
      <c r="A56">
        <v>50</v>
      </c>
      <c r="B56">
        <v>17</v>
      </c>
      <c r="C56">
        <v>2</v>
      </c>
      <c r="D56" t="s">
        <v>19</v>
      </c>
      <c r="E56" t="s">
        <v>23</v>
      </c>
      <c r="F56">
        <v>30</v>
      </c>
      <c r="G56" t="s">
        <v>29</v>
      </c>
      <c r="I56" t="s">
        <v>31</v>
      </c>
      <c r="J56" s="1">
        <v>45712</v>
      </c>
      <c r="K56" t="s">
        <v>34</v>
      </c>
      <c r="L56" t="s">
        <v>36</v>
      </c>
      <c r="M56" t="s">
        <v>38</v>
      </c>
      <c r="N56">
        <v>4</v>
      </c>
      <c r="O56">
        <v>0.85416666666666663</v>
      </c>
      <c r="P56">
        <v>90.5</v>
      </c>
      <c r="Q56" t="s">
        <v>39</v>
      </c>
      <c r="R56" t="s">
        <v>40</v>
      </c>
      <c r="T56" t="s">
        <v>40</v>
      </c>
      <c r="U56" s="1">
        <v>45838</v>
      </c>
    </row>
    <row r="57" spans="1:21" x14ac:dyDescent="0.3">
      <c r="A57">
        <v>51</v>
      </c>
      <c r="B57">
        <v>17</v>
      </c>
      <c r="C57">
        <v>3</v>
      </c>
      <c r="D57" t="s">
        <v>21</v>
      </c>
      <c r="E57" t="s">
        <v>23</v>
      </c>
      <c r="F57">
        <v>30</v>
      </c>
      <c r="G57" t="s">
        <v>29</v>
      </c>
      <c r="I57" t="s">
        <v>31</v>
      </c>
      <c r="J57" s="1">
        <v>45712</v>
      </c>
      <c r="K57" t="s">
        <v>34</v>
      </c>
      <c r="L57" t="s">
        <v>37</v>
      </c>
      <c r="M57" t="s">
        <v>38</v>
      </c>
      <c r="N57">
        <v>4</v>
      </c>
      <c r="O57">
        <v>0.83333333333333337</v>
      </c>
      <c r="P57">
        <v>98.5</v>
      </c>
      <c r="Q57" t="s">
        <v>39</v>
      </c>
      <c r="R57" t="s">
        <v>40</v>
      </c>
      <c r="T57" t="s">
        <v>40</v>
      </c>
      <c r="U57" s="1">
        <v>45838</v>
      </c>
    </row>
    <row r="58" spans="1:21" x14ac:dyDescent="0.3">
      <c r="A58">
        <v>52</v>
      </c>
      <c r="B58">
        <v>18</v>
      </c>
      <c r="C58">
        <v>1</v>
      </c>
      <c r="D58" t="s">
        <v>20</v>
      </c>
      <c r="E58" t="s">
        <v>23</v>
      </c>
      <c r="F58">
        <v>24</v>
      </c>
      <c r="G58" t="s">
        <v>24</v>
      </c>
      <c r="I58" t="s">
        <v>33</v>
      </c>
      <c r="J58" s="1">
        <v>45759</v>
      </c>
      <c r="K58" t="s">
        <v>34</v>
      </c>
      <c r="L58" t="s">
        <v>35</v>
      </c>
      <c r="M58" t="s">
        <v>38</v>
      </c>
      <c r="N58">
        <v>4</v>
      </c>
      <c r="O58">
        <v>0.75</v>
      </c>
      <c r="P58">
        <v>84</v>
      </c>
      <c r="Q58" t="s">
        <v>39</v>
      </c>
      <c r="R58" t="s">
        <v>39</v>
      </c>
      <c r="T58" t="s">
        <v>39</v>
      </c>
      <c r="U58" s="1">
        <v>45838</v>
      </c>
    </row>
    <row r="59" spans="1:21" x14ac:dyDescent="0.3">
      <c r="A59">
        <v>53</v>
      </c>
      <c r="B59">
        <v>18</v>
      </c>
      <c r="C59">
        <v>2</v>
      </c>
      <c r="D59" t="s">
        <v>20</v>
      </c>
      <c r="E59" t="s">
        <v>23</v>
      </c>
      <c r="F59">
        <v>24</v>
      </c>
      <c r="G59" t="s">
        <v>24</v>
      </c>
      <c r="I59" t="s">
        <v>33</v>
      </c>
      <c r="J59" s="1">
        <v>45759</v>
      </c>
      <c r="K59" t="s">
        <v>34</v>
      </c>
      <c r="L59" t="s">
        <v>36</v>
      </c>
      <c r="M59" t="s">
        <v>38</v>
      </c>
      <c r="N59">
        <v>4</v>
      </c>
      <c r="O59">
        <v>0.77083333333333337</v>
      </c>
      <c r="P59">
        <v>63.5</v>
      </c>
      <c r="Q59" t="s">
        <v>39</v>
      </c>
      <c r="R59" t="s">
        <v>39</v>
      </c>
      <c r="T59" t="s">
        <v>39</v>
      </c>
      <c r="U59" s="1">
        <v>45838</v>
      </c>
    </row>
    <row r="60" spans="1:21" x14ac:dyDescent="0.3">
      <c r="A60">
        <v>54</v>
      </c>
      <c r="B60">
        <v>18</v>
      </c>
      <c r="C60">
        <v>3</v>
      </c>
      <c r="D60" t="s">
        <v>19</v>
      </c>
      <c r="E60" t="s">
        <v>23</v>
      </c>
      <c r="F60">
        <v>24</v>
      </c>
      <c r="G60" t="s">
        <v>24</v>
      </c>
      <c r="I60" t="s">
        <v>33</v>
      </c>
      <c r="J60" s="1">
        <v>45759</v>
      </c>
      <c r="K60" t="s">
        <v>34</v>
      </c>
      <c r="L60" t="s">
        <v>37</v>
      </c>
      <c r="M60" t="s">
        <v>38</v>
      </c>
      <c r="N60">
        <v>4</v>
      </c>
      <c r="O60">
        <v>0.875</v>
      </c>
      <c r="P60">
        <v>88</v>
      </c>
      <c r="Q60" t="s">
        <v>39</v>
      </c>
      <c r="R60" t="s">
        <v>39</v>
      </c>
      <c r="T60" t="s">
        <v>39</v>
      </c>
      <c r="U60" s="1">
        <v>45838</v>
      </c>
    </row>
    <row r="61" spans="1:21" x14ac:dyDescent="0.3">
      <c r="A61">
        <v>55</v>
      </c>
      <c r="B61">
        <v>19</v>
      </c>
      <c r="C61">
        <v>1</v>
      </c>
      <c r="D61" t="s">
        <v>20</v>
      </c>
      <c r="E61" t="s">
        <v>23</v>
      </c>
      <c r="F61">
        <v>22</v>
      </c>
      <c r="G61" t="s">
        <v>29</v>
      </c>
      <c r="I61" t="s">
        <v>32</v>
      </c>
      <c r="J61" s="1">
        <v>45721</v>
      </c>
      <c r="K61" t="s">
        <v>34</v>
      </c>
      <c r="L61" t="s">
        <v>35</v>
      </c>
      <c r="M61" t="s">
        <v>38</v>
      </c>
      <c r="N61">
        <v>4</v>
      </c>
      <c r="O61">
        <v>0.875</v>
      </c>
      <c r="P61">
        <v>73.5</v>
      </c>
      <c r="Q61" t="s">
        <v>40</v>
      </c>
      <c r="R61" t="s">
        <v>40</v>
      </c>
      <c r="T61" t="s">
        <v>40</v>
      </c>
      <c r="U61" s="1">
        <v>45838</v>
      </c>
    </row>
    <row r="62" spans="1:21" x14ac:dyDescent="0.3">
      <c r="A62">
        <v>56</v>
      </c>
      <c r="B62">
        <v>19</v>
      </c>
      <c r="C62">
        <v>2</v>
      </c>
      <c r="D62" t="s">
        <v>19</v>
      </c>
      <c r="E62" t="s">
        <v>23</v>
      </c>
      <c r="F62">
        <v>22</v>
      </c>
      <c r="G62" t="s">
        <v>29</v>
      </c>
      <c r="I62" t="s">
        <v>32</v>
      </c>
      <c r="J62" s="1">
        <v>45721</v>
      </c>
      <c r="K62" t="s">
        <v>34</v>
      </c>
      <c r="L62" t="s">
        <v>36</v>
      </c>
      <c r="M62" t="s">
        <v>38</v>
      </c>
      <c r="N62">
        <v>4</v>
      </c>
      <c r="O62">
        <v>0.89583333333333337</v>
      </c>
      <c r="P62">
        <v>87</v>
      </c>
      <c r="Q62" t="s">
        <v>40</v>
      </c>
      <c r="R62" t="s">
        <v>40</v>
      </c>
      <c r="T62" t="s">
        <v>40</v>
      </c>
      <c r="U62" s="1">
        <v>45838</v>
      </c>
    </row>
    <row r="63" spans="1:21" x14ac:dyDescent="0.3">
      <c r="A63">
        <v>57</v>
      </c>
      <c r="B63">
        <v>19</v>
      </c>
      <c r="C63">
        <v>3</v>
      </c>
      <c r="D63" t="s">
        <v>20</v>
      </c>
      <c r="E63" t="s">
        <v>23</v>
      </c>
      <c r="F63">
        <v>22</v>
      </c>
      <c r="G63" t="s">
        <v>29</v>
      </c>
      <c r="I63" t="s">
        <v>32</v>
      </c>
      <c r="J63" s="1">
        <v>45721</v>
      </c>
      <c r="K63" t="s">
        <v>34</v>
      </c>
      <c r="L63" t="s">
        <v>37</v>
      </c>
      <c r="M63" t="s">
        <v>38</v>
      </c>
      <c r="N63">
        <v>4</v>
      </c>
      <c r="O63">
        <v>0.77083333333333337</v>
      </c>
      <c r="P63">
        <v>54.5</v>
      </c>
      <c r="Q63" t="s">
        <v>40</v>
      </c>
      <c r="R63" t="s">
        <v>40</v>
      </c>
      <c r="T63" t="s">
        <v>40</v>
      </c>
      <c r="U63" s="1">
        <v>45838</v>
      </c>
    </row>
    <row r="64" spans="1:21" x14ac:dyDescent="0.3">
      <c r="A64">
        <v>58</v>
      </c>
      <c r="B64">
        <v>20</v>
      </c>
      <c r="C64">
        <v>1</v>
      </c>
      <c r="D64" t="s">
        <v>20</v>
      </c>
      <c r="E64" t="s">
        <v>23</v>
      </c>
      <c r="F64">
        <v>31</v>
      </c>
      <c r="G64" t="s">
        <v>26</v>
      </c>
      <c r="I64" t="s">
        <v>33</v>
      </c>
      <c r="J64" s="1">
        <v>45750</v>
      </c>
      <c r="K64" t="s">
        <v>34</v>
      </c>
      <c r="L64" t="s">
        <v>35</v>
      </c>
      <c r="M64" t="s">
        <v>38</v>
      </c>
      <c r="N64">
        <v>4</v>
      </c>
      <c r="O64">
        <v>0.85416666666666663</v>
      </c>
      <c r="P64">
        <v>77</v>
      </c>
      <c r="Q64" t="s">
        <v>39</v>
      </c>
      <c r="R64" t="s">
        <v>39</v>
      </c>
      <c r="T64" t="s">
        <v>39</v>
      </c>
      <c r="U64" s="1">
        <v>45838</v>
      </c>
    </row>
    <row r="65" spans="1:21" x14ac:dyDescent="0.3">
      <c r="A65">
        <v>59</v>
      </c>
      <c r="B65">
        <v>20</v>
      </c>
      <c r="C65">
        <v>2</v>
      </c>
      <c r="D65" t="s">
        <v>19</v>
      </c>
      <c r="E65" t="s">
        <v>23</v>
      </c>
      <c r="F65">
        <v>31</v>
      </c>
      <c r="G65" t="s">
        <v>26</v>
      </c>
      <c r="I65" t="s">
        <v>33</v>
      </c>
      <c r="J65" s="1">
        <v>45750</v>
      </c>
      <c r="K65" t="s">
        <v>34</v>
      </c>
      <c r="L65" t="s">
        <v>36</v>
      </c>
      <c r="M65" t="s">
        <v>38</v>
      </c>
      <c r="N65">
        <v>4</v>
      </c>
      <c r="O65">
        <v>0.8125</v>
      </c>
      <c r="P65">
        <v>82.5</v>
      </c>
      <c r="Q65" t="s">
        <v>39</v>
      </c>
      <c r="R65" t="s">
        <v>39</v>
      </c>
      <c r="T65" t="s">
        <v>39</v>
      </c>
      <c r="U65" s="1">
        <v>45838</v>
      </c>
    </row>
    <row r="66" spans="1:21" x14ac:dyDescent="0.3">
      <c r="A66">
        <v>60</v>
      </c>
      <c r="B66">
        <v>20</v>
      </c>
      <c r="C66">
        <v>3</v>
      </c>
      <c r="D66" t="s">
        <v>19</v>
      </c>
      <c r="E66" t="s">
        <v>23</v>
      </c>
      <c r="F66">
        <v>31</v>
      </c>
      <c r="G66" t="s">
        <v>26</v>
      </c>
      <c r="I66" t="s">
        <v>33</v>
      </c>
      <c r="J66" s="1">
        <v>45750</v>
      </c>
      <c r="K66" t="s">
        <v>34</v>
      </c>
      <c r="L66" t="s">
        <v>37</v>
      </c>
      <c r="M66" t="s">
        <v>38</v>
      </c>
      <c r="N66">
        <v>4</v>
      </c>
      <c r="O66">
        <v>0.79166666666666663</v>
      </c>
      <c r="P66">
        <v>62.5</v>
      </c>
      <c r="Q66" t="s">
        <v>39</v>
      </c>
      <c r="R66" t="s">
        <v>39</v>
      </c>
      <c r="T66" t="s">
        <v>39</v>
      </c>
      <c r="U66" s="1">
        <v>45838</v>
      </c>
    </row>
    <row r="67" spans="1:21" x14ac:dyDescent="0.3">
      <c r="A67">
        <v>61</v>
      </c>
      <c r="B67">
        <v>21</v>
      </c>
      <c r="C67">
        <v>1</v>
      </c>
      <c r="D67" t="s">
        <v>20</v>
      </c>
      <c r="E67" t="s">
        <v>22</v>
      </c>
      <c r="F67">
        <v>22</v>
      </c>
      <c r="G67" t="s">
        <v>26</v>
      </c>
      <c r="I67" t="s">
        <v>33</v>
      </c>
      <c r="J67" s="1">
        <v>45681</v>
      </c>
      <c r="K67" t="s">
        <v>34</v>
      </c>
      <c r="L67" t="s">
        <v>35</v>
      </c>
      <c r="M67" t="s">
        <v>38</v>
      </c>
      <c r="N67">
        <v>4</v>
      </c>
      <c r="O67">
        <v>0.83333333333333337</v>
      </c>
      <c r="P67">
        <v>81</v>
      </c>
      <c r="Q67" t="s">
        <v>39</v>
      </c>
      <c r="R67" t="s">
        <v>40</v>
      </c>
      <c r="T67" t="s">
        <v>40</v>
      </c>
      <c r="U67" s="1">
        <v>45838</v>
      </c>
    </row>
    <row r="68" spans="1:21" x14ac:dyDescent="0.3">
      <c r="A68">
        <v>62</v>
      </c>
      <c r="B68">
        <v>21</v>
      </c>
      <c r="C68">
        <v>2</v>
      </c>
      <c r="D68" t="s">
        <v>20</v>
      </c>
      <c r="E68" t="s">
        <v>22</v>
      </c>
      <c r="F68">
        <v>22</v>
      </c>
      <c r="G68" t="s">
        <v>26</v>
      </c>
      <c r="I68" t="s">
        <v>33</v>
      </c>
      <c r="J68" s="1">
        <v>45681</v>
      </c>
      <c r="K68" t="s">
        <v>34</v>
      </c>
      <c r="L68" t="s">
        <v>36</v>
      </c>
      <c r="M68" t="s">
        <v>38</v>
      </c>
      <c r="N68">
        <v>4</v>
      </c>
      <c r="O68">
        <v>0.72916666666666663</v>
      </c>
      <c r="P68">
        <v>93.5</v>
      </c>
      <c r="Q68" t="s">
        <v>39</v>
      </c>
      <c r="R68" t="s">
        <v>40</v>
      </c>
      <c r="T68" t="s">
        <v>40</v>
      </c>
      <c r="U68" s="1">
        <v>45838</v>
      </c>
    </row>
    <row r="69" spans="1:21" x14ac:dyDescent="0.3">
      <c r="A69">
        <v>63</v>
      </c>
      <c r="B69">
        <v>21</v>
      </c>
      <c r="C69">
        <v>3</v>
      </c>
      <c r="D69" t="s">
        <v>20</v>
      </c>
      <c r="E69" t="s">
        <v>22</v>
      </c>
      <c r="F69">
        <v>22</v>
      </c>
      <c r="G69" t="s">
        <v>26</v>
      </c>
      <c r="I69" t="s">
        <v>33</v>
      </c>
      <c r="J69" s="1">
        <v>45681</v>
      </c>
      <c r="K69" t="s">
        <v>34</v>
      </c>
      <c r="L69" t="s">
        <v>37</v>
      </c>
      <c r="M69" t="s">
        <v>38</v>
      </c>
      <c r="N69">
        <v>4</v>
      </c>
      <c r="O69">
        <v>0.83333333333333337</v>
      </c>
      <c r="P69">
        <v>65.5</v>
      </c>
      <c r="Q69" t="s">
        <v>39</v>
      </c>
      <c r="R69" t="s">
        <v>40</v>
      </c>
      <c r="T69" t="s">
        <v>40</v>
      </c>
      <c r="U69" s="1">
        <v>45838</v>
      </c>
    </row>
    <row r="70" spans="1:21" x14ac:dyDescent="0.3">
      <c r="A70">
        <v>64</v>
      </c>
      <c r="B70">
        <v>22</v>
      </c>
      <c r="C70">
        <v>1</v>
      </c>
      <c r="D70" t="s">
        <v>21</v>
      </c>
      <c r="E70" t="s">
        <v>22</v>
      </c>
      <c r="F70">
        <v>21</v>
      </c>
      <c r="G70" t="s">
        <v>28</v>
      </c>
      <c r="I70" t="s">
        <v>32</v>
      </c>
      <c r="J70" s="1">
        <v>45766</v>
      </c>
      <c r="K70" t="s">
        <v>34</v>
      </c>
      <c r="L70" t="s">
        <v>35</v>
      </c>
      <c r="M70" t="s">
        <v>38</v>
      </c>
      <c r="N70">
        <v>4</v>
      </c>
      <c r="O70">
        <v>0.83333333333333337</v>
      </c>
      <c r="P70">
        <v>49.5</v>
      </c>
      <c r="Q70" t="s">
        <v>39</v>
      </c>
      <c r="R70" t="s">
        <v>39</v>
      </c>
      <c r="T70" t="s">
        <v>40</v>
      </c>
      <c r="U70" s="1">
        <v>45838</v>
      </c>
    </row>
    <row r="71" spans="1:21" x14ac:dyDescent="0.3">
      <c r="A71">
        <v>65</v>
      </c>
      <c r="B71">
        <v>22</v>
      </c>
      <c r="C71">
        <v>2</v>
      </c>
      <c r="D71" t="s">
        <v>19</v>
      </c>
      <c r="E71" t="s">
        <v>22</v>
      </c>
      <c r="F71">
        <v>21</v>
      </c>
      <c r="G71" t="s">
        <v>28</v>
      </c>
      <c r="I71" t="s">
        <v>32</v>
      </c>
      <c r="J71" s="1">
        <v>45766</v>
      </c>
      <c r="K71" t="s">
        <v>34</v>
      </c>
      <c r="L71" t="s">
        <v>36</v>
      </c>
      <c r="M71" t="s">
        <v>38</v>
      </c>
      <c r="N71">
        <v>4</v>
      </c>
      <c r="O71">
        <v>0.85416666666666663</v>
      </c>
      <c r="P71">
        <v>60</v>
      </c>
      <c r="Q71" t="s">
        <v>39</v>
      </c>
      <c r="R71" t="s">
        <v>39</v>
      </c>
      <c r="T71" t="s">
        <v>40</v>
      </c>
      <c r="U71" s="1">
        <v>45838</v>
      </c>
    </row>
    <row r="72" spans="1:21" x14ac:dyDescent="0.3">
      <c r="A72">
        <v>66</v>
      </c>
      <c r="B72">
        <v>22</v>
      </c>
      <c r="C72">
        <v>3</v>
      </c>
      <c r="D72" t="s">
        <v>19</v>
      </c>
      <c r="E72" t="s">
        <v>22</v>
      </c>
      <c r="F72">
        <v>21</v>
      </c>
      <c r="G72" t="s">
        <v>28</v>
      </c>
      <c r="I72" t="s">
        <v>32</v>
      </c>
      <c r="J72" s="1">
        <v>45766</v>
      </c>
      <c r="K72" t="s">
        <v>34</v>
      </c>
      <c r="L72" t="s">
        <v>37</v>
      </c>
      <c r="M72" t="s">
        <v>38</v>
      </c>
      <c r="N72">
        <v>4</v>
      </c>
      <c r="O72">
        <v>0.83333333333333337</v>
      </c>
      <c r="P72">
        <v>75</v>
      </c>
      <c r="Q72" t="s">
        <v>39</v>
      </c>
      <c r="R72" t="s">
        <v>39</v>
      </c>
      <c r="T72" t="s">
        <v>40</v>
      </c>
      <c r="U72" s="1">
        <v>45838</v>
      </c>
    </row>
    <row r="73" spans="1:21" x14ac:dyDescent="0.3">
      <c r="A73">
        <v>67</v>
      </c>
      <c r="B73">
        <v>23</v>
      </c>
      <c r="C73">
        <v>1</v>
      </c>
      <c r="D73" t="s">
        <v>19</v>
      </c>
      <c r="E73" t="s">
        <v>22</v>
      </c>
      <c r="F73">
        <v>30</v>
      </c>
      <c r="G73" t="s">
        <v>27</v>
      </c>
      <c r="I73" t="s">
        <v>33</v>
      </c>
      <c r="J73" s="1">
        <v>45793</v>
      </c>
      <c r="K73" t="s">
        <v>34</v>
      </c>
      <c r="L73" t="s">
        <v>35</v>
      </c>
      <c r="M73" t="s">
        <v>38</v>
      </c>
      <c r="N73">
        <v>4</v>
      </c>
      <c r="O73">
        <v>0.875</v>
      </c>
      <c r="P73">
        <v>78</v>
      </c>
      <c r="Q73" t="s">
        <v>39</v>
      </c>
      <c r="R73" t="s">
        <v>39</v>
      </c>
      <c r="T73" t="s">
        <v>40</v>
      </c>
      <c r="U73" s="1">
        <v>45838</v>
      </c>
    </row>
    <row r="74" spans="1:21" x14ac:dyDescent="0.3">
      <c r="A74">
        <v>68</v>
      </c>
      <c r="B74">
        <v>23</v>
      </c>
      <c r="C74">
        <v>2</v>
      </c>
      <c r="D74" t="s">
        <v>20</v>
      </c>
      <c r="E74" t="s">
        <v>22</v>
      </c>
      <c r="F74">
        <v>30</v>
      </c>
      <c r="G74" t="s">
        <v>27</v>
      </c>
      <c r="I74" t="s">
        <v>33</v>
      </c>
      <c r="J74" s="1">
        <v>45793</v>
      </c>
      <c r="K74" t="s">
        <v>34</v>
      </c>
      <c r="L74" t="s">
        <v>36</v>
      </c>
      <c r="M74" t="s">
        <v>38</v>
      </c>
      <c r="N74">
        <v>4</v>
      </c>
      <c r="O74">
        <v>0.83333333333333337</v>
      </c>
      <c r="P74">
        <v>69.5</v>
      </c>
      <c r="Q74" t="s">
        <v>39</v>
      </c>
      <c r="R74" t="s">
        <v>39</v>
      </c>
      <c r="T74" t="s">
        <v>40</v>
      </c>
      <c r="U74" s="1">
        <v>45838</v>
      </c>
    </row>
    <row r="75" spans="1:21" x14ac:dyDescent="0.3">
      <c r="A75">
        <v>69</v>
      </c>
      <c r="B75">
        <v>23</v>
      </c>
      <c r="C75">
        <v>3</v>
      </c>
      <c r="D75" t="s">
        <v>19</v>
      </c>
      <c r="E75" t="s">
        <v>22</v>
      </c>
      <c r="F75">
        <v>30</v>
      </c>
      <c r="G75" t="s">
        <v>27</v>
      </c>
      <c r="I75" t="s">
        <v>33</v>
      </c>
      <c r="J75" s="1">
        <v>45793</v>
      </c>
      <c r="K75" t="s">
        <v>34</v>
      </c>
      <c r="L75" t="s">
        <v>37</v>
      </c>
      <c r="M75" t="s">
        <v>38</v>
      </c>
      <c r="N75">
        <v>4</v>
      </c>
      <c r="O75">
        <v>0.83333333333333337</v>
      </c>
      <c r="P75">
        <v>83.5</v>
      </c>
      <c r="Q75" t="s">
        <v>39</v>
      </c>
      <c r="R75" t="s">
        <v>39</v>
      </c>
      <c r="T75" t="s">
        <v>40</v>
      </c>
      <c r="U75" s="1">
        <v>45838</v>
      </c>
    </row>
    <row r="76" spans="1:21" x14ac:dyDescent="0.3">
      <c r="A76">
        <v>70</v>
      </c>
      <c r="B76">
        <v>24</v>
      </c>
      <c r="C76">
        <v>1</v>
      </c>
      <c r="D76" t="s">
        <v>20</v>
      </c>
      <c r="E76" t="s">
        <v>23</v>
      </c>
      <c r="F76">
        <v>35</v>
      </c>
      <c r="G76" t="s">
        <v>25</v>
      </c>
      <c r="I76" t="s">
        <v>31</v>
      </c>
      <c r="J76" s="1">
        <v>45795</v>
      </c>
      <c r="K76" t="s">
        <v>34</v>
      </c>
      <c r="L76" t="s">
        <v>35</v>
      </c>
      <c r="M76" t="s">
        <v>38</v>
      </c>
      <c r="N76">
        <v>4</v>
      </c>
      <c r="O76">
        <v>0.89583333333333337</v>
      </c>
      <c r="P76">
        <v>58.5</v>
      </c>
      <c r="Q76" t="s">
        <v>39</v>
      </c>
      <c r="R76" t="s">
        <v>39</v>
      </c>
      <c r="T76" t="s">
        <v>39</v>
      </c>
      <c r="U76" s="1">
        <v>45838</v>
      </c>
    </row>
    <row r="77" spans="1:21" x14ac:dyDescent="0.3">
      <c r="A77">
        <v>71</v>
      </c>
      <c r="B77">
        <v>24</v>
      </c>
      <c r="C77">
        <v>2</v>
      </c>
      <c r="D77" t="s">
        <v>19</v>
      </c>
      <c r="E77" t="s">
        <v>23</v>
      </c>
      <c r="F77">
        <v>35</v>
      </c>
      <c r="G77" t="s">
        <v>25</v>
      </c>
      <c r="I77" t="s">
        <v>31</v>
      </c>
      <c r="J77" s="1">
        <v>45795</v>
      </c>
      <c r="K77" t="s">
        <v>34</v>
      </c>
      <c r="L77" t="s">
        <v>36</v>
      </c>
      <c r="M77" t="s">
        <v>38</v>
      </c>
      <c r="N77">
        <v>4</v>
      </c>
      <c r="O77">
        <v>0.79166666666666663</v>
      </c>
      <c r="P77">
        <v>85</v>
      </c>
      <c r="Q77" t="s">
        <v>39</v>
      </c>
      <c r="R77" t="s">
        <v>39</v>
      </c>
      <c r="T77" t="s">
        <v>39</v>
      </c>
      <c r="U77" s="1">
        <v>45838</v>
      </c>
    </row>
    <row r="78" spans="1:21" x14ac:dyDescent="0.3">
      <c r="A78">
        <v>72</v>
      </c>
      <c r="B78">
        <v>24</v>
      </c>
      <c r="C78">
        <v>3</v>
      </c>
      <c r="D78" t="s">
        <v>19</v>
      </c>
      <c r="E78" t="s">
        <v>23</v>
      </c>
      <c r="F78">
        <v>35</v>
      </c>
      <c r="G78" t="s">
        <v>25</v>
      </c>
      <c r="I78" t="s">
        <v>31</v>
      </c>
      <c r="J78" s="1">
        <v>45795</v>
      </c>
      <c r="K78" t="s">
        <v>34</v>
      </c>
      <c r="L78" t="s">
        <v>37</v>
      </c>
      <c r="M78" t="s">
        <v>38</v>
      </c>
      <c r="N78">
        <v>4</v>
      </c>
      <c r="O78">
        <v>0.72916666666666663</v>
      </c>
      <c r="P78">
        <v>94.5</v>
      </c>
      <c r="Q78" t="s">
        <v>39</v>
      </c>
      <c r="R78" t="s">
        <v>39</v>
      </c>
      <c r="T78" t="s">
        <v>39</v>
      </c>
      <c r="U78" s="1">
        <v>45838</v>
      </c>
    </row>
    <row r="79" spans="1:21" x14ac:dyDescent="0.3">
      <c r="A79">
        <v>73</v>
      </c>
      <c r="B79">
        <v>25</v>
      </c>
      <c r="C79">
        <v>1</v>
      </c>
      <c r="D79" t="s">
        <v>20</v>
      </c>
      <c r="E79" t="s">
        <v>23</v>
      </c>
      <c r="F79">
        <v>28</v>
      </c>
      <c r="G79" t="s">
        <v>25</v>
      </c>
      <c r="I79" t="s">
        <v>30</v>
      </c>
      <c r="J79" s="1">
        <v>45769</v>
      </c>
      <c r="K79" t="s">
        <v>34</v>
      </c>
      <c r="L79" t="s">
        <v>35</v>
      </c>
      <c r="M79" t="s">
        <v>38</v>
      </c>
      <c r="N79">
        <v>4</v>
      </c>
      <c r="O79">
        <v>0.79166666666666663</v>
      </c>
      <c r="P79">
        <v>69.5</v>
      </c>
      <c r="Q79" t="s">
        <v>40</v>
      </c>
      <c r="R79" t="s">
        <v>40</v>
      </c>
      <c r="T79" t="s">
        <v>40</v>
      </c>
      <c r="U79" s="1">
        <v>45838</v>
      </c>
    </row>
    <row r="80" spans="1:21" x14ac:dyDescent="0.3">
      <c r="A80">
        <v>74</v>
      </c>
      <c r="B80">
        <v>25</v>
      </c>
      <c r="C80">
        <v>2</v>
      </c>
      <c r="D80" t="s">
        <v>21</v>
      </c>
      <c r="E80" t="s">
        <v>23</v>
      </c>
      <c r="F80">
        <v>28</v>
      </c>
      <c r="G80" t="s">
        <v>25</v>
      </c>
      <c r="I80" t="s">
        <v>30</v>
      </c>
      <c r="J80" s="1">
        <v>45769</v>
      </c>
      <c r="K80" t="s">
        <v>34</v>
      </c>
      <c r="L80" t="s">
        <v>36</v>
      </c>
      <c r="M80" t="s">
        <v>38</v>
      </c>
      <c r="N80">
        <v>4</v>
      </c>
      <c r="O80">
        <v>0.75</v>
      </c>
      <c r="P80">
        <v>77</v>
      </c>
      <c r="Q80" t="s">
        <v>40</v>
      </c>
      <c r="R80" t="s">
        <v>40</v>
      </c>
      <c r="T80" t="s">
        <v>40</v>
      </c>
      <c r="U80" s="1">
        <v>45838</v>
      </c>
    </row>
    <row r="81" spans="1:21" x14ac:dyDescent="0.3">
      <c r="A81">
        <v>75</v>
      </c>
      <c r="B81">
        <v>25</v>
      </c>
      <c r="C81">
        <v>3</v>
      </c>
      <c r="D81" t="s">
        <v>19</v>
      </c>
      <c r="E81" t="s">
        <v>23</v>
      </c>
      <c r="F81">
        <v>28</v>
      </c>
      <c r="G81" t="s">
        <v>25</v>
      </c>
      <c r="I81" t="s">
        <v>30</v>
      </c>
      <c r="J81" s="1">
        <v>45769</v>
      </c>
      <c r="K81" t="s">
        <v>34</v>
      </c>
      <c r="L81" t="s">
        <v>37</v>
      </c>
      <c r="M81" t="s">
        <v>38</v>
      </c>
      <c r="N81">
        <v>4</v>
      </c>
      <c r="O81">
        <v>0.77083333333333337</v>
      </c>
      <c r="P81">
        <v>71.5</v>
      </c>
      <c r="Q81" t="s">
        <v>40</v>
      </c>
      <c r="R81" t="s">
        <v>40</v>
      </c>
      <c r="T81" t="s">
        <v>40</v>
      </c>
      <c r="U81" s="1">
        <v>45838</v>
      </c>
    </row>
    <row r="82" spans="1:21" x14ac:dyDescent="0.3">
      <c r="A82">
        <v>76</v>
      </c>
      <c r="B82">
        <v>26</v>
      </c>
      <c r="C82">
        <v>1</v>
      </c>
      <c r="D82" t="s">
        <v>19</v>
      </c>
      <c r="E82" t="s">
        <v>22</v>
      </c>
      <c r="F82">
        <v>32</v>
      </c>
      <c r="G82" t="s">
        <v>25</v>
      </c>
      <c r="I82" t="s">
        <v>30</v>
      </c>
      <c r="J82" s="1">
        <v>45786</v>
      </c>
      <c r="K82" t="s">
        <v>34</v>
      </c>
      <c r="L82" t="s">
        <v>35</v>
      </c>
      <c r="M82" t="s">
        <v>38</v>
      </c>
      <c r="N82">
        <v>4</v>
      </c>
      <c r="O82">
        <v>0.75</v>
      </c>
      <c r="P82">
        <v>73</v>
      </c>
      <c r="Q82" t="s">
        <v>39</v>
      </c>
      <c r="R82" t="s">
        <v>39</v>
      </c>
      <c r="T82" t="s">
        <v>40</v>
      </c>
      <c r="U82" s="1">
        <v>45838</v>
      </c>
    </row>
    <row r="83" spans="1:21" x14ac:dyDescent="0.3">
      <c r="A83">
        <v>77</v>
      </c>
      <c r="B83">
        <v>26</v>
      </c>
      <c r="C83">
        <v>2</v>
      </c>
      <c r="D83" t="s">
        <v>19</v>
      </c>
      <c r="E83" t="s">
        <v>22</v>
      </c>
      <c r="F83">
        <v>32</v>
      </c>
      <c r="G83" t="s">
        <v>25</v>
      </c>
      <c r="I83" t="s">
        <v>30</v>
      </c>
      <c r="J83" s="1">
        <v>45786</v>
      </c>
      <c r="K83" t="s">
        <v>34</v>
      </c>
      <c r="L83" t="s">
        <v>36</v>
      </c>
      <c r="M83" t="s">
        <v>38</v>
      </c>
      <c r="N83">
        <v>4</v>
      </c>
      <c r="O83">
        <v>0.77083333333333337</v>
      </c>
      <c r="P83">
        <v>65</v>
      </c>
      <c r="Q83" t="s">
        <v>39</v>
      </c>
      <c r="R83" t="s">
        <v>39</v>
      </c>
      <c r="T83" t="s">
        <v>40</v>
      </c>
      <c r="U83" s="1">
        <v>45838</v>
      </c>
    </row>
    <row r="84" spans="1:21" x14ac:dyDescent="0.3">
      <c r="A84">
        <v>78</v>
      </c>
      <c r="B84">
        <v>26</v>
      </c>
      <c r="C84">
        <v>3</v>
      </c>
      <c r="D84" t="s">
        <v>19</v>
      </c>
      <c r="E84" t="s">
        <v>22</v>
      </c>
      <c r="F84">
        <v>32</v>
      </c>
      <c r="G84" t="s">
        <v>25</v>
      </c>
      <c r="I84" t="s">
        <v>30</v>
      </c>
      <c r="J84" s="1">
        <v>45786</v>
      </c>
      <c r="K84" t="s">
        <v>34</v>
      </c>
      <c r="L84" t="s">
        <v>37</v>
      </c>
      <c r="M84" t="s">
        <v>38</v>
      </c>
      <c r="N84">
        <v>4</v>
      </c>
      <c r="O84">
        <v>0.89583333333333337</v>
      </c>
      <c r="P84">
        <v>82.5</v>
      </c>
      <c r="Q84" t="s">
        <v>39</v>
      </c>
      <c r="R84" t="s">
        <v>39</v>
      </c>
      <c r="T84" t="s">
        <v>40</v>
      </c>
      <c r="U84" s="1">
        <v>45838</v>
      </c>
    </row>
    <row r="85" spans="1:21" x14ac:dyDescent="0.3">
      <c r="A85">
        <v>79</v>
      </c>
      <c r="B85">
        <v>27</v>
      </c>
      <c r="C85">
        <v>1</v>
      </c>
      <c r="D85" t="s">
        <v>19</v>
      </c>
      <c r="E85" t="s">
        <v>22</v>
      </c>
      <c r="F85">
        <v>34</v>
      </c>
      <c r="G85" t="s">
        <v>25</v>
      </c>
      <c r="I85" t="s">
        <v>30</v>
      </c>
      <c r="J85" s="1">
        <v>45787</v>
      </c>
      <c r="K85" t="s">
        <v>34</v>
      </c>
      <c r="L85" t="s">
        <v>35</v>
      </c>
      <c r="M85" t="s">
        <v>38</v>
      </c>
      <c r="N85">
        <v>4</v>
      </c>
      <c r="O85">
        <v>0.8125</v>
      </c>
      <c r="P85">
        <v>68.5</v>
      </c>
      <c r="Q85" t="s">
        <v>39</v>
      </c>
      <c r="R85" t="s">
        <v>40</v>
      </c>
      <c r="T85" t="s">
        <v>39</v>
      </c>
      <c r="U85" s="1">
        <v>45838</v>
      </c>
    </row>
    <row r="86" spans="1:21" x14ac:dyDescent="0.3">
      <c r="A86">
        <v>80</v>
      </c>
      <c r="B86">
        <v>27</v>
      </c>
      <c r="C86">
        <v>2</v>
      </c>
      <c r="D86" t="s">
        <v>19</v>
      </c>
      <c r="E86" t="s">
        <v>22</v>
      </c>
      <c r="F86">
        <v>34</v>
      </c>
      <c r="G86" t="s">
        <v>25</v>
      </c>
      <c r="I86" t="s">
        <v>30</v>
      </c>
      <c r="J86" s="1">
        <v>45787</v>
      </c>
      <c r="K86" t="s">
        <v>34</v>
      </c>
      <c r="L86" t="s">
        <v>36</v>
      </c>
      <c r="M86" t="s">
        <v>38</v>
      </c>
      <c r="N86">
        <v>4</v>
      </c>
      <c r="O86">
        <v>0.85416666666666663</v>
      </c>
      <c r="P86">
        <v>73</v>
      </c>
      <c r="Q86" t="s">
        <v>39</v>
      </c>
      <c r="R86" t="s">
        <v>40</v>
      </c>
      <c r="T86" t="s">
        <v>39</v>
      </c>
      <c r="U86" s="1">
        <v>45838</v>
      </c>
    </row>
    <row r="87" spans="1:21" x14ac:dyDescent="0.3">
      <c r="A87">
        <v>81</v>
      </c>
      <c r="B87">
        <v>27</v>
      </c>
      <c r="C87">
        <v>3</v>
      </c>
      <c r="D87" t="s">
        <v>19</v>
      </c>
      <c r="E87" t="s">
        <v>22</v>
      </c>
      <c r="F87">
        <v>34</v>
      </c>
      <c r="G87" t="s">
        <v>25</v>
      </c>
      <c r="I87" t="s">
        <v>30</v>
      </c>
      <c r="J87" s="1">
        <v>45787</v>
      </c>
      <c r="K87" t="s">
        <v>34</v>
      </c>
      <c r="L87" t="s">
        <v>37</v>
      </c>
      <c r="M87" t="s">
        <v>38</v>
      </c>
      <c r="N87">
        <v>4</v>
      </c>
      <c r="O87">
        <v>0.8125</v>
      </c>
      <c r="P87">
        <v>81.5</v>
      </c>
      <c r="Q87" t="s">
        <v>39</v>
      </c>
      <c r="R87" t="s">
        <v>40</v>
      </c>
      <c r="T87" t="s">
        <v>39</v>
      </c>
      <c r="U87" s="1">
        <v>45838</v>
      </c>
    </row>
    <row r="88" spans="1:21" x14ac:dyDescent="0.3">
      <c r="A88">
        <v>82</v>
      </c>
      <c r="B88">
        <v>28</v>
      </c>
      <c r="C88">
        <v>1</v>
      </c>
      <c r="D88" t="s">
        <v>21</v>
      </c>
      <c r="E88" t="s">
        <v>22</v>
      </c>
      <c r="F88">
        <v>22</v>
      </c>
      <c r="G88" t="s">
        <v>29</v>
      </c>
      <c r="I88" t="s">
        <v>32</v>
      </c>
      <c r="J88" s="1">
        <v>45796</v>
      </c>
      <c r="K88" t="s">
        <v>34</v>
      </c>
      <c r="L88" t="s">
        <v>35</v>
      </c>
      <c r="M88" t="s">
        <v>38</v>
      </c>
      <c r="N88">
        <v>4</v>
      </c>
      <c r="O88">
        <v>0.875</v>
      </c>
      <c r="P88">
        <v>68.5</v>
      </c>
      <c r="Q88" t="s">
        <v>40</v>
      </c>
      <c r="R88" t="s">
        <v>40</v>
      </c>
      <c r="T88" t="s">
        <v>40</v>
      </c>
      <c r="U88" s="1">
        <v>45838</v>
      </c>
    </row>
    <row r="89" spans="1:21" x14ac:dyDescent="0.3">
      <c r="A89">
        <v>83</v>
      </c>
      <c r="B89">
        <v>28</v>
      </c>
      <c r="C89">
        <v>2</v>
      </c>
      <c r="D89" t="s">
        <v>21</v>
      </c>
      <c r="E89" t="s">
        <v>22</v>
      </c>
      <c r="F89">
        <v>22</v>
      </c>
      <c r="G89" t="s">
        <v>29</v>
      </c>
      <c r="I89" t="s">
        <v>32</v>
      </c>
      <c r="J89" s="1">
        <v>45796</v>
      </c>
      <c r="K89" t="s">
        <v>34</v>
      </c>
      <c r="L89" t="s">
        <v>36</v>
      </c>
      <c r="M89" t="s">
        <v>38</v>
      </c>
      <c r="N89">
        <v>4</v>
      </c>
      <c r="O89">
        <v>0.85416666666666663</v>
      </c>
      <c r="P89">
        <v>98.5</v>
      </c>
      <c r="Q89" t="s">
        <v>40</v>
      </c>
      <c r="R89" t="s">
        <v>40</v>
      </c>
      <c r="T89" t="s">
        <v>40</v>
      </c>
      <c r="U89" s="1">
        <v>45838</v>
      </c>
    </row>
    <row r="90" spans="1:21" x14ac:dyDescent="0.3">
      <c r="A90">
        <v>84</v>
      </c>
      <c r="B90">
        <v>28</v>
      </c>
      <c r="C90">
        <v>3</v>
      </c>
      <c r="D90" t="s">
        <v>19</v>
      </c>
      <c r="E90" t="s">
        <v>22</v>
      </c>
      <c r="F90">
        <v>22</v>
      </c>
      <c r="G90" t="s">
        <v>29</v>
      </c>
      <c r="I90" t="s">
        <v>32</v>
      </c>
      <c r="J90" s="1">
        <v>45796</v>
      </c>
      <c r="K90" t="s">
        <v>34</v>
      </c>
      <c r="L90" t="s">
        <v>37</v>
      </c>
      <c r="M90" t="s">
        <v>38</v>
      </c>
      <c r="N90">
        <v>4</v>
      </c>
      <c r="O90">
        <v>0.89583333333333337</v>
      </c>
      <c r="P90">
        <v>86.5</v>
      </c>
      <c r="Q90" t="s">
        <v>40</v>
      </c>
      <c r="R90" t="s">
        <v>40</v>
      </c>
      <c r="T90" t="s">
        <v>40</v>
      </c>
      <c r="U90" s="1">
        <v>45838</v>
      </c>
    </row>
    <row r="91" spans="1:21" x14ac:dyDescent="0.3">
      <c r="A91">
        <v>85</v>
      </c>
      <c r="B91">
        <v>29</v>
      </c>
      <c r="C91">
        <v>1</v>
      </c>
      <c r="D91" t="s">
        <v>21</v>
      </c>
      <c r="E91" t="s">
        <v>22</v>
      </c>
      <c r="F91">
        <v>28</v>
      </c>
      <c r="G91" t="s">
        <v>27</v>
      </c>
      <c r="I91" t="s">
        <v>31</v>
      </c>
      <c r="J91" s="1">
        <v>45686</v>
      </c>
      <c r="K91" t="s">
        <v>34</v>
      </c>
      <c r="L91" t="s">
        <v>35</v>
      </c>
      <c r="M91" t="s">
        <v>38</v>
      </c>
      <c r="N91">
        <v>4</v>
      </c>
      <c r="O91">
        <v>0.85416666666666663</v>
      </c>
      <c r="P91">
        <v>94</v>
      </c>
      <c r="Q91" t="s">
        <v>39</v>
      </c>
      <c r="R91" t="s">
        <v>40</v>
      </c>
      <c r="T91" t="s">
        <v>39</v>
      </c>
      <c r="U91" s="1">
        <v>45838</v>
      </c>
    </row>
    <row r="92" spans="1:21" x14ac:dyDescent="0.3">
      <c r="A92">
        <v>86</v>
      </c>
      <c r="B92">
        <v>29</v>
      </c>
      <c r="C92">
        <v>2</v>
      </c>
      <c r="D92" t="s">
        <v>19</v>
      </c>
      <c r="E92" t="s">
        <v>22</v>
      </c>
      <c r="F92">
        <v>28</v>
      </c>
      <c r="G92" t="s">
        <v>27</v>
      </c>
      <c r="I92" t="s">
        <v>31</v>
      </c>
      <c r="J92" s="1">
        <v>45686</v>
      </c>
      <c r="K92" t="s">
        <v>34</v>
      </c>
      <c r="L92" t="s">
        <v>36</v>
      </c>
      <c r="M92" t="s">
        <v>38</v>
      </c>
      <c r="N92">
        <v>4</v>
      </c>
      <c r="O92">
        <v>0.83333333333333337</v>
      </c>
      <c r="P92">
        <v>65</v>
      </c>
      <c r="Q92" t="s">
        <v>39</v>
      </c>
      <c r="R92" t="s">
        <v>40</v>
      </c>
      <c r="T92" t="s">
        <v>39</v>
      </c>
      <c r="U92" s="1">
        <v>45838</v>
      </c>
    </row>
    <row r="93" spans="1:21" x14ac:dyDescent="0.3">
      <c r="A93">
        <v>87</v>
      </c>
      <c r="B93">
        <v>29</v>
      </c>
      <c r="C93">
        <v>3</v>
      </c>
      <c r="D93" t="s">
        <v>21</v>
      </c>
      <c r="E93" t="s">
        <v>22</v>
      </c>
      <c r="F93">
        <v>28</v>
      </c>
      <c r="G93" t="s">
        <v>27</v>
      </c>
      <c r="I93" t="s">
        <v>31</v>
      </c>
      <c r="J93" s="1">
        <v>45686</v>
      </c>
      <c r="K93" t="s">
        <v>34</v>
      </c>
      <c r="L93" t="s">
        <v>37</v>
      </c>
      <c r="M93" t="s">
        <v>38</v>
      </c>
      <c r="N93">
        <v>4</v>
      </c>
      <c r="O93">
        <v>0.89583333333333337</v>
      </c>
      <c r="P93">
        <v>95.5</v>
      </c>
      <c r="Q93" t="s">
        <v>39</v>
      </c>
      <c r="R93" t="s">
        <v>40</v>
      </c>
      <c r="T93" t="s">
        <v>39</v>
      </c>
      <c r="U93" s="1">
        <v>45838</v>
      </c>
    </row>
    <row r="94" spans="1:21" x14ac:dyDescent="0.3">
      <c r="A94">
        <v>88</v>
      </c>
      <c r="B94">
        <v>30</v>
      </c>
      <c r="C94">
        <v>1</v>
      </c>
      <c r="D94" t="s">
        <v>20</v>
      </c>
      <c r="E94" t="s">
        <v>23</v>
      </c>
      <c r="F94">
        <v>27</v>
      </c>
      <c r="G94" t="s">
        <v>28</v>
      </c>
      <c r="I94" t="s">
        <v>31</v>
      </c>
      <c r="J94" s="1">
        <v>45719</v>
      </c>
      <c r="K94" t="s">
        <v>34</v>
      </c>
      <c r="L94" t="s">
        <v>35</v>
      </c>
      <c r="M94" t="s">
        <v>38</v>
      </c>
      <c r="N94">
        <v>4</v>
      </c>
      <c r="O94">
        <v>0.83333333333333337</v>
      </c>
      <c r="P94">
        <v>80.5</v>
      </c>
      <c r="Q94" t="s">
        <v>39</v>
      </c>
      <c r="R94" t="s">
        <v>39</v>
      </c>
      <c r="T94" t="s">
        <v>39</v>
      </c>
      <c r="U94" s="1">
        <v>45838</v>
      </c>
    </row>
    <row r="95" spans="1:21" x14ac:dyDescent="0.3">
      <c r="A95">
        <v>89</v>
      </c>
      <c r="B95">
        <v>30</v>
      </c>
      <c r="C95">
        <v>2</v>
      </c>
      <c r="D95" t="s">
        <v>21</v>
      </c>
      <c r="E95" t="s">
        <v>23</v>
      </c>
      <c r="F95">
        <v>27</v>
      </c>
      <c r="G95" t="s">
        <v>28</v>
      </c>
      <c r="I95" t="s">
        <v>31</v>
      </c>
      <c r="J95" s="1">
        <v>45719</v>
      </c>
      <c r="K95" t="s">
        <v>34</v>
      </c>
      <c r="L95" t="s">
        <v>36</v>
      </c>
      <c r="M95" t="s">
        <v>38</v>
      </c>
      <c r="N95">
        <v>4</v>
      </c>
      <c r="O95">
        <v>0.875</v>
      </c>
      <c r="P95">
        <v>80</v>
      </c>
      <c r="Q95" t="s">
        <v>39</v>
      </c>
      <c r="R95" t="s">
        <v>39</v>
      </c>
      <c r="T95" t="s">
        <v>39</v>
      </c>
      <c r="U95" s="1">
        <v>45838</v>
      </c>
    </row>
    <row r="96" spans="1:21" x14ac:dyDescent="0.3">
      <c r="A96">
        <v>90</v>
      </c>
      <c r="B96">
        <v>30</v>
      </c>
      <c r="C96">
        <v>3</v>
      </c>
      <c r="D96" t="s">
        <v>19</v>
      </c>
      <c r="E96" t="s">
        <v>23</v>
      </c>
      <c r="F96">
        <v>27</v>
      </c>
      <c r="G96" t="s">
        <v>28</v>
      </c>
      <c r="I96" t="s">
        <v>31</v>
      </c>
      <c r="J96" s="1">
        <v>45719</v>
      </c>
      <c r="K96" t="s">
        <v>34</v>
      </c>
      <c r="L96" t="s">
        <v>37</v>
      </c>
      <c r="M96" t="s">
        <v>38</v>
      </c>
      <c r="N96">
        <v>4</v>
      </c>
      <c r="O96">
        <v>0.83333333333333337</v>
      </c>
      <c r="P96">
        <v>68</v>
      </c>
      <c r="Q96" t="s">
        <v>39</v>
      </c>
      <c r="R96" t="s">
        <v>39</v>
      </c>
      <c r="T96" t="s">
        <v>39</v>
      </c>
      <c r="U96" s="1">
        <v>45838</v>
      </c>
    </row>
    <row r="97" spans="1:21" x14ac:dyDescent="0.3">
      <c r="A97">
        <v>91</v>
      </c>
      <c r="B97">
        <v>31</v>
      </c>
      <c r="C97">
        <v>1</v>
      </c>
      <c r="D97" t="s">
        <v>19</v>
      </c>
      <c r="E97" t="s">
        <v>22</v>
      </c>
      <c r="F97">
        <v>20</v>
      </c>
      <c r="G97" t="s">
        <v>24</v>
      </c>
      <c r="I97" t="s">
        <v>33</v>
      </c>
      <c r="J97" s="1">
        <v>45675</v>
      </c>
      <c r="K97" t="s">
        <v>34</v>
      </c>
      <c r="L97" t="s">
        <v>35</v>
      </c>
      <c r="M97" t="s">
        <v>38</v>
      </c>
      <c r="N97">
        <v>4</v>
      </c>
      <c r="O97">
        <v>0.91666666666666663</v>
      </c>
      <c r="P97">
        <v>68</v>
      </c>
      <c r="Q97" t="s">
        <v>39</v>
      </c>
      <c r="R97" t="s">
        <v>39</v>
      </c>
      <c r="T97" t="s">
        <v>40</v>
      </c>
      <c r="U97" s="1">
        <v>45838</v>
      </c>
    </row>
    <row r="98" spans="1:21" x14ac:dyDescent="0.3">
      <c r="A98">
        <v>92</v>
      </c>
      <c r="B98">
        <v>31</v>
      </c>
      <c r="C98">
        <v>2</v>
      </c>
      <c r="D98" t="s">
        <v>19</v>
      </c>
      <c r="E98" t="s">
        <v>22</v>
      </c>
      <c r="F98">
        <v>20</v>
      </c>
      <c r="G98" t="s">
        <v>24</v>
      </c>
      <c r="I98" t="s">
        <v>33</v>
      </c>
      <c r="J98" s="1">
        <v>45675</v>
      </c>
      <c r="K98" t="s">
        <v>34</v>
      </c>
      <c r="L98" t="s">
        <v>36</v>
      </c>
      <c r="M98" t="s">
        <v>38</v>
      </c>
      <c r="N98">
        <v>4</v>
      </c>
      <c r="O98">
        <v>0.89583333333333337</v>
      </c>
      <c r="P98">
        <v>63</v>
      </c>
      <c r="Q98" t="s">
        <v>39</v>
      </c>
      <c r="R98" t="s">
        <v>39</v>
      </c>
      <c r="T98" t="s">
        <v>40</v>
      </c>
      <c r="U98" s="1">
        <v>45838</v>
      </c>
    </row>
    <row r="99" spans="1:21" x14ac:dyDescent="0.3">
      <c r="A99">
        <v>93</v>
      </c>
      <c r="B99">
        <v>31</v>
      </c>
      <c r="C99">
        <v>3</v>
      </c>
      <c r="D99" t="s">
        <v>19</v>
      </c>
      <c r="E99" t="s">
        <v>22</v>
      </c>
      <c r="F99">
        <v>20</v>
      </c>
      <c r="G99" t="s">
        <v>24</v>
      </c>
      <c r="I99" t="s">
        <v>33</v>
      </c>
      <c r="J99" s="1">
        <v>45675</v>
      </c>
      <c r="K99" t="s">
        <v>34</v>
      </c>
      <c r="L99" t="s">
        <v>37</v>
      </c>
      <c r="M99" t="s">
        <v>38</v>
      </c>
      <c r="N99">
        <v>4</v>
      </c>
      <c r="O99">
        <v>0.85416666666666663</v>
      </c>
      <c r="P99">
        <v>71</v>
      </c>
      <c r="Q99" t="s">
        <v>39</v>
      </c>
      <c r="R99" t="s">
        <v>39</v>
      </c>
      <c r="T99" t="s">
        <v>40</v>
      </c>
      <c r="U99" s="1">
        <v>45838</v>
      </c>
    </row>
    <row r="100" spans="1:21" x14ac:dyDescent="0.3">
      <c r="A100">
        <v>94</v>
      </c>
      <c r="B100">
        <v>32</v>
      </c>
      <c r="C100">
        <v>1</v>
      </c>
      <c r="D100" t="s">
        <v>19</v>
      </c>
      <c r="E100" t="s">
        <v>22</v>
      </c>
      <c r="F100">
        <v>22</v>
      </c>
      <c r="G100" t="s">
        <v>24</v>
      </c>
      <c r="I100" t="s">
        <v>33</v>
      </c>
      <c r="J100" s="1">
        <v>45798</v>
      </c>
      <c r="K100" t="s">
        <v>34</v>
      </c>
      <c r="L100" t="s">
        <v>35</v>
      </c>
      <c r="M100" t="s">
        <v>38</v>
      </c>
      <c r="N100">
        <v>4</v>
      </c>
      <c r="O100">
        <v>0.75</v>
      </c>
      <c r="P100">
        <v>95.5</v>
      </c>
      <c r="Q100" t="s">
        <v>39</v>
      </c>
      <c r="R100" t="s">
        <v>39</v>
      </c>
      <c r="T100" t="s">
        <v>40</v>
      </c>
      <c r="U100" s="1">
        <v>45838</v>
      </c>
    </row>
    <row r="101" spans="1:21" x14ac:dyDescent="0.3">
      <c r="A101">
        <v>95</v>
      </c>
      <c r="B101">
        <v>32</v>
      </c>
      <c r="C101">
        <v>2</v>
      </c>
      <c r="D101" t="s">
        <v>19</v>
      </c>
      <c r="E101" t="s">
        <v>22</v>
      </c>
      <c r="F101">
        <v>22</v>
      </c>
      <c r="G101" t="s">
        <v>24</v>
      </c>
      <c r="I101" t="s">
        <v>33</v>
      </c>
      <c r="J101" s="1">
        <v>45798</v>
      </c>
      <c r="K101" t="s">
        <v>34</v>
      </c>
      <c r="L101" t="s">
        <v>36</v>
      </c>
      <c r="M101" t="s">
        <v>38</v>
      </c>
      <c r="N101">
        <v>4</v>
      </c>
      <c r="O101">
        <v>0.85416666666666663</v>
      </c>
      <c r="P101">
        <v>71.5</v>
      </c>
      <c r="Q101" t="s">
        <v>39</v>
      </c>
      <c r="R101" t="s">
        <v>39</v>
      </c>
      <c r="T101" t="s">
        <v>40</v>
      </c>
      <c r="U101" s="1">
        <v>45838</v>
      </c>
    </row>
    <row r="102" spans="1:21" x14ac:dyDescent="0.3">
      <c r="A102">
        <v>96</v>
      </c>
      <c r="B102">
        <v>32</v>
      </c>
      <c r="C102">
        <v>3</v>
      </c>
      <c r="D102" t="s">
        <v>19</v>
      </c>
      <c r="E102" t="s">
        <v>22</v>
      </c>
      <c r="F102">
        <v>22</v>
      </c>
      <c r="G102" t="s">
        <v>24</v>
      </c>
      <c r="I102" t="s">
        <v>33</v>
      </c>
      <c r="J102" s="1">
        <v>45798</v>
      </c>
      <c r="K102" t="s">
        <v>34</v>
      </c>
      <c r="L102" t="s">
        <v>37</v>
      </c>
      <c r="M102" t="s">
        <v>38</v>
      </c>
      <c r="N102">
        <v>4</v>
      </c>
      <c r="O102">
        <v>0.89583333333333337</v>
      </c>
      <c r="P102">
        <v>75.5</v>
      </c>
      <c r="Q102" t="s">
        <v>39</v>
      </c>
      <c r="R102" t="s">
        <v>39</v>
      </c>
      <c r="T102" t="s">
        <v>40</v>
      </c>
      <c r="U102" s="1">
        <v>45838</v>
      </c>
    </row>
    <row r="103" spans="1:21" x14ac:dyDescent="0.3">
      <c r="A103">
        <v>97</v>
      </c>
      <c r="B103">
        <v>33</v>
      </c>
      <c r="C103">
        <v>1</v>
      </c>
      <c r="D103" t="s">
        <v>19</v>
      </c>
      <c r="E103" t="s">
        <v>22</v>
      </c>
      <c r="F103">
        <v>26</v>
      </c>
      <c r="G103" t="s">
        <v>26</v>
      </c>
      <c r="I103" t="s">
        <v>33</v>
      </c>
      <c r="J103" s="1">
        <v>45712</v>
      </c>
      <c r="K103" t="s">
        <v>34</v>
      </c>
      <c r="L103" t="s">
        <v>35</v>
      </c>
      <c r="M103" t="s">
        <v>38</v>
      </c>
      <c r="N103">
        <v>4</v>
      </c>
      <c r="O103">
        <v>0.83333333333333337</v>
      </c>
      <c r="P103">
        <v>71</v>
      </c>
      <c r="Q103" t="s">
        <v>39</v>
      </c>
      <c r="R103" t="s">
        <v>39</v>
      </c>
      <c r="T103" t="s">
        <v>40</v>
      </c>
      <c r="U103" s="1">
        <v>45838</v>
      </c>
    </row>
    <row r="104" spans="1:21" x14ac:dyDescent="0.3">
      <c r="A104">
        <v>98</v>
      </c>
      <c r="B104">
        <v>33</v>
      </c>
      <c r="C104">
        <v>2</v>
      </c>
      <c r="D104" t="s">
        <v>19</v>
      </c>
      <c r="E104" t="s">
        <v>22</v>
      </c>
      <c r="F104">
        <v>26</v>
      </c>
      <c r="G104" t="s">
        <v>26</v>
      </c>
      <c r="I104" t="s">
        <v>33</v>
      </c>
      <c r="J104" s="1">
        <v>45712</v>
      </c>
      <c r="K104" t="s">
        <v>34</v>
      </c>
      <c r="L104" t="s">
        <v>36</v>
      </c>
      <c r="M104" t="s">
        <v>38</v>
      </c>
      <c r="N104">
        <v>4</v>
      </c>
      <c r="O104">
        <v>0.85416666666666663</v>
      </c>
      <c r="P104">
        <v>79</v>
      </c>
      <c r="Q104" t="s">
        <v>39</v>
      </c>
      <c r="R104" t="s">
        <v>39</v>
      </c>
      <c r="T104" t="s">
        <v>40</v>
      </c>
      <c r="U104" s="1">
        <v>45838</v>
      </c>
    </row>
    <row r="105" spans="1:21" x14ac:dyDescent="0.3">
      <c r="A105">
        <v>99</v>
      </c>
      <c r="B105">
        <v>33</v>
      </c>
      <c r="C105">
        <v>3</v>
      </c>
      <c r="D105" t="s">
        <v>21</v>
      </c>
      <c r="E105" t="s">
        <v>22</v>
      </c>
      <c r="F105">
        <v>26</v>
      </c>
      <c r="G105" t="s">
        <v>26</v>
      </c>
      <c r="I105" t="s">
        <v>33</v>
      </c>
      <c r="J105" s="1">
        <v>45712</v>
      </c>
      <c r="K105" t="s">
        <v>34</v>
      </c>
      <c r="L105" t="s">
        <v>37</v>
      </c>
      <c r="M105" t="s">
        <v>38</v>
      </c>
      <c r="N105">
        <v>4</v>
      </c>
      <c r="O105">
        <v>0.79166666666666663</v>
      </c>
      <c r="P105">
        <v>81</v>
      </c>
      <c r="Q105" t="s">
        <v>39</v>
      </c>
      <c r="R105" t="s">
        <v>39</v>
      </c>
      <c r="T105" t="s">
        <v>40</v>
      </c>
      <c r="U105" s="1">
        <v>45838</v>
      </c>
    </row>
    <row r="106" spans="1:21" x14ac:dyDescent="0.3">
      <c r="A106">
        <v>100</v>
      </c>
      <c r="B106">
        <v>34</v>
      </c>
      <c r="C106">
        <v>1</v>
      </c>
      <c r="D106" t="s">
        <v>20</v>
      </c>
      <c r="E106" t="s">
        <v>22</v>
      </c>
      <c r="F106">
        <v>27</v>
      </c>
      <c r="G106" t="s">
        <v>27</v>
      </c>
      <c r="I106" t="s">
        <v>30</v>
      </c>
      <c r="J106" s="1">
        <v>45770</v>
      </c>
      <c r="K106" t="s">
        <v>34</v>
      </c>
      <c r="L106" t="s">
        <v>35</v>
      </c>
      <c r="M106" t="s">
        <v>38</v>
      </c>
      <c r="N106">
        <v>4</v>
      </c>
      <c r="O106">
        <v>0.85416666666666663</v>
      </c>
      <c r="P106">
        <v>51</v>
      </c>
      <c r="Q106" t="s">
        <v>39</v>
      </c>
      <c r="R106" t="s">
        <v>39</v>
      </c>
      <c r="T106" t="s">
        <v>40</v>
      </c>
      <c r="U106" s="1">
        <v>45838</v>
      </c>
    </row>
    <row r="107" spans="1:21" x14ac:dyDescent="0.3">
      <c r="A107">
        <v>101</v>
      </c>
      <c r="B107">
        <v>34</v>
      </c>
      <c r="C107">
        <v>2</v>
      </c>
      <c r="D107" t="s">
        <v>19</v>
      </c>
      <c r="E107" t="s">
        <v>22</v>
      </c>
      <c r="F107">
        <v>27</v>
      </c>
      <c r="G107" t="s">
        <v>27</v>
      </c>
      <c r="I107" t="s">
        <v>30</v>
      </c>
      <c r="J107" s="1">
        <v>45770</v>
      </c>
      <c r="K107" t="s">
        <v>34</v>
      </c>
      <c r="L107" t="s">
        <v>36</v>
      </c>
      <c r="M107" t="s">
        <v>38</v>
      </c>
      <c r="N107">
        <v>4</v>
      </c>
      <c r="O107">
        <v>0.79166666666666663</v>
      </c>
      <c r="P107">
        <v>67.5</v>
      </c>
      <c r="Q107" t="s">
        <v>39</v>
      </c>
      <c r="R107" t="s">
        <v>39</v>
      </c>
      <c r="T107" t="s">
        <v>40</v>
      </c>
      <c r="U107" s="1">
        <v>45838</v>
      </c>
    </row>
    <row r="108" spans="1:21" x14ac:dyDescent="0.3">
      <c r="A108">
        <v>102</v>
      </c>
      <c r="B108">
        <v>34</v>
      </c>
      <c r="C108">
        <v>3</v>
      </c>
      <c r="D108" t="s">
        <v>21</v>
      </c>
      <c r="E108" t="s">
        <v>22</v>
      </c>
      <c r="F108">
        <v>27</v>
      </c>
      <c r="G108" t="s">
        <v>27</v>
      </c>
      <c r="I108" t="s">
        <v>30</v>
      </c>
      <c r="J108" s="1">
        <v>45770</v>
      </c>
      <c r="K108" t="s">
        <v>34</v>
      </c>
      <c r="L108" t="s">
        <v>37</v>
      </c>
      <c r="M108" t="s">
        <v>38</v>
      </c>
      <c r="N108">
        <v>4</v>
      </c>
      <c r="O108">
        <v>0.8125</v>
      </c>
      <c r="P108">
        <v>90.5</v>
      </c>
      <c r="Q108" t="s">
        <v>39</v>
      </c>
      <c r="R108" t="s">
        <v>39</v>
      </c>
      <c r="T108" t="s">
        <v>40</v>
      </c>
      <c r="U108" s="1">
        <v>45838</v>
      </c>
    </row>
    <row r="109" spans="1:21" x14ac:dyDescent="0.3">
      <c r="A109">
        <v>103</v>
      </c>
      <c r="B109">
        <v>35</v>
      </c>
      <c r="C109">
        <v>1</v>
      </c>
      <c r="D109" t="s">
        <v>19</v>
      </c>
      <c r="E109" t="s">
        <v>23</v>
      </c>
      <c r="F109">
        <v>21</v>
      </c>
      <c r="G109" t="s">
        <v>28</v>
      </c>
      <c r="I109" t="s">
        <v>32</v>
      </c>
      <c r="J109" s="1">
        <v>45674</v>
      </c>
      <c r="K109" t="s">
        <v>34</v>
      </c>
      <c r="L109" t="s">
        <v>35</v>
      </c>
      <c r="M109" t="s">
        <v>38</v>
      </c>
      <c r="N109">
        <v>4</v>
      </c>
      <c r="O109">
        <v>0.875</v>
      </c>
      <c r="P109">
        <v>71.5</v>
      </c>
      <c r="Q109" t="s">
        <v>39</v>
      </c>
      <c r="R109" t="s">
        <v>39</v>
      </c>
      <c r="T109" t="s">
        <v>40</v>
      </c>
      <c r="U109" s="1">
        <v>45838</v>
      </c>
    </row>
    <row r="110" spans="1:21" x14ac:dyDescent="0.3">
      <c r="A110">
        <v>104</v>
      </c>
      <c r="B110">
        <v>35</v>
      </c>
      <c r="C110">
        <v>2</v>
      </c>
      <c r="D110" t="s">
        <v>19</v>
      </c>
      <c r="E110" t="s">
        <v>23</v>
      </c>
      <c r="F110">
        <v>21</v>
      </c>
      <c r="G110" t="s">
        <v>28</v>
      </c>
      <c r="I110" t="s">
        <v>32</v>
      </c>
      <c r="J110" s="1">
        <v>45674</v>
      </c>
      <c r="K110" t="s">
        <v>34</v>
      </c>
      <c r="L110" t="s">
        <v>36</v>
      </c>
      <c r="M110" t="s">
        <v>38</v>
      </c>
      <c r="N110">
        <v>4</v>
      </c>
      <c r="O110">
        <v>0.85416666666666663</v>
      </c>
      <c r="P110">
        <v>70.5</v>
      </c>
      <c r="Q110" t="s">
        <v>39</v>
      </c>
      <c r="R110" t="s">
        <v>39</v>
      </c>
      <c r="T110" t="s">
        <v>40</v>
      </c>
      <c r="U110" s="1">
        <v>45838</v>
      </c>
    </row>
    <row r="111" spans="1:21" x14ac:dyDescent="0.3">
      <c r="A111">
        <v>105</v>
      </c>
      <c r="B111">
        <v>35</v>
      </c>
      <c r="C111">
        <v>3</v>
      </c>
      <c r="D111" t="s">
        <v>21</v>
      </c>
      <c r="E111" t="s">
        <v>23</v>
      </c>
      <c r="F111">
        <v>21</v>
      </c>
      <c r="G111" t="s">
        <v>28</v>
      </c>
      <c r="I111" t="s">
        <v>32</v>
      </c>
      <c r="J111" s="1">
        <v>45674</v>
      </c>
      <c r="K111" t="s">
        <v>34</v>
      </c>
      <c r="L111" t="s">
        <v>37</v>
      </c>
      <c r="M111" t="s">
        <v>38</v>
      </c>
      <c r="N111">
        <v>4</v>
      </c>
      <c r="O111">
        <v>0.85416666666666663</v>
      </c>
      <c r="P111">
        <v>66</v>
      </c>
      <c r="Q111" t="s">
        <v>39</v>
      </c>
      <c r="R111" t="s">
        <v>39</v>
      </c>
      <c r="T111" t="s">
        <v>40</v>
      </c>
      <c r="U111" s="1">
        <v>45838</v>
      </c>
    </row>
    <row r="112" spans="1:21" x14ac:dyDescent="0.3">
      <c r="A112">
        <v>106</v>
      </c>
      <c r="B112">
        <v>36</v>
      </c>
      <c r="C112">
        <v>1</v>
      </c>
      <c r="D112" t="s">
        <v>19</v>
      </c>
      <c r="E112" t="s">
        <v>23</v>
      </c>
      <c r="F112">
        <v>18</v>
      </c>
      <c r="G112" t="s">
        <v>26</v>
      </c>
      <c r="I112" t="s">
        <v>32</v>
      </c>
      <c r="J112" s="1">
        <v>45808</v>
      </c>
      <c r="K112" t="s">
        <v>34</v>
      </c>
      <c r="L112" t="s">
        <v>35</v>
      </c>
      <c r="M112" t="s">
        <v>38</v>
      </c>
      <c r="N112">
        <v>4</v>
      </c>
      <c r="O112">
        <v>0.79166666666666663</v>
      </c>
      <c r="P112">
        <v>69.5</v>
      </c>
      <c r="Q112" t="s">
        <v>40</v>
      </c>
      <c r="R112" t="s">
        <v>40</v>
      </c>
      <c r="T112" t="s">
        <v>40</v>
      </c>
      <c r="U112" s="1">
        <v>45838</v>
      </c>
    </row>
    <row r="113" spans="1:21" x14ac:dyDescent="0.3">
      <c r="A113">
        <v>107</v>
      </c>
      <c r="B113">
        <v>36</v>
      </c>
      <c r="C113">
        <v>2</v>
      </c>
      <c r="D113" t="s">
        <v>19</v>
      </c>
      <c r="E113" t="s">
        <v>23</v>
      </c>
      <c r="F113">
        <v>18</v>
      </c>
      <c r="G113" t="s">
        <v>26</v>
      </c>
      <c r="I113" t="s">
        <v>32</v>
      </c>
      <c r="J113" s="1">
        <v>45808</v>
      </c>
      <c r="K113" t="s">
        <v>34</v>
      </c>
      <c r="L113" t="s">
        <v>36</v>
      </c>
      <c r="M113" t="s">
        <v>38</v>
      </c>
      <c r="N113">
        <v>4</v>
      </c>
      <c r="O113">
        <v>0.8125</v>
      </c>
      <c r="P113">
        <v>63.5</v>
      </c>
      <c r="Q113" t="s">
        <v>40</v>
      </c>
      <c r="R113" t="s">
        <v>40</v>
      </c>
      <c r="T113" t="s">
        <v>40</v>
      </c>
      <c r="U113" s="1">
        <v>45838</v>
      </c>
    </row>
    <row r="114" spans="1:21" x14ac:dyDescent="0.3">
      <c r="A114">
        <v>108</v>
      </c>
      <c r="B114">
        <v>36</v>
      </c>
      <c r="C114">
        <v>3</v>
      </c>
      <c r="D114" t="s">
        <v>19</v>
      </c>
      <c r="E114" t="s">
        <v>23</v>
      </c>
      <c r="F114">
        <v>18</v>
      </c>
      <c r="G114" t="s">
        <v>26</v>
      </c>
      <c r="I114" t="s">
        <v>32</v>
      </c>
      <c r="J114" s="1">
        <v>45808</v>
      </c>
      <c r="K114" t="s">
        <v>34</v>
      </c>
      <c r="L114" t="s">
        <v>37</v>
      </c>
      <c r="M114" t="s">
        <v>38</v>
      </c>
      <c r="N114">
        <v>4</v>
      </c>
      <c r="O114">
        <v>0.8125</v>
      </c>
      <c r="P114">
        <v>60</v>
      </c>
      <c r="Q114" t="s">
        <v>40</v>
      </c>
      <c r="R114" t="s">
        <v>40</v>
      </c>
      <c r="T114" t="s">
        <v>40</v>
      </c>
      <c r="U114" s="1">
        <v>45838</v>
      </c>
    </row>
    <row r="115" spans="1:21" x14ac:dyDescent="0.3">
      <c r="A115">
        <v>109</v>
      </c>
      <c r="B115">
        <v>37</v>
      </c>
      <c r="C115">
        <v>1</v>
      </c>
      <c r="D115" t="s">
        <v>19</v>
      </c>
      <c r="E115" t="s">
        <v>22</v>
      </c>
      <c r="F115">
        <v>18</v>
      </c>
      <c r="G115" t="s">
        <v>25</v>
      </c>
      <c r="I115" t="s">
        <v>31</v>
      </c>
      <c r="J115" s="1">
        <v>45716</v>
      </c>
      <c r="K115" t="s">
        <v>34</v>
      </c>
      <c r="L115" t="s">
        <v>35</v>
      </c>
      <c r="M115" t="s">
        <v>38</v>
      </c>
      <c r="N115">
        <v>4</v>
      </c>
      <c r="O115">
        <v>0.77083333333333337</v>
      </c>
      <c r="P115">
        <v>81.5</v>
      </c>
      <c r="Q115" t="s">
        <v>39</v>
      </c>
      <c r="R115" t="s">
        <v>39</v>
      </c>
      <c r="T115" t="s">
        <v>40</v>
      </c>
      <c r="U115" s="1">
        <v>45838</v>
      </c>
    </row>
    <row r="116" spans="1:21" x14ac:dyDescent="0.3">
      <c r="A116">
        <v>110</v>
      </c>
      <c r="B116">
        <v>37</v>
      </c>
      <c r="C116">
        <v>2</v>
      </c>
      <c r="D116" t="s">
        <v>19</v>
      </c>
      <c r="E116" t="s">
        <v>22</v>
      </c>
      <c r="F116">
        <v>18</v>
      </c>
      <c r="G116" t="s">
        <v>25</v>
      </c>
      <c r="I116" t="s">
        <v>31</v>
      </c>
      <c r="J116" s="1">
        <v>45716</v>
      </c>
      <c r="K116" t="s">
        <v>34</v>
      </c>
      <c r="L116" t="s">
        <v>36</v>
      </c>
      <c r="M116" t="s">
        <v>38</v>
      </c>
      <c r="N116">
        <v>4</v>
      </c>
      <c r="O116">
        <v>0.79166666666666663</v>
      </c>
      <c r="P116">
        <v>77</v>
      </c>
      <c r="Q116" t="s">
        <v>39</v>
      </c>
      <c r="R116" t="s">
        <v>39</v>
      </c>
      <c r="T116" t="s">
        <v>40</v>
      </c>
      <c r="U116" s="1">
        <v>45838</v>
      </c>
    </row>
    <row r="117" spans="1:21" x14ac:dyDescent="0.3">
      <c r="A117">
        <v>111</v>
      </c>
      <c r="B117">
        <v>37</v>
      </c>
      <c r="C117">
        <v>3</v>
      </c>
      <c r="D117" t="s">
        <v>20</v>
      </c>
      <c r="E117" t="s">
        <v>22</v>
      </c>
      <c r="F117">
        <v>18</v>
      </c>
      <c r="G117" t="s">
        <v>25</v>
      </c>
      <c r="I117" t="s">
        <v>31</v>
      </c>
      <c r="J117" s="1">
        <v>45716</v>
      </c>
      <c r="K117" t="s">
        <v>34</v>
      </c>
      <c r="L117" t="s">
        <v>37</v>
      </c>
      <c r="M117" t="s">
        <v>38</v>
      </c>
      <c r="N117">
        <v>4</v>
      </c>
      <c r="O117">
        <v>0.9375</v>
      </c>
      <c r="P117">
        <v>70.5</v>
      </c>
      <c r="Q117" t="s">
        <v>39</v>
      </c>
      <c r="R117" t="s">
        <v>39</v>
      </c>
      <c r="T117" t="s">
        <v>40</v>
      </c>
      <c r="U117" s="1">
        <v>45838</v>
      </c>
    </row>
    <row r="118" spans="1:21" x14ac:dyDescent="0.3">
      <c r="A118">
        <v>112</v>
      </c>
      <c r="B118">
        <v>38</v>
      </c>
      <c r="C118">
        <v>1</v>
      </c>
      <c r="D118" t="s">
        <v>21</v>
      </c>
      <c r="E118" t="s">
        <v>22</v>
      </c>
      <c r="F118">
        <v>19</v>
      </c>
      <c r="G118" t="s">
        <v>29</v>
      </c>
      <c r="I118" t="s">
        <v>31</v>
      </c>
      <c r="J118" s="1">
        <v>45789</v>
      </c>
      <c r="K118" t="s">
        <v>34</v>
      </c>
      <c r="L118" t="s">
        <v>35</v>
      </c>
      <c r="M118" t="s">
        <v>38</v>
      </c>
      <c r="N118">
        <v>4</v>
      </c>
      <c r="O118">
        <v>0.8125</v>
      </c>
      <c r="P118">
        <v>52</v>
      </c>
      <c r="Q118" t="s">
        <v>39</v>
      </c>
      <c r="R118" t="s">
        <v>39</v>
      </c>
      <c r="T118" t="s">
        <v>40</v>
      </c>
      <c r="U118" s="1">
        <v>45838</v>
      </c>
    </row>
    <row r="119" spans="1:21" x14ac:dyDescent="0.3">
      <c r="A119">
        <v>113</v>
      </c>
      <c r="B119">
        <v>38</v>
      </c>
      <c r="C119">
        <v>2</v>
      </c>
      <c r="D119" t="s">
        <v>19</v>
      </c>
      <c r="E119" t="s">
        <v>22</v>
      </c>
      <c r="F119">
        <v>19</v>
      </c>
      <c r="G119" t="s">
        <v>29</v>
      </c>
      <c r="I119" t="s">
        <v>31</v>
      </c>
      <c r="J119" s="1">
        <v>45789</v>
      </c>
      <c r="K119" t="s">
        <v>34</v>
      </c>
      <c r="L119" t="s">
        <v>36</v>
      </c>
      <c r="M119" t="s">
        <v>38</v>
      </c>
      <c r="N119">
        <v>4</v>
      </c>
      <c r="O119">
        <v>0.8125</v>
      </c>
      <c r="P119">
        <v>81.5</v>
      </c>
      <c r="Q119" t="s">
        <v>39</v>
      </c>
      <c r="R119" t="s">
        <v>39</v>
      </c>
      <c r="T119" t="s">
        <v>40</v>
      </c>
      <c r="U119" s="1">
        <v>45838</v>
      </c>
    </row>
    <row r="120" spans="1:21" x14ac:dyDescent="0.3">
      <c r="A120">
        <v>114</v>
      </c>
      <c r="B120">
        <v>38</v>
      </c>
      <c r="C120">
        <v>3</v>
      </c>
      <c r="D120" t="s">
        <v>19</v>
      </c>
      <c r="E120" t="s">
        <v>22</v>
      </c>
      <c r="F120">
        <v>19</v>
      </c>
      <c r="G120" t="s">
        <v>29</v>
      </c>
      <c r="I120" t="s">
        <v>31</v>
      </c>
      <c r="J120" s="1">
        <v>45789</v>
      </c>
      <c r="K120" t="s">
        <v>34</v>
      </c>
      <c r="L120" t="s">
        <v>37</v>
      </c>
      <c r="M120" t="s">
        <v>38</v>
      </c>
      <c r="N120">
        <v>4</v>
      </c>
      <c r="O120">
        <v>0.77083333333333337</v>
      </c>
      <c r="P120">
        <v>79</v>
      </c>
      <c r="Q120" t="s">
        <v>39</v>
      </c>
      <c r="R120" t="s">
        <v>39</v>
      </c>
      <c r="T120" t="s">
        <v>40</v>
      </c>
      <c r="U120" s="1">
        <v>45838</v>
      </c>
    </row>
    <row r="121" spans="1:21" x14ac:dyDescent="0.3">
      <c r="A121">
        <v>115</v>
      </c>
      <c r="B121">
        <v>39</v>
      </c>
      <c r="C121">
        <v>1</v>
      </c>
      <c r="D121" t="s">
        <v>20</v>
      </c>
      <c r="E121" t="s">
        <v>22</v>
      </c>
      <c r="F121">
        <v>26</v>
      </c>
      <c r="G121" t="s">
        <v>24</v>
      </c>
      <c r="I121" t="s">
        <v>33</v>
      </c>
      <c r="J121" s="1">
        <v>45712</v>
      </c>
      <c r="K121" t="s">
        <v>34</v>
      </c>
      <c r="L121" t="s">
        <v>35</v>
      </c>
      <c r="M121" t="s">
        <v>38</v>
      </c>
      <c r="N121">
        <v>4</v>
      </c>
      <c r="O121">
        <v>0.8125</v>
      </c>
      <c r="P121">
        <v>59</v>
      </c>
      <c r="Q121" t="s">
        <v>39</v>
      </c>
      <c r="R121" t="s">
        <v>40</v>
      </c>
      <c r="T121" t="s">
        <v>40</v>
      </c>
      <c r="U121" s="1">
        <v>45838</v>
      </c>
    </row>
    <row r="122" spans="1:21" x14ac:dyDescent="0.3">
      <c r="A122">
        <v>116</v>
      </c>
      <c r="B122">
        <v>39</v>
      </c>
      <c r="C122">
        <v>2</v>
      </c>
      <c r="D122" t="s">
        <v>19</v>
      </c>
      <c r="E122" t="s">
        <v>22</v>
      </c>
      <c r="F122">
        <v>26</v>
      </c>
      <c r="G122" t="s">
        <v>24</v>
      </c>
      <c r="I122" t="s">
        <v>33</v>
      </c>
      <c r="J122" s="1">
        <v>45712</v>
      </c>
      <c r="K122" t="s">
        <v>34</v>
      </c>
      <c r="L122" t="s">
        <v>36</v>
      </c>
      <c r="M122" t="s">
        <v>38</v>
      </c>
      <c r="N122">
        <v>4</v>
      </c>
      <c r="O122">
        <v>0.89583333333333337</v>
      </c>
      <c r="P122">
        <v>80</v>
      </c>
      <c r="Q122" t="s">
        <v>39</v>
      </c>
      <c r="R122" t="s">
        <v>40</v>
      </c>
      <c r="T122" t="s">
        <v>40</v>
      </c>
      <c r="U122" s="1">
        <v>45838</v>
      </c>
    </row>
    <row r="123" spans="1:21" x14ac:dyDescent="0.3">
      <c r="A123">
        <v>117</v>
      </c>
      <c r="B123">
        <v>39</v>
      </c>
      <c r="C123">
        <v>3</v>
      </c>
      <c r="D123" t="s">
        <v>19</v>
      </c>
      <c r="E123" t="s">
        <v>22</v>
      </c>
      <c r="F123">
        <v>26</v>
      </c>
      <c r="G123" t="s">
        <v>24</v>
      </c>
      <c r="I123" t="s">
        <v>33</v>
      </c>
      <c r="J123" s="1">
        <v>45712</v>
      </c>
      <c r="K123" t="s">
        <v>34</v>
      </c>
      <c r="L123" t="s">
        <v>37</v>
      </c>
      <c r="M123" t="s">
        <v>38</v>
      </c>
      <c r="N123">
        <v>4</v>
      </c>
      <c r="O123">
        <v>0.83333333333333337</v>
      </c>
      <c r="P123">
        <v>63.5</v>
      </c>
      <c r="Q123" t="s">
        <v>39</v>
      </c>
      <c r="R123" t="s">
        <v>40</v>
      </c>
      <c r="T123" t="s">
        <v>40</v>
      </c>
      <c r="U123" s="1">
        <v>45838</v>
      </c>
    </row>
    <row r="124" spans="1:21" x14ac:dyDescent="0.3">
      <c r="A124">
        <v>118</v>
      </c>
      <c r="B124">
        <v>40</v>
      </c>
      <c r="C124">
        <v>1</v>
      </c>
      <c r="D124" t="s">
        <v>19</v>
      </c>
      <c r="E124" t="s">
        <v>22</v>
      </c>
      <c r="F124">
        <v>33</v>
      </c>
      <c r="G124" t="s">
        <v>28</v>
      </c>
      <c r="I124" t="s">
        <v>33</v>
      </c>
      <c r="J124" s="1">
        <v>45762</v>
      </c>
      <c r="K124" t="s">
        <v>34</v>
      </c>
      <c r="L124" t="s">
        <v>35</v>
      </c>
      <c r="M124" t="s">
        <v>38</v>
      </c>
      <c r="N124">
        <v>4</v>
      </c>
      <c r="O124">
        <v>0.875</v>
      </c>
      <c r="P124">
        <v>69.5</v>
      </c>
      <c r="Q124" t="s">
        <v>39</v>
      </c>
      <c r="R124" t="s">
        <v>39</v>
      </c>
      <c r="T124" t="s">
        <v>40</v>
      </c>
      <c r="U124" s="1">
        <v>45838</v>
      </c>
    </row>
    <row r="125" spans="1:21" x14ac:dyDescent="0.3">
      <c r="A125">
        <v>119</v>
      </c>
      <c r="B125">
        <v>40</v>
      </c>
      <c r="C125">
        <v>2</v>
      </c>
      <c r="D125" t="s">
        <v>19</v>
      </c>
      <c r="E125" t="s">
        <v>22</v>
      </c>
      <c r="F125">
        <v>33</v>
      </c>
      <c r="G125" t="s">
        <v>28</v>
      </c>
      <c r="I125" t="s">
        <v>33</v>
      </c>
      <c r="J125" s="1">
        <v>45762</v>
      </c>
      <c r="K125" t="s">
        <v>34</v>
      </c>
      <c r="L125" t="s">
        <v>36</v>
      </c>
      <c r="M125" t="s">
        <v>38</v>
      </c>
      <c r="N125">
        <v>4</v>
      </c>
      <c r="O125">
        <v>0.77083333333333337</v>
      </c>
      <c r="P125">
        <v>84</v>
      </c>
      <c r="Q125" t="s">
        <v>39</v>
      </c>
      <c r="R125" t="s">
        <v>39</v>
      </c>
      <c r="T125" t="s">
        <v>40</v>
      </c>
      <c r="U125" s="1">
        <v>45838</v>
      </c>
    </row>
    <row r="126" spans="1:21" x14ac:dyDescent="0.3">
      <c r="A126">
        <v>120</v>
      </c>
      <c r="B126">
        <v>40</v>
      </c>
      <c r="C126">
        <v>3</v>
      </c>
      <c r="D126" t="s">
        <v>19</v>
      </c>
      <c r="E126" t="s">
        <v>22</v>
      </c>
      <c r="F126">
        <v>33</v>
      </c>
      <c r="G126" t="s">
        <v>28</v>
      </c>
      <c r="I126" t="s">
        <v>33</v>
      </c>
      <c r="J126" s="1">
        <v>45762</v>
      </c>
      <c r="K126" t="s">
        <v>34</v>
      </c>
      <c r="L126" t="s">
        <v>37</v>
      </c>
      <c r="M126" t="s">
        <v>38</v>
      </c>
      <c r="N126">
        <v>4</v>
      </c>
      <c r="O126">
        <v>0.875</v>
      </c>
      <c r="P126">
        <v>69.5</v>
      </c>
      <c r="Q126" t="s">
        <v>39</v>
      </c>
      <c r="R126" t="s">
        <v>39</v>
      </c>
      <c r="T126" t="s">
        <v>40</v>
      </c>
      <c r="U126" s="1">
        <v>45838</v>
      </c>
    </row>
    <row r="127" spans="1:21" x14ac:dyDescent="0.3">
      <c r="A127">
        <v>121</v>
      </c>
      <c r="B127">
        <v>41</v>
      </c>
      <c r="C127">
        <v>1</v>
      </c>
      <c r="D127" t="s">
        <v>21</v>
      </c>
      <c r="E127" t="s">
        <v>22</v>
      </c>
      <c r="F127">
        <v>21</v>
      </c>
      <c r="G127" t="s">
        <v>25</v>
      </c>
      <c r="I127" t="s">
        <v>33</v>
      </c>
      <c r="J127" s="1">
        <v>45748</v>
      </c>
      <c r="K127" t="s">
        <v>34</v>
      </c>
      <c r="L127" t="s">
        <v>35</v>
      </c>
      <c r="M127" t="s">
        <v>38</v>
      </c>
      <c r="N127">
        <v>4</v>
      </c>
      <c r="O127">
        <v>0.875</v>
      </c>
      <c r="P127">
        <v>67</v>
      </c>
      <c r="Q127" t="s">
        <v>40</v>
      </c>
      <c r="R127" t="s">
        <v>40</v>
      </c>
      <c r="T127" t="s">
        <v>40</v>
      </c>
      <c r="U127" s="1">
        <v>45838</v>
      </c>
    </row>
    <row r="128" spans="1:21" x14ac:dyDescent="0.3">
      <c r="A128">
        <v>122</v>
      </c>
      <c r="B128">
        <v>41</v>
      </c>
      <c r="C128">
        <v>2</v>
      </c>
      <c r="D128" t="s">
        <v>19</v>
      </c>
      <c r="E128" t="s">
        <v>22</v>
      </c>
      <c r="F128">
        <v>21</v>
      </c>
      <c r="G128" t="s">
        <v>25</v>
      </c>
      <c r="I128" t="s">
        <v>33</v>
      </c>
      <c r="J128" s="1">
        <v>45748</v>
      </c>
      <c r="K128" t="s">
        <v>34</v>
      </c>
      <c r="L128" t="s">
        <v>36</v>
      </c>
      <c r="M128" t="s">
        <v>38</v>
      </c>
      <c r="N128">
        <v>4</v>
      </c>
      <c r="O128">
        <v>0.83333333333333337</v>
      </c>
      <c r="P128">
        <v>74</v>
      </c>
      <c r="Q128" t="s">
        <v>40</v>
      </c>
      <c r="R128" t="s">
        <v>40</v>
      </c>
      <c r="T128" t="s">
        <v>40</v>
      </c>
      <c r="U128" s="1">
        <v>45838</v>
      </c>
    </row>
    <row r="129" spans="1:21" x14ac:dyDescent="0.3">
      <c r="A129">
        <v>123</v>
      </c>
      <c r="B129">
        <v>41</v>
      </c>
      <c r="C129">
        <v>3</v>
      </c>
      <c r="D129" t="s">
        <v>19</v>
      </c>
      <c r="E129" t="s">
        <v>22</v>
      </c>
      <c r="F129">
        <v>21</v>
      </c>
      <c r="G129" t="s">
        <v>25</v>
      </c>
      <c r="I129" t="s">
        <v>33</v>
      </c>
      <c r="J129" s="1">
        <v>45748</v>
      </c>
      <c r="K129" t="s">
        <v>34</v>
      </c>
      <c r="L129" t="s">
        <v>37</v>
      </c>
      <c r="M129" t="s">
        <v>38</v>
      </c>
      <c r="N129">
        <v>4</v>
      </c>
      <c r="O129">
        <v>0.89583333333333337</v>
      </c>
      <c r="P129">
        <v>82</v>
      </c>
      <c r="Q129" t="s">
        <v>40</v>
      </c>
      <c r="R129" t="s">
        <v>40</v>
      </c>
      <c r="T129" t="s">
        <v>40</v>
      </c>
      <c r="U129" s="1">
        <v>45838</v>
      </c>
    </row>
    <row r="130" spans="1:21" x14ac:dyDescent="0.3">
      <c r="A130">
        <v>124</v>
      </c>
      <c r="B130">
        <v>42</v>
      </c>
      <c r="C130">
        <v>1</v>
      </c>
      <c r="D130" t="s">
        <v>19</v>
      </c>
      <c r="E130" t="s">
        <v>23</v>
      </c>
      <c r="F130">
        <v>31</v>
      </c>
      <c r="G130" t="s">
        <v>27</v>
      </c>
      <c r="I130" t="s">
        <v>31</v>
      </c>
      <c r="J130" s="1">
        <v>45683</v>
      </c>
      <c r="K130" t="s">
        <v>34</v>
      </c>
      <c r="L130" t="s">
        <v>35</v>
      </c>
      <c r="M130" t="s">
        <v>38</v>
      </c>
      <c r="N130">
        <v>4</v>
      </c>
      <c r="O130">
        <v>0.75</v>
      </c>
      <c r="P130">
        <v>66</v>
      </c>
      <c r="Q130" t="s">
        <v>39</v>
      </c>
      <c r="R130" t="s">
        <v>39</v>
      </c>
      <c r="T130" t="s">
        <v>40</v>
      </c>
      <c r="U130" s="1">
        <v>45838</v>
      </c>
    </row>
    <row r="131" spans="1:21" x14ac:dyDescent="0.3">
      <c r="A131">
        <v>125</v>
      </c>
      <c r="B131">
        <v>42</v>
      </c>
      <c r="C131">
        <v>2</v>
      </c>
      <c r="D131" t="s">
        <v>19</v>
      </c>
      <c r="E131" t="s">
        <v>23</v>
      </c>
      <c r="F131">
        <v>31</v>
      </c>
      <c r="G131" t="s">
        <v>27</v>
      </c>
      <c r="I131" t="s">
        <v>31</v>
      </c>
      <c r="J131" s="1">
        <v>45683</v>
      </c>
      <c r="K131" t="s">
        <v>34</v>
      </c>
      <c r="L131" t="s">
        <v>36</v>
      </c>
      <c r="M131" t="s">
        <v>38</v>
      </c>
      <c r="N131">
        <v>4</v>
      </c>
      <c r="O131">
        <v>0.83333333333333337</v>
      </c>
      <c r="P131">
        <v>74.5</v>
      </c>
      <c r="Q131" t="s">
        <v>39</v>
      </c>
      <c r="R131" t="s">
        <v>39</v>
      </c>
      <c r="T131" t="s">
        <v>40</v>
      </c>
      <c r="U131" s="1">
        <v>45838</v>
      </c>
    </row>
    <row r="132" spans="1:21" x14ac:dyDescent="0.3">
      <c r="A132">
        <v>126</v>
      </c>
      <c r="B132">
        <v>42</v>
      </c>
      <c r="C132">
        <v>3</v>
      </c>
      <c r="D132" t="s">
        <v>19</v>
      </c>
      <c r="E132" t="s">
        <v>23</v>
      </c>
      <c r="F132">
        <v>31</v>
      </c>
      <c r="G132" t="s">
        <v>27</v>
      </c>
      <c r="I132" t="s">
        <v>31</v>
      </c>
      <c r="J132" s="1">
        <v>45683</v>
      </c>
      <c r="K132" t="s">
        <v>34</v>
      </c>
      <c r="L132" t="s">
        <v>37</v>
      </c>
      <c r="M132" t="s">
        <v>38</v>
      </c>
      <c r="N132">
        <v>4</v>
      </c>
      <c r="O132">
        <v>0.83333333333333337</v>
      </c>
      <c r="P132">
        <v>64</v>
      </c>
      <c r="Q132" t="s">
        <v>39</v>
      </c>
      <c r="R132" t="s">
        <v>39</v>
      </c>
      <c r="T132" t="s">
        <v>40</v>
      </c>
      <c r="U132" s="1">
        <v>45838</v>
      </c>
    </row>
    <row r="133" spans="1:21" x14ac:dyDescent="0.3">
      <c r="A133">
        <v>127</v>
      </c>
      <c r="B133">
        <v>43</v>
      </c>
      <c r="C133">
        <v>1</v>
      </c>
      <c r="D133" t="s">
        <v>19</v>
      </c>
      <c r="E133" t="s">
        <v>22</v>
      </c>
      <c r="F133">
        <v>30</v>
      </c>
      <c r="G133" t="s">
        <v>24</v>
      </c>
      <c r="I133" t="s">
        <v>30</v>
      </c>
      <c r="J133" s="1">
        <v>45685</v>
      </c>
      <c r="K133" t="s">
        <v>34</v>
      </c>
      <c r="L133" t="s">
        <v>35</v>
      </c>
      <c r="M133" t="s">
        <v>38</v>
      </c>
      <c r="N133">
        <v>4</v>
      </c>
      <c r="O133">
        <v>0.77083333333333337</v>
      </c>
      <c r="P133">
        <v>76.5</v>
      </c>
      <c r="Q133" t="s">
        <v>39</v>
      </c>
      <c r="R133" t="s">
        <v>39</v>
      </c>
      <c r="T133" t="s">
        <v>40</v>
      </c>
      <c r="U133" s="1">
        <v>45838</v>
      </c>
    </row>
    <row r="134" spans="1:21" x14ac:dyDescent="0.3">
      <c r="A134">
        <v>128</v>
      </c>
      <c r="B134">
        <v>43</v>
      </c>
      <c r="C134">
        <v>2</v>
      </c>
      <c r="D134" t="s">
        <v>19</v>
      </c>
      <c r="E134" t="s">
        <v>22</v>
      </c>
      <c r="F134">
        <v>30</v>
      </c>
      <c r="G134" t="s">
        <v>24</v>
      </c>
      <c r="I134" t="s">
        <v>30</v>
      </c>
      <c r="J134" s="1">
        <v>45685</v>
      </c>
      <c r="K134" t="s">
        <v>34</v>
      </c>
      <c r="L134" t="s">
        <v>36</v>
      </c>
      <c r="M134" t="s">
        <v>38</v>
      </c>
      <c r="N134">
        <v>4</v>
      </c>
      <c r="O134">
        <v>0.85416666666666663</v>
      </c>
      <c r="P134">
        <v>73.5</v>
      </c>
      <c r="Q134" t="s">
        <v>39</v>
      </c>
      <c r="R134" t="s">
        <v>39</v>
      </c>
      <c r="T134" t="s">
        <v>40</v>
      </c>
      <c r="U134" s="1">
        <v>45838</v>
      </c>
    </row>
    <row r="135" spans="1:21" x14ac:dyDescent="0.3">
      <c r="A135">
        <v>129</v>
      </c>
      <c r="B135">
        <v>43</v>
      </c>
      <c r="C135">
        <v>3</v>
      </c>
      <c r="D135" t="s">
        <v>19</v>
      </c>
      <c r="E135" t="s">
        <v>22</v>
      </c>
      <c r="F135">
        <v>30</v>
      </c>
      <c r="G135" t="s">
        <v>24</v>
      </c>
      <c r="I135" t="s">
        <v>30</v>
      </c>
      <c r="J135" s="1">
        <v>45685</v>
      </c>
      <c r="K135" t="s">
        <v>34</v>
      </c>
      <c r="L135" t="s">
        <v>37</v>
      </c>
      <c r="M135" t="s">
        <v>38</v>
      </c>
      <c r="N135">
        <v>4</v>
      </c>
      <c r="O135">
        <v>0.8125</v>
      </c>
      <c r="P135">
        <v>67.5</v>
      </c>
      <c r="Q135" t="s">
        <v>39</v>
      </c>
      <c r="R135" t="s">
        <v>39</v>
      </c>
      <c r="T135" t="s">
        <v>40</v>
      </c>
      <c r="U135" s="1">
        <v>45838</v>
      </c>
    </row>
    <row r="136" spans="1:21" x14ac:dyDescent="0.3">
      <c r="A136">
        <v>130</v>
      </c>
      <c r="B136">
        <v>44</v>
      </c>
      <c r="C136">
        <v>1</v>
      </c>
      <c r="D136" t="s">
        <v>21</v>
      </c>
      <c r="E136" t="s">
        <v>22</v>
      </c>
      <c r="F136">
        <v>24</v>
      </c>
      <c r="G136" t="s">
        <v>28</v>
      </c>
      <c r="I136" t="s">
        <v>33</v>
      </c>
      <c r="J136" s="1">
        <v>45693</v>
      </c>
      <c r="K136" t="s">
        <v>34</v>
      </c>
      <c r="L136" t="s">
        <v>35</v>
      </c>
      <c r="M136" t="s">
        <v>38</v>
      </c>
      <c r="N136">
        <v>4</v>
      </c>
      <c r="O136">
        <v>0.77083333333333337</v>
      </c>
      <c r="P136">
        <v>87</v>
      </c>
      <c r="Q136" t="s">
        <v>40</v>
      </c>
      <c r="R136" t="s">
        <v>40</v>
      </c>
      <c r="T136" t="s">
        <v>40</v>
      </c>
      <c r="U136" s="1">
        <v>45838</v>
      </c>
    </row>
    <row r="137" spans="1:21" x14ac:dyDescent="0.3">
      <c r="A137">
        <v>131</v>
      </c>
      <c r="B137">
        <v>44</v>
      </c>
      <c r="C137">
        <v>2</v>
      </c>
      <c r="D137" t="s">
        <v>21</v>
      </c>
      <c r="E137" t="s">
        <v>22</v>
      </c>
      <c r="F137">
        <v>24</v>
      </c>
      <c r="G137" t="s">
        <v>28</v>
      </c>
      <c r="I137" t="s">
        <v>33</v>
      </c>
      <c r="J137" s="1">
        <v>45693</v>
      </c>
      <c r="K137" t="s">
        <v>34</v>
      </c>
      <c r="L137" t="s">
        <v>36</v>
      </c>
      <c r="M137" t="s">
        <v>38</v>
      </c>
      <c r="N137">
        <v>4</v>
      </c>
      <c r="O137">
        <v>0.8125</v>
      </c>
      <c r="P137">
        <v>57.5</v>
      </c>
      <c r="Q137" t="s">
        <v>40</v>
      </c>
      <c r="R137" t="s">
        <v>40</v>
      </c>
      <c r="T137" t="s">
        <v>40</v>
      </c>
      <c r="U137" s="1">
        <v>45838</v>
      </c>
    </row>
    <row r="138" spans="1:21" x14ac:dyDescent="0.3">
      <c r="A138">
        <v>132</v>
      </c>
      <c r="B138">
        <v>44</v>
      </c>
      <c r="C138">
        <v>3</v>
      </c>
      <c r="D138" t="s">
        <v>19</v>
      </c>
      <c r="E138" t="s">
        <v>22</v>
      </c>
      <c r="F138">
        <v>24</v>
      </c>
      <c r="G138" t="s">
        <v>28</v>
      </c>
      <c r="I138" t="s">
        <v>33</v>
      </c>
      <c r="J138" s="1">
        <v>45693</v>
      </c>
      <c r="K138" t="s">
        <v>34</v>
      </c>
      <c r="L138" t="s">
        <v>37</v>
      </c>
      <c r="M138" t="s">
        <v>38</v>
      </c>
      <c r="N138">
        <v>4</v>
      </c>
      <c r="O138">
        <v>0.85416666666666663</v>
      </c>
      <c r="P138">
        <v>63</v>
      </c>
      <c r="Q138" t="s">
        <v>40</v>
      </c>
      <c r="R138" t="s">
        <v>40</v>
      </c>
      <c r="T138" t="s">
        <v>40</v>
      </c>
      <c r="U138" s="1">
        <v>45838</v>
      </c>
    </row>
    <row r="139" spans="1:21" x14ac:dyDescent="0.3">
      <c r="A139">
        <v>133</v>
      </c>
      <c r="B139">
        <v>45</v>
      </c>
      <c r="C139">
        <v>1</v>
      </c>
      <c r="D139" t="s">
        <v>19</v>
      </c>
      <c r="E139" t="s">
        <v>23</v>
      </c>
      <c r="F139">
        <v>23</v>
      </c>
      <c r="G139" t="s">
        <v>29</v>
      </c>
      <c r="I139" t="s">
        <v>33</v>
      </c>
      <c r="J139" s="1">
        <v>45721</v>
      </c>
      <c r="K139" t="s">
        <v>34</v>
      </c>
      <c r="L139" t="s">
        <v>35</v>
      </c>
      <c r="M139" t="s">
        <v>38</v>
      </c>
      <c r="N139">
        <v>4</v>
      </c>
      <c r="O139">
        <v>0.83333333333333337</v>
      </c>
      <c r="P139">
        <v>80.5</v>
      </c>
      <c r="Q139" t="s">
        <v>39</v>
      </c>
      <c r="R139" t="s">
        <v>39</v>
      </c>
      <c r="T139" t="s">
        <v>40</v>
      </c>
      <c r="U139" s="1">
        <v>45838</v>
      </c>
    </row>
    <row r="140" spans="1:21" x14ac:dyDescent="0.3">
      <c r="A140">
        <v>134</v>
      </c>
      <c r="B140">
        <v>45</v>
      </c>
      <c r="C140">
        <v>2</v>
      </c>
      <c r="D140" t="s">
        <v>21</v>
      </c>
      <c r="E140" t="s">
        <v>23</v>
      </c>
      <c r="F140">
        <v>23</v>
      </c>
      <c r="G140" t="s">
        <v>29</v>
      </c>
      <c r="I140" t="s">
        <v>33</v>
      </c>
      <c r="J140" s="1">
        <v>45721</v>
      </c>
      <c r="K140" t="s">
        <v>34</v>
      </c>
      <c r="L140" t="s">
        <v>36</v>
      </c>
      <c r="M140" t="s">
        <v>38</v>
      </c>
      <c r="N140">
        <v>4</v>
      </c>
      <c r="O140">
        <v>0.875</v>
      </c>
      <c r="P140">
        <v>67.5</v>
      </c>
      <c r="Q140" t="s">
        <v>39</v>
      </c>
      <c r="R140" t="s">
        <v>39</v>
      </c>
      <c r="T140" t="s">
        <v>40</v>
      </c>
      <c r="U140" s="1">
        <v>45838</v>
      </c>
    </row>
    <row r="141" spans="1:21" x14ac:dyDescent="0.3">
      <c r="A141">
        <v>135</v>
      </c>
      <c r="B141">
        <v>45</v>
      </c>
      <c r="C141">
        <v>3</v>
      </c>
      <c r="D141" t="s">
        <v>19</v>
      </c>
      <c r="E141" t="s">
        <v>23</v>
      </c>
      <c r="F141">
        <v>23</v>
      </c>
      <c r="G141" t="s">
        <v>29</v>
      </c>
      <c r="I141" t="s">
        <v>33</v>
      </c>
      <c r="J141" s="1">
        <v>45721</v>
      </c>
      <c r="K141" t="s">
        <v>34</v>
      </c>
      <c r="L141" t="s">
        <v>37</v>
      </c>
      <c r="M141" t="s">
        <v>38</v>
      </c>
      <c r="N141">
        <v>4</v>
      </c>
      <c r="O141">
        <v>0.77083333333333337</v>
      </c>
      <c r="P141">
        <v>71.5</v>
      </c>
      <c r="Q141" t="s">
        <v>39</v>
      </c>
      <c r="R141" t="s">
        <v>39</v>
      </c>
      <c r="T141" t="s">
        <v>40</v>
      </c>
      <c r="U141" s="1">
        <v>45838</v>
      </c>
    </row>
    <row r="142" spans="1:21" x14ac:dyDescent="0.3">
      <c r="A142">
        <v>136</v>
      </c>
      <c r="B142">
        <v>46</v>
      </c>
      <c r="C142">
        <v>1</v>
      </c>
      <c r="D142" t="s">
        <v>19</v>
      </c>
      <c r="E142" t="s">
        <v>22</v>
      </c>
      <c r="F142">
        <v>32</v>
      </c>
      <c r="G142" t="s">
        <v>26</v>
      </c>
      <c r="I142" t="s">
        <v>31</v>
      </c>
      <c r="J142" s="1">
        <v>45670</v>
      </c>
      <c r="K142" t="s">
        <v>34</v>
      </c>
      <c r="L142" t="s">
        <v>35</v>
      </c>
      <c r="M142" t="s">
        <v>38</v>
      </c>
      <c r="N142">
        <v>4</v>
      </c>
      <c r="O142">
        <v>0.8125</v>
      </c>
      <c r="P142">
        <v>54</v>
      </c>
      <c r="Q142" t="s">
        <v>39</v>
      </c>
      <c r="R142" t="s">
        <v>39</v>
      </c>
      <c r="T142" t="s">
        <v>40</v>
      </c>
      <c r="U142" s="1">
        <v>45838</v>
      </c>
    </row>
    <row r="143" spans="1:21" x14ac:dyDescent="0.3">
      <c r="A143">
        <v>137</v>
      </c>
      <c r="B143">
        <v>46</v>
      </c>
      <c r="C143">
        <v>2</v>
      </c>
      <c r="D143" t="s">
        <v>19</v>
      </c>
      <c r="E143" t="s">
        <v>22</v>
      </c>
      <c r="F143">
        <v>32</v>
      </c>
      <c r="G143" t="s">
        <v>26</v>
      </c>
      <c r="I143" t="s">
        <v>31</v>
      </c>
      <c r="J143" s="1">
        <v>45670</v>
      </c>
      <c r="K143" t="s">
        <v>34</v>
      </c>
      <c r="L143" t="s">
        <v>36</v>
      </c>
      <c r="M143" t="s">
        <v>38</v>
      </c>
      <c r="N143">
        <v>4</v>
      </c>
      <c r="O143">
        <v>0.8125</v>
      </c>
      <c r="P143">
        <v>83.5</v>
      </c>
      <c r="Q143" t="s">
        <v>39</v>
      </c>
      <c r="R143" t="s">
        <v>39</v>
      </c>
      <c r="T143" t="s">
        <v>40</v>
      </c>
      <c r="U143" s="1">
        <v>45838</v>
      </c>
    </row>
    <row r="144" spans="1:21" x14ac:dyDescent="0.3">
      <c r="A144">
        <v>138</v>
      </c>
      <c r="B144">
        <v>46</v>
      </c>
      <c r="C144">
        <v>3</v>
      </c>
      <c r="D144" t="s">
        <v>19</v>
      </c>
      <c r="E144" t="s">
        <v>22</v>
      </c>
      <c r="F144">
        <v>32</v>
      </c>
      <c r="G144" t="s">
        <v>26</v>
      </c>
      <c r="I144" t="s">
        <v>31</v>
      </c>
      <c r="J144" s="1">
        <v>45670</v>
      </c>
      <c r="K144" t="s">
        <v>34</v>
      </c>
      <c r="L144" t="s">
        <v>37</v>
      </c>
      <c r="M144" t="s">
        <v>38</v>
      </c>
      <c r="N144">
        <v>4</v>
      </c>
      <c r="O144">
        <v>0.875</v>
      </c>
      <c r="P144">
        <v>69</v>
      </c>
      <c r="Q144" t="s">
        <v>39</v>
      </c>
      <c r="R144" t="s">
        <v>39</v>
      </c>
      <c r="T144" t="s">
        <v>40</v>
      </c>
      <c r="U144" s="1">
        <v>45838</v>
      </c>
    </row>
    <row r="145" spans="1:21" x14ac:dyDescent="0.3">
      <c r="A145">
        <v>139</v>
      </c>
      <c r="B145">
        <v>47</v>
      </c>
      <c r="C145">
        <v>1</v>
      </c>
      <c r="D145" t="s">
        <v>19</v>
      </c>
      <c r="E145" t="s">
        <v>22</v>
      </c>
      <c r="F145">
        <v>20</v>
      </c>
      <c r="G145" t="s">
        <v>28</v>
      </c>
      <c r="I145" t="s">
        <v>32</v>
      </c>
      <c r="J145" s="1">
        <v>45762</v>
      </c>
      <c r="K145" t="s">
        <v>34</v>
      </c>
      <c r="L145" t="s">
        <v>35</v>
      </c>
      <c r="M145" t="s">
        <v>38</v>
      </c>
      <c r="N145">
        <v>4</v>
      </c>
      <c r="O145">
        <v>0.85416666666666663</v>
      </c>
      <c r="P145">
        <v>72</v>
      </c>
      <c r="Q145" t="s">
        <v>39</v>
      </c>
      <c r="R145" t="s">
        <v>39</v>
      </c>
      <c r="T145" t="s">
        <v>40</v>
      </c>
      <c r="U145" s="1">
        <v>45838</v>
      </c>
    </row>
    <row r="146" spans="1:21" x14ac:dyDescent="0.3">
      <c r="A146">
        <v>140</v>
      </c>
      <c r="B146">
        <v>47</v>
      </c>
      <c r="C146">
        <v>2</v>
      </c>
      <c r="D146" t="s">
        <v>19</v>
      </c>
      <c r="E146" t="s">
        <v>22</v>
      </c>
      <c r="F146">
        <v>20</v>
      </c>
      <c r="G146" t="s">
        <v>28</v>
      </c>
      <c r="I146" t="s">
        <v>32</v>
      </c>
      <c r="J146" s="1">
        <v>45762</v>
      </c>
      <c r="K146" t="s">
        <v>34</v>
      </c>
      <c r="L146" t="s">
        <v>36</v>
      </c>
      <c r="M146" t="s">
        <v>38</v>
      </c>
      <c r="N146">
        <v>4</v>
      </c>
      <c r="O146">
        <v>0.70833333333333337</v>
      </c>
      <c r="P146">
        <v>72.5</v>
      </c>
      <c r="Q146" t="s">
        <v>39</v>
      </c>
      <c r="R146" t="s">
        <v>39</v>
      </c>
      <c r="T146" t="s">
        <v>40</v>
      </c>
      <c r="U146" s="1">
        <v>45838</v>
      </c>
    </row>
    <row r="147" spans="1:21" x14ac:dyDescent="0.3">
      <c r="A147">
        <v>141</v>
      </c>
      <c r="B147">
        <v>47</v>
      </c>
      <c r="C147">
        <v>3</v>
      </c>
      <c r="D147" t="s">
        <v>19</v>
      </c>
      <c r="E147" t="s">
        <v>22</v>
      </c>
      <c r="F147">
        <v>20</v>
      </c>
      <c r="G147" t="s">
        <v>28</v>
      </c>
      <c r="I147" t="s">
        <v>32</v>
      </c>
      <c r="J147" s="1">
        <v>45762</v>
      </c>
      <c r="K147" t="s">
        <v>34</v>
      </c>
      <c r="L147" t="s">
        <v>37</v>
      </c>
      <c r="M147" t="s">
        <v>38</v>
      </c>
      <c r="N147">
        <v>4</v>
      </c>
      <c r="O147">
        <v>0.89583333333333337</v>
      </c>
      <c r="P147">
        <v>76</v>
      </c>
      <c r="Q147" t="s">
        <v>39</v>
      </c>
      <c r="R147" t="s">
        <v>39</v>
      </c>
      <c r="T147" t="s">
        <v>40</v>
      </c>
      <c r="U147" s="1">
        <v>45838</v>
      </c>
    </row>
    <row r="148" spans="1:21" x14ac:dyDescent="0.3">
      <c r="A148">
        <v>142</v>
      </c>
      <c r="B148">
        <v>48</v>
      </c>
      <c r="C148">
        <v>1</v>
      </c>
      <c r="D148" t="s">
        <v>19</v>
      </c>
      <c r="E148" t="s">
        <v>23</v>
      </c>
      <c r="F148">
        <v>33</v>
      </c>
      <c r="G148" t="s">
        <v>28</v>
      </c>
      <c r="I148" t="s">
        <v>33</v>
      </c>
      <c r="J148" s="1">
        <v>45673</v>
      </c>
      <c r="K148" t="s">
        <v>34</v>
      </c>
      <c r="L148" t="s">
        <v>35</v>
      </c>
      <c r="M148" t="s">
        <v>38</v>
      </c>
      <c r="N148">
        <v>4</v>
      </c>
      <c r="O148">
        <v>0.91666666666666663</v>
      </c>
      <c r="P148">
        <v>84</v>
      </c>
      <c r="Q148" t="s">
        <v>39</v>
      </c>
      <c r="R148" t="s">
        <v>39</v>
      </c>
      <c r="T148" t="s">
        <v>40</v>
      </c>
      <c r="U148" s="1">
        <v>45838</v>
      </c>
    </row>
    <row r="149" spans="1:21" x14ac:dyDescent="0.3">
      <c r="A149">
        <v>143</v>
      </c>
      <c r="B149">
        <v>48</v>
      </c>
      <c r="C149">
        <v>2</v>
      </c>
      <c r="D149" t="s">
        <v>19</v>
      </c>
      <c r="E149" t="s">
        <v>23</v>
      </c>
      <c r="F149">
        <v>33</v>
      </c>
      <c r="G149" t="s">
        <v>28</v>
      </c>
      <c r="I149" t="s">
        <v>33</v>
      </c>
      <c r="J149" s="1">
        <v>45673</v>
      </c>
      <c r="K149" t="s">
        <v>34</v>
      </c>
      <c r="L149" t="s">
        <v>36</v>
      </c>
      <c r="M149" t="s">
        <v>38</v>
      </c>
      <c r="N149">
        <v>4</v>
      </c>
      <c r="O149">
        <v>0.875</v>
      </c>
      <c r="P149">
        <v>67</v>
      </c>
      <c r="Q149" t="s">
        <v>39</v>
      </c>
      <c r="R149" t="s">
        <v>39</v>
      </c>
      <c r="T149" t="s">
        <v>40</v>
      </c>
      <c r="U149" s="1">
        <v>45838</v>
      </c>
    </row>
    <row r="150" spans="1:21" x14ac:dyDescent="0.3">
      <c r="A150">
        <v>144</v>
      </c>
      <c r="B150">
        <v>48</v>
      </c>
      <c r="C150">
        <v>3</v>
      </c>
      <c r="D150" t="s">
        <v>19</v>
      </c>
      <c r="E150" t="s">
        <v>23</v>
      </c>
      <c r="F150">
        <v>33</v>
      </c>
      <c r="G150" t="s">
        <v>28</v>
      </c>
      <c r="I150" t="s">
        <v>33</v>
      </c>
      <c r="J150" s="1">
        <v>45673</v>
      </c>
      <c r="K150" t="s">
        <v>34</v>
      </c>
      <c r="L150" t="s">
        <v>37</v>
      </c>
      <c r="M150" t="s">
        <v>38</v>
      </c>
      <c r="N150">
        <v>4</v>
      </c>
      <c r="O150">
        <v>0.85416666666666663</v>
      </c>
      <c r="P150">
        <v>77.5</v>
      </c>
      <c r="Q150" t="s">
        <v>39</v>
      </c>
      <c r="R150" t="s">
        <v>39</v>
      </c>
      <c r="T150" t="s">
        <v>40</v>
      </c>
      <c r="U150" s="1">
        <v>45838</v>
      </c>
    </row>
    <row r="151" spans="1:21" x14ac:dyDescent="0.3">
      <c r="A151">
        <v>145</v>
      </c>
      <c r="B151">
        <v>49</v>
      </c>
      <c r="C151">
        <v>1</v>
      </c>
      <c r="D151" t="s">
        <v>19</v>
      </c>
      <c r="E151" t="s">
        <v>22</v>
      </c>
      <c r="F151">
        <v>30</v>
      </c>
      <c r="G151" t="s">
        <v>25</v>
      </c>
      <c r="I151" t="s">
        <v>33</v>
      </c>
      <c r="J151" s="1">
        <v>45725</v>
      </c>
      <c r="K151" t="s">
        <v>34</v>
      </c>
      <c r="L151" t="s">
        <v>35</v>
      </c>
      <c r="M151" t="s">
        <v>38</v>
      </c>
      <c r="N151">
        <v>4</v>
      </c>
      <c r="O151">
        <v>0.77083333333333337</v>
      </c>
      <c r="P151">
        <v>74.5</v>
      </c>
      <c r="Q151" t="s">
        <v>39</v>
      </c>
      <c r="R151" t="s">
        <v>39</v>
      </c>
      <c r="T151" t="s">
        <v>40</v>
      </c>
      <c r="U151" s="1">
        <v>45838</v>
      </c>
    </row>
    <row r="152" spans="1:21" x14ac:dyDescent="0.3">
      <c r="A152">
        <v>146</v>
      </c>
      <c r="B152">
        <v>49</v>
      </c>
      <c r="C152">
        <v>2</v>
      </c>
      <c r="D152" t="s">
        <v>19</v>
      </c>
      <c r="E152" t="s">
        <v>22</v>
      </c>
      <c r="F152">
        <v>30</v>
      </c>
      <c r="G152" t="s">
        <v>25</v>
      </c>
      <c r="I152" t="s">
        <v>33</v>
      </c>
      <c r="J152" s="1">
        <v>45725</v>
      </c>
      <c r="K152" t="s">
        <v>34</v>
      </c>
      <c r="L152" t="s">
        <v>36</v>
      </c>
      <c r="M152" t="s">
        <v>38</v>
      </c>
      <c r="N152">
        <v>4</v>
      </c>
      <c r="O152">
        <v>0.8125</v>
      </c>
      <c r="P152">
        <v>76.5</v>
      </c>
      <c r="Q152" t="s">
        <v>39</v>
      </c>
      <c r="R152" t="s">
        <v>39</v>
      </c>
      <c r="T152" t="s">
        <v>40</v>
      </c>
      <c r="U152" s="1">
        <v>45838</v>
      </c>
    </row>
    <row r="153" spans="1:21" x14ac:dyDescent="0.3">
      <c r="A153">
        <v>147</v>
      </c>
      <c r="B153">
        <v>49</v>
      </c>
      <c r="C153">
        <v>3</v>
      </c>
      <c r="D153" t="s">
        <v>19</v>
      </c>
      <c r="E153" t="s">
        <v>22</v>
      </c>
      <c r="F153">
        <v>30</v>
      </c>
      <c r="G153" t="s">
        <v>25</v>
      </c>
      <c r="I153" t="s">
        <v>33</v>
      </c>
      <c r="J153" s="1">
        <v>45725</v>
      </c>
      <c r="K153" t="s">
        <v>34</v>
      </c>
      <c r="L153" t="s">
        <v>37</v>
      </c>
      <c r="M153" t="s">
        <v>38</v>
      </c>
      <c r="N153">
        <v>4</v>
      </c>
      <c r="O153">
        <v>0.77083333333333337</v>
      </c>
      <c r="P153">
        <v>58.5</v>
      </c>
      <c r="Q153" t="s">
        <v>39</v>
      </c>
      <c r="R153" t="s">
        <v>39</v>
      </c>
      <c r="T153" t="s">
        <v>40</v>
      </c>
      <c r="U153" s="1">
        <v>45838</v>
      </c>
    </row>
    <row r="154" spans="1:21" x14ac:dyDescent="0.3">
      <c r="A154">
        <v>148</v>
      </c>
      <c r="B154">
        <v>50</v>
      </c>
      <c r="C154">
        <v>1</v>
      </c>
      <c r="D154" t="s">
        <v>19</v>
      </c>
      <c r="E154" t="s">
        <v>23</v>
      </c>
      <c r="F154">
        <v>27</v>
      </c>
      <c r="G154" t="s">
        <v>27</v>
      </c>
      <c r="I154" t="s">
        <v>33</v>
      </c>
      <c r="J154" s="1">
        <v>45697</v>
      </c>
      <c r="K154" t="s">
        <v>34</v>
      </c>
      <c r="L154" t="s">
        <v>35</v>
      </c>
      <c r="M154" t="s">
        <v>38</v>
      </c>
      <c r="N154">
        <v>4</v>
      </c>
      <c r="O154">
        <v>0.875</v>
      </c>
      <c r="P154">
        <v>64</v>
      </c>
      <c r="Q154" t="s">
        <v>39</v>
      </c>
      <c r="R154" t="s">
        <v>39</v>
      </c>
      <c r="T154" t="s">
        <v>39</v>
      </c>
      <c r="U154" s="1">
        <v>45838</v>
      </c>
    </row>
    <row r="155" spans="1:21" x14ac:dyDescent="0.3">
      <c r="A155">
        <v>149</v>
      </c>
      <c r="B155">
        <v>50</v>
      </c>
      <c r="C155">
        <v>2</v>
      </c>
      <c r="D155" t="s">
        <v>21</v>
      </c>
      <c r="E155" t="s">
        <v>23</v>
      </c>
      <c r="F155">
        <v>27</v>
      </c>
      <c r="G155" t="s">
        <v>27</v>
      </c>
      <c r="I155" t="s">
        <v>33</v>
      </c>
      <c r="J155" s="1">
        <v>45697</v>
      </c>
      <c r="K155" t="s">
        <v>34</v>
      </c>
      <c r="L155" t="s">
        <v>36</v>
      </c>
      <c r="M155" t="s">
        <v>38</v>
      </c>
      <c r="N155">
        <v>4</v>
      </c>
      <c r="O155">
        <v>0.875</v>
      </c>
      <c r="P155">
        <v>55.5</v>
      </c>
      <c r="Q155" t="s">
        <v>39</v>
      </c>
      <c r="R155" t="s">
        <v>39</v>
      </c>
      <c r="T155" t="s">
        <v>39</v>
      </c>
      <c r="U155" s="1">
        <v>45838</v>
      </c>
    </row>
    <row r="156" spans="1:21" x14ac:dyDescent="0.3">
      <c r="A156">
        <v>150</v>
      </c>
      <c r="B156">
        <v>50</v>
      </c>
      <c r="C156">
        <v>3</v>
      </c>
      <c r="D156" t="s">
        <v>19</v>
      </c>
      <c r="E156" t="s">
        <v>23</v>
      </c>
      <c r="F156">
        <v>27</v>
      </c>
      <c r="G156" t="s">
        <v>27</v>
      </c>
      <c r="I156" t="s">
        <v>33</v>
      </c>
      <c r="J156" s="1">
        <v>45697</v>
      </c>
      <c r="K156" t="s">
        <v>34</v>
      </c>
      <c r="L156" t="s">
        <v>37</v>
      </c>
      <c r="M156" t="s">
        <v>38</v>
      </c>
      <c r="N156">
        <v>4</v>
      </c>
      <c r="O156">
        <v>0.89583333333333337</v>
      </c>
      <c r="P156">
        <v>72.5</v>
      </c>
      <c r="Q156" t="s">
        <v>39</v>
      </c>
      <c r="R156" t="s">
        <v>39</v>
      </c>
      <c r="T156" t="s">
        <v>39</v>
      </c>
      <c r="U156" s="1">
        <v>45838</v>
      </c>
    </row>
    <row r="157" spans="1:21" x14ac:dyDescent="0.3">
      <c r="A157">
        <v>151</v>
      </c>
      <c r="B157">
        <v>51</v>
      </c>
      <c r="C157">
        <v>1</v>
      </c>
      <c r="D157" t="s">
        <v>19</v>
      </c>
      <c r="E157" t="s">
        <v>22</v>
      </c>
      <c r="F157">
        <v>27</v>
      </c>
      <c r="G157" t="s">
        <v>28</v>
      </c>
      <c r="I157" t="s">
        <v>31</v>
      </c>
      <c r="J157" s="1">
        <v>45806</v>
      </c>
      <c r="K157" t="s">
        <v>34</v>
      </c>
      <c r="L157" t="s">
        <v>35</v>
      </c>
      <c r="M157" t="s">
        <v>38</v>
      </c>
      <c r="N157">
        <v>4</v>
      </c>
      <c r="O157">
        <v>0.85416666666666663</v>
      </c>
      <c r="P157">
        <v>73</v>
      </c>
      <c r="Q157" t="s">
        <v>39</v>
      </c>
      <c r="R157" t="s">
        <v>39</v>
      </c>
      <c r="T157" t="s">
        <v>40</v>
      </c>
      <c r="U157" s="1">
        <v>45838</v>
      </c>
    </row>
    <row r="158" spans="1:21" x14ac:dyDescent="0.3">
      <c r="A158">
        <v>152</v>
      </c>
      <c r="B158">
        <v>51</v>
      </c>
      <c r="C158">
        <v>2</v>
      </c>
      <c r="D158" t="s">
        <v>19</v>
      </c>
      <c r="E158" t="s">
        <v>22</v>
      </c>
      <c r="F158">
        <v>27</v>
      </c>
      <c r="G158" t="s">
        <v>28</v>
      </c>
      <c r="I158" t="s">
        <v>31</v>
      </c>
      <c r="J158" s="1">
        <v>45806</v>
      </c>
      <c r="K158" t="s">
        <v>34</v>
      </c>
      <c r="L158" t="s">
        <v>36</v>
      </c>
      <c r="M158" t="s">
        <v>38</v>
      </c>
      <c r="N158">
        <v>4</v>
      </c>
      <c r="O158">
        <v>0.83333333333333337</v>
      </c>
      <c r="P158">
        <v>59</v>
      </c>
      <c r="Q158" t="s">
        <v>39</v>
      </c>
      <c r="R158" t="s">
        <v>39</v>
      </c>
      <c r="T158" t="s">
        <v>40</v>
      </c>
      <c r="U158" s="1">
        <v>45838</v>
      </c>
    </row>
    <row r="159" spans="1:21" x14ac:dyDescent="0.3">
      <c r="A159">
        <v>153</v>
      </c>
      <c r="B159">
        <v>51</v>
      </c>
      <c r="C159">
        <v>3</v>
      </c>
      <c r="D159" t="s">
        <v>19</v>
      </c>
      <c r="E159" t="s">
        <v>22</v>
      </c>
      <c r="F159">
        <v>27</v>
      </c>
      <c r="G159" t="s">
        <v>28</v>
      </c>
      <c r="I159" t="s">
        <v>31</v>
      </c>
      <c r="J159" s="1">
        <v>45806</v>
      </c>
      <c r="K159" t="s">
        <v>34</v>
      </c>
      <c r="L159" t="s">
        <v>37</v>
      </c>
      <c r="M159" t="s">
        <v>38</v>
      </c>
      <c r="N159">
        <v>4</v>
      </c>
      <c r="O159">
        <v>0.79166666666666663</v>
      </c>
      <c r="P159">
        <v>78.5</v>
      </c>
      <c r="Q159" t="s">
        <v>39</v>
      </c>
      <c r="R159" t="s">
        <v>39</v>
      </c>
      <c r="T159" t="s">
        <v>40</v>
      </c>
      <c r="U159" s="1">
        <v>45838</v>
      </c>
    </row>
    <row r="160" spans="1:21" x14ac:dyDescent="0.3">
      <c r="A160">
        <v>154</v>
      </c>
      <c r="B160">
        <v>52</v>
      </c>
      <c r="C160">
        <v>1</v>
      </c>
      <c r="D160" t="s">
        <v>19</v>
      </c>
      <c r="E160" t="s">
        <v>22</v>
      </c>
      <c r="F160">
        <v>28</v>
      </c>
      <c r="G160" t="s">
        <v>25</v>
      </c>
      <c r="I160" t="s">
        <v>31</v>
      </c>
      <c r="J160" s="1">
        <v>45807</v>
      </c>
      <c r="K160" t="s">
        <v>34</v>
      </c>
      <c r="L160" t="s">
        <v>35</v>
      </c>
      <c r="M160" t="s">
        <v>38</v>
      </c>
      <c r="N160">
        <v>4</v>
      </c>
      <c r="O160">
        <v>0.77083333333333337</v>
      </c>
      <c r="P160">
        <v>64.5</v>
      </c>
      <c r="Q160" t="s">
        <v>40</v>
      </c>
      <c r="R160" t="s">
        <v>40</v>
      </c>
      <c r="T160" t="s">
        <v>40</v>
      </c>
      <c r="U160" s="1">
        <v>45838</v>
      </c>
    </row>
    <row r="161" spans="1:21" x14ac:dyDescent="0.3">
      <c r="A161">
        <v>155</v>
      </c>
      <c r="B161">
        <v>52</v>
      </c>
      <c r="C161">
        <v>2</v>
      </c>
      <c r="D161" t="s">
        <v>21</v>
      </c>
      <c r="E161" t="s">
        <v>22</v>
      </c>
      <c r="F161">
        <v>28</v>
      </c>
      <c r="G161" t="s">
        <v>25</v>
      </c>
      <c r="I161" t="s">
        <v>31</v>
      </c>
      <c r="J161" s="1">
        <v>45807</v>
      </c>
      <c r="K161" t="s">
        <v>34</v>
      </c>
      <c r="L161" t="s">
        <v>36</v>
      </c>
      <c r="M161" t="s">
        <v>38</v>
      </c>
      <c r="N161">
        <v>4</v>
      </c>
      <c r="O161">
        <v>0.72916666666666663</v>
      </c>
      <c r="P161">
        <v>80.5</v>
      </c>
      <c r="Q161" t="s">
        <v>40</v>
      </c>
      <c r="R161" t="s">
        <v>40</v>
      </c>
      <c r="T161" t="s">
        <v>40</v>
      </c>
      <c r="U161" s="1">
        <v>45838</v>
      </c>
    </row>
    <row r="162" spans="1:21" x14ac:dyDescent="0.3">
      <c r="A162">
        <v>156</v>
      </c>
      <c r="B162">
        <v>52</v>
      </c>
      <c r="C162">
        <v>3</v>
      </c>
      <c r="D162" t="s">
        <v>21</v>
      </c>
      <c r="E162" t="s">
        <v>22</v>
      </c>
      <c r="F162">
        <v>28</v>
      </c>
      <c r="G162" t="s">
        <v>25</v>
      </c>
      <c r="I162" t="s">
        <v>31</v>
      </c>
      <c r="J162" s="1">
        <v>45807</v>
      </c>
      <c r="K162" t="s">
        <v>34</v>
      </c>
      <c r="L162" t="s">
        <v>37</v>
      </c>
      <c r="M162" t="s">
        <v>38</v>
      </c>
      <c r="N162">
        <v>4</v>
      </c>
      <c r="O162">
        <v>0.83333333333333337</v>
      </c>
      <c r="P162">
        <v>84</v>
      </c>
      <c r="Q162" t="s">
        <v>40</v>
      </c>
      <c r="R162" t="s">
        <v>40</v>
      </c>
      <c r="T162" t="s">
        <v>40</v>
      </c>
      <c r="U162" s="1">
        <v>45838</v>
      </c>
    </row>
    <row r="163" spans="1:21" x14ac:dyDescent="0.3">
      <c r="A163">
        <v>157</v>
      </c>
      <c r="B163">
        <v>53</v>
      </c>
      <c r="C163">
        <v>1</v>
      </c>
      <c r="D163" t="s">
        <v>19</v>
      </c>
      <c r="E163" t="s">
        <v>23</v>
      </c>
      <c r="F163">
        <v>34</v>
      </c>
      <c r="G163" t="s">
        <v>26</v>
      </c>
      <c r="I163" t="s">
        <v>32</v>
      </c>
      <c r="J163" s="1">
        <v>45672</v>
      </c>
      <c r="K163" t="s">
        <v>34</v>
      </c>
      <c r="L163" t="s">
        <v>35</v>
      </c>
      <c r="M163" t="s">
        <v>38</v>
      </c>
      <c r="N163">
        <v>4</v>
      </c>
      <c r="O163">
        <v>0.91666666666666663</v>
      </c>
      <c r="P163">
        <v>72.5</v>
      </c>
      <c r="Q163" t="s">
        <v>39</v>
      </c>
      <c r="R163" t="s">
        <v>39</v>
      </c>
      <c r="T163" t="s">
        <v>40</v>
      </c>
      <c r="U163" s="1">
        <v>45838</v>
      </c>
    </row>
    <row r="164" spans="1:21" x14ac:dyDescent="0.3">
      <c r="A164">
        <v>158</v>
      </c>
      <c r="B164">
        <v>53</v>
      </c>
      <c r="C164">
        <v>2</v>
      </c>
      <c r="D164" t="s">
        <v>21</v>
      </c>
      <c r="E164" t="s">
        <v>23</v>
      </c>
      <c r="F164">
        <v>34</v>
      </c>
      <c r="G164" t="s">
        <v>26</v>
      </c>
      <c r="I164" t="s">
        <v>32</v>
      </c>
      <c r="J164" s="1">
        <v>45672</v>
      </c>
      <c r="K164" t="s">
        <v>34</v>
      </c>
      <c r="L164" t="s">
        <v>36</v>
      </c>
      <c r="M164" t="s">
        <v>38</v>
      </c>
      <c r="N164">
        <v>4</v>
      </c>
      <c r="O164">
        <v>0.875</v>
      </c>
      <c r="P164">
        <v>63.5</v>
      </c>
      <c r="Q164" t="s">
        <v>39</v>
      </c>
      <c r="R164" t="s">
        <v>39</v>
      </c>
      <c r="T164" t="s">
        <v>40</v>
      </c>
      <c r="U164" s="1">
        <v>45838</v>
      </c>
    </row>
    <row r="165" spans="1:21" x14ac:dyDescent="0.3">
      <c r="A165">
        <v>159</v>
      </c>
      <c r="B165">
        <v>53</v>
      </c>
      <c r="C165">
        <v>3</v>
      </c>
      <c r="D165" t="s">
        <v>21</v>
      </c>
      <c r="E165" t="s">
        <v>23</v>
      </c>
      <c r="F165">
        <v>34</v>
      </c>
      <c r="G165" t="s">
        <v>26</v>
      </c>
      <c r="I165" t="s">
        <v>32</v>
      </c>
      <c r="J165" s="1">
        <v>45672</v>
      </c>
      <c r="K165" t="s">
        <v>34</v>
      </c>
      <c r="L165" t="s">
        <v>37</v>
      </c>
      <c r="M165" t="s">
        <v>38</v>
      </c>
      <c r="N165">
        <v>4</v>
      </c>
      <c r="O165">
        <v>0.875</v>
      </c>
      <c r="P165">
        <v>77.5</v>
      </c>
      <c r="Q165" t="s">
        <v>39</v>
      </c>
      <c r="R165" t="s">
        <v>39</v>
      </c>
      <c r="T165" t="s">
        <v>40</v>
      </c>
      <c r="U165" s="1">
        <v>45838</v>
      </c>
    </row>
    <row r="166" spans="1:21" x14ac:dyDescent="0.3">
      <c r="A166">
        <v>160</v>
      </c>
      <c r="B166">
        <v>54</v>
      </c>
      <c r="C166">
        <v>1</v>
      </c>
      <c r="D166" t="s">
        <v>19</v>
      </c>
      <c r="E166" t="s">
        <v>22</v>
      </c>
      <c r="F166">
        <v>23</v>
      </c>
      <c r="G166" t="s">
        <v>25</v>
      </c>
      <c r="I166" t="s">
        <v>31</v>
      </c>
      <c r="J166" s="1">
        <v>45718</v>
      </c>
      <c r="K166" t="s">
        <v>34</v>
      </c>
      <c r="L166" t="s">
        <v>35</v>
      </c>
      <c r="M166" t="s">
        <v>38</v>
      </c>
      <c r="N166">
        <v>4</v>
      </c>
      <c r="O166">
        <v>0.91666666666666663</v>
      </c>
      <c r="P166">
        <v>66.5</v>
      </c>
      <c r="Q166" t="s">
        <v>40</v>
      </c>
      <c r="R166" t="s">
        <v>40</v>
      </c>
      <c r="T166" t="s">
        <v>40</v>
      </c>
      <c r="U166" s="1">
        <v>45838</v>
      </c>
    </row>
    <row r="167" spans="1:21" x14ac:dyDescent="0.3">
      <c r="A167">
        <v>161</v>
      </c>
      <c r="B167">
        <v>54</v>
      </c>
      <c r="C167">
        <v>2</v>
      </c>
      <c r="D167" t="s">
        <v>19</v>
      </c>
      <c r="E167" t="s">
        <v>22</v>
      </c>
      <c r="F167">
        <v>23</v>
      </c>
      <c r="G167" t="s">
        <v>25</v>
      </c>
      <c r="I167" t="s">
        <v>31</v>
      </c>
      <c r="J167" s="1">
        <v>45718</v>
      </c>
      <c r="K167" t="s">
        <v>34</v>
      </c>
      <c r="L167" t="s">
        <v>36</v>
      </c>
      <c r="M167" t="s">
        <v>38</v>
      </c>
      <c r="N167">
        <v>4</v>
      </c>
      <c r="O167">
        <v>0.875</v>
      </c>
      <c r="P167">
        <v>52.5</v>
      </c>
      <c r="Q167" t="s">
        <v>40</v>
      </c>
      <c r="R167" t="s">
        <v>40</v>
      </c>
      <c r="T167" t="s">
        <v>40</v>
      </c>
      <c r="U167" s="1">
        <v>45838</v>
      </c>
    </row>
    <row r="168" spans="1:21" x14ac:dyDescent="0.3">
      <c r="A168">
        <v>162</v>
      </c>
      <c r="B168">
        <v>54</v>
      </c>
      <c r="C168">
        <v>3</v>
      </c>
      <c r="D168" t="s">
        <v>19</v>
      </c>
      <c r="E168" t="s">
        <v>22</v>
      </c>
      <c r="F168">
        <v>23</v>
      </c>
      <c r="G168" t="s">
        <v>25</v>
      </c>
      <c r="I168" t="s">
        <v>31</v>
      </c>
      <c r="J168" s="1">
        <v>45718</v>
      </c>
      <c r="K168" t="s">
        <v>34</v>
      </c>
      <c r="L168" t="s">
        <v>37</v>
      </c>
      <c r="M168" t="s">
        <v>38</v>
      </c>
      <c r="N168">
        <v>4</v>
      </c>
      <c r="O168">
        <v>0.79166666666666663</v>
      </c>
      <c r="P168">
        <v>80</v>
      </c>
      <c r="Q168" t="s">
        <v>40</v>
      </c>
      <c r="R168" t="s">
        <v>40</v>
      </c>
      <c r="T168" t="s">
        <v>40</v>
      </c>
      <c r="U168" s="1">
        <v>45838</v>
      </c>
    </row>
    <row r="169" spans="1:21" x14ac:dyDescent="0.3">
      <c r="A169">
        <v>163</v>
      </c>
      <c r="B169">
        <v>55</v>
      </c>
      <c r="C169">
        <v>1</v>
      </c>
      <c r="D169" t="s">
        <v>19</v>
      </c>
      <c r="E169" t="s">
        <v>23</v>
      </c>
      <c r="F169">
        <v>21</v>
      </c>
      <c r="G169" t="s">
        <v>26</v>
      </c>
      <c r="I169" t="s">
        <v>32</v>
      </c>
      <c r="J169" s="1">
        <v>45806</v>
      </c>
      <c r="K169" t="s">
        <v>34</v>
      </c>
      <c r="L169" t="s">
        <v>35</v>
      </c>
      <c r="M169" t="s">
        <v>38</v>
      </c>
      <c r="N169">
        <v>4</v>
      </c>
      <c r="O169">
        <v>0.83333333333333337</v>
      </c>
      <c r="P169">
        <v>76</v>
      </c>
      <c r="Q169" t="s">
        <v>39</v>
      </c>
      <c r="R169" t="s">
        <v>39</v>
      </c>
      <c r="T169" t="s">
        <v>40</v>
      </c>
      <c r="U169" s="1">
        <v>45838</v>
      </c>
    </row>
    <row r="170" spans="1:21" x14ac:dyDescent="0.3">
      <c r="A170">
        <v>164</v>
      </c>
      <c r="B170">
        <v>55</v>
      </c>
      <c r="C170">
        <v>2</v>
      </c>
      <c r="D170" t="s">
        <v>20</v>
      </c>
      <c r="E170" t="s">
        <v>23</v>
      </c>
      <c r="F170">
        <v>21</v>
      </c>
      <c r="G170" t="s">
        <v>26</v>
      </c>
      <c r="I170" t="s">
        <v>32</v>
      </c>
      <c r="J170" s="1">
        <v>45806</v>
      </c>
      <c r="K170" t="s">
        <v>34</v>
      </c>
      <c r="L170" t="s">
        <v>36</v>
      </c>
      <c r="M170" t="s">
        <v>38</v>
      </c>
      <c r="N170">
        <v>4</v>
      </c>
      <c r="O170">
        <v>0.77083333333333337</v>
      </c>
      <c r="P170">
        <v>79.5</v>
      </c>
      <c r="Q170" t="s">
        <v>39</v>
      </c>
      <c r="R170" t="s">
        <v>39</v>
      </c>
      <c r="T170" t="s">
        <v>40</v>
      </c>
      <c r="U170" s="1">
        <v>45838</v>
      </c>
    </row>
    <row r="171" spans="1:21" x14ac:dyDescent="0.3">
      <c r="A171">
        <v>165</v>
      </c>
      <c r="B171">
        <v>55</v>
      </c>
      <c r="C171">
        <v>3</v>
      </c>
      <c r="D171" t="s">
        <v>20</v>
      </c>
      <c r="E171" t="s">
        <v>23</v>
      </c>
      <c r="F171">
        <v>21</v>
      </c>
      <c r="G171" t="s">
        <v>26</v>
      </c>
      <c r="I171" t="s">
        <v>32</v>
      </c>
      <c r="J171" s="1">
        <v>45806</v>
      </c>
      <c r="K171" t="s">
        <v>34</v>
      </c>
      <c r="L171" t="s">
        <v>37</v>
      </c>
      <c r="M171" t="s">
        <v>38</v>
      </c>
      <c r="N171">
        <v>4</v>
      </c>
      <c r="O171">
        <v>0.875</v>
      </c>
      <c r="P171">
        <v>55</v>
      </c>
      <c r="Q171" t="s">
        <v>39</v>
      </c>
      <c r="R171" t="s">
        <v>39</v>
      </c>
      <c r="T171" t="s">
        <v>40</v>
      </c>
      <c r="U171" s="1">
        <v>45838</v>
      </c>
    </row>
    <row r="172" spans="1:21" x14ac:dyDescent="0.3">
      <c r="A172">
        <v>166</v>
      </c>
      <c r="B172">
        <v>56</v>
      </c>
      <c r="C172">
        <v>1</v>
      </c>
      <c r="D172" t="s">
        <v>19</v>
      </c>
      <c r="E172" t="s">
        <v>22</v>
      </c>
      <c r="F172">
        <v>20</v>
      </c>
      <c r="G172" t="s">
        <v>27</v>
      </c>
      <c r="I172" t="s">
        <v>30</v>
      </c>
      <c r="J172" s="1">
        <v>45724</v>
      </c>
      <c r="K172" t="s">
        <v>34</v>
      </c>
      <c r="L172" t="s">
        <v>35</v>
      </c>
      <c r="M172" t="s">
        <v>38</v>
      </c>
      <c r="N172">
        <v>4</v>
      </c>
      <c r="O172">
        <v>0.875</v>
      </c>
      <c r="P172">
        <v>59</v>
      </c>
      <c r="Q172" t="s">
        <v>39</v>
      </c>
      <c r="R172" t="s">
        <v>39</v>
      </c>
      <c r="T172" t="s">
        <v>40</v>
      </c>
      <c r="U172" s="1">
        <v>45838</v>
      </c>
    </row>
    <row r="173" spans="1:21" x14ac:dyDescent="0.3">
      <c r="A173">
        <v>167</v>
      </c>
      <c r="B173">
        <v>56</v>
      </c>
      <c r="C173">
        <v>2</v>
      </c>
      <c r="D173" t="s">
        <v>20</v>
      </c>
      <c r="E173" t="s">
        <v>22</v>
      </c>
      <c r="F173">
        <v>20</v>
      </c>
      <c r="G173" t="s">
        <v>27</v>
      </c>
      <c r="I173" t="s">
        <v>30</v>
      </c>
      <c r="J173" s="1">
        <v>45724</v>
      </c>
      <c r="K173" t="s">
        <v>34</v>
      </c>
      <c r="L173" t="s">
        <v>36</v>
      </c>
      <c r="M173" t="s">
        <v>38</v>
      </c>
      <c r="N173">
        <v>4</v>
      </c>
      <c r="O173">
        <v>0.75</v>
      </c>
      <c r="P173">
        <v>66.5</v>
      </c>
      <c r="Q173" t="s">
        <v>39</v>
      </c>
      <c r="R173" t="s">
        <v>39</v>
      </c>
      <c r="T173" t="s">
        <v>40</v>
      </c>
      <c r="U173" s="1">
        <v>45838</v>
      </c>
    </row>
    <row r="174" spans="1:21" x14ac:dyDescent="0.3">
      <c r="A174">
        <v>168</v>
      </c>
      <c r="B174">
        <v>56</v>
      </c>
      <c r="C174">
        <v>3</v>
      </c>
      <c r="D174" t="s">
        <v>19</v>
      </c>
      <c r="E174" t="s">
        <v>22</v>
      </c>
      <c r="F174">
        <v>20</v>
      </c>
      <c r="G174" t="s">
        <v>27</v>
      </c>
      <c r="I174" t="s">
        <v>30</v>
      </c>
      <c r="J174" s="1">
        <v>45724</v>
      </c>
      <c r="K174" t="s">
        <v>34</v>
      </c>
      <c r="L174" t="s">
        <v>37</v>
      </c>
      <c r="M174" t="s">
        <v>38</v>
      </c>
      <c r="N174">
        <v>4</v>
      </c>
      <c r="O174">
        <v>0.89583333333333337</v>
      </c>
      <c r="P174">
        <v>88.5</v>
      </c>
      <c r="Q174" t="s">
        <v>39</v>
      </c>
      <c r="R174" t="s">
        <v>39</v>
      </c>
      <c r="T174" t="s">
        <v>40</v>
      </c>
      <c r="U174" s="1">
        <v>45838</v>
      </c>
    </row>
    <row r="175" spans="1:21" x14ac:dyDescent="0.3">
      <c r="A175">
        <v>169</v>
      </c>
      <c r="B175">
        <v>57</v>
      </c>
      <c r="C175">
        <v>1</v>
      </c>
      <c r="D175" t="s">
        <v>19</v>
      </c>
      <c r="E175" t="s">
        <v>22</v>
      </c>
      <c r="F175">
        <v>28</v>
      </c>
      <c r="G175" t="s">
        <v>28</v>
      </c>
      <c r="I175" t="s">
        <v>30</v>
      </c>
      <c r="J175" s="1">
        <v>45759</v>
      </c>
      <c r="K175" t="s">
        <v>34</v>
      </c>
      <c r="L175" t="s">
        <v>35</v>
      </c>
      <c r="M175" t="s">
        <v>38</v>
      </c>
      <c r="N175">
        <v>4</v>
      </c>
      <c r="O175">
        <v>0.91666666666666663</v>
      </c>
      <c r="P175">
        <v>46.5</v>
      </c>
      <c r="Q175" t="s">
        <v>39</v>
      </c>
      <c r="R175" t="s">
        <v>39</v>
      </c>
      <c r="T175" t="s">
        <v>39</v>
      </c>
      <c r="U175" s="1">
        <v>45838</v>
      </c>
    </row>
    <row r="176" spans="1:21" x14ac:dyDescent="0.3">
      <c r="A176">
        <v>170</v>
      </c>
      <c r="B176">
        <v>57</v>
      </c>
      <c r="C176">
        <v>2</v>
      </c>
      <c r="D176" t="s">
        <v>21</v>
      </c>
      <c r="E176" t="s">
        <v>22</v>
      </c>
      <c r="F176">
        <v>28</v>
      </c>
      <c r="G176" t="s">
        <v>28</v>
      </c>
      <c r="I176" t="s">
        <v>30</v>
      </c>
      <c r="J176" s="1">
        <v>45759</v>
      </c>
      <c r="K176" t="s">
        <v>34</v>
      </c>
      <c r="L176" t="s">
        <v>36</v>
      </c>
      <c r="M176" t="s">
        <v>38</v>
      </c>
      <c r="N176">
        <v>4</v>
      </c>
      <c r="O176">
        <v>0.79166666666666663</v>
      </c>
      <c r="P176">
        <v>80.5</v>
      </c>
      <c r="Q176" t="s">
        <v>39</v>
      </c>
      <c r="R176" t="s">
        <v>39</v>
      </c>
      <c r="T176" t="s">
        <v>39</v>
      </c>
      <c r="U176" s="1">
        <v>45838</v>
      </c>
    </row>
    <row r="177" spans="1:21" x14ac:dyDescent="0.3">
      <c r="A177">
        <v>171</v>
      </c>
      <c r="B177">
        <v>57</v>
      </c>
      <c r="C177">
        <v>3</v>
      </c>
      <c r="D177" t="s">
        <v>21</v>
      </c>
      <c r="E177" t="s">
        <v>22</v>
      </c>
      <c r="F177">
        <v>28</v>
      </c>
      <c r="G177" t="s">
        <v>28</v>
      </c>
      <c r="I177" t="s">
        <v>30</v>
      </c>
      <c r="J177" s="1">
        <v>45759</v>
      </c>
      <c r="K177" t="s">
        <v>34</v>
      </c>
      <c r="L177" t="s">
        <v>37</v>
      </c>
      <c r="M177" t="s">
        <v>38</v>
      </c>
      <c r="N177">
        <v>4</v>
      </c>
      <c r="O177">
        <v>0.875</v>
      </c>
      <c r="P177">
        <v>77</v>
      </c>
      <c r="Q177" t="s">
        <v>39</v>
      </c>
      <c r="R177" t="s">
        <v>39</v>
      </c>
      <c r="T177" t="s">
        <v>39</v>
      </c>
      <c r="U177" s="1">
        <v>45838</v>
      </c>
    </row>
    <row r="178" spans="1:21" x14ac:dyDescent="0.3">
      <c r="A178">
        <v>172</v>
      </c>
      <c r="B178">
        <v>58</v>
      </c>
      <c r="C178">
        <v>1</v>
      </c>
      <c r="D178" t="s">
        <v>20</v>
      </c>
      <c r="E178" t="s">
        <v>22</v>
      </c>
      <c r="F178">
        <v>27</v>
      </c>
      <c r="G178" t="s">
        <v>27</v>
      </c>
      <c r="I178" t="s">
        <v>30</v>
      </c>
      <c r="J178" s="1">
        <v>45676</v>
      </c>
      <c r="K178" t="s">
        <v>34</v>
      </c>
      <c r="L178" t="s">
        <v>35</v>
      </c>
      <c r="M178" t="s">
        <v>38</v>
      </c>
      <c r="N178">
        <v>4</v>
      </c>
      <c r="O178">
        <v>0.8125</v>
      </c>
      <c r="P178">
        <v>65.5</v>
      </c>
      <c r="Q178" t="s">
        <v>39</v>
      </c>
      <c r="R178" t="s">
        <v>39</v>
      </c>
      <c r="T178" t="s">
        <v>40</v>
      </c>
      <c r="U178" s="1">
        <v>45838</v>
      </c>
    </row>
    <row r="179" spans="1:21" x14ac:dyDescent="0.3">
      <c r="A179">
        <v>173</v>
      </c>
      <c r="B179">
        <v>58</v>
      </c>
      <c r="C179">
        <v>2</v>
      </c>
      <c r="D179" t="s">
        <v>19</v>
      </c>
      <c r="E179" t="s">
        <v>22</v>
      </c>
      <c r="F179">
        <v>27</v>
      </c>
      <c r="G179" t="s">
        <v>27</v>
      </c>
      <c r="I179" t="s">
        <v>30</v>
      </c>
      <c r="J179" s="1">
        <v>45676</v>
      </c>
      <c r="K179" t="s">
        <v>34</v>
      </c>
      <c r="L179" t="s">
        <v>36</v>
      </c>
      <c r="M179" t="s">
        <v>38</v>
      </c>
      <c r="N179">
        <v>4</v>
      </c>
      <c r="O179">
        <v>0.70833333333333337</v>
      </c>
      <c r="P179">
        <v>71.5</v>
      </c>
      <c r="Q179" t="s">
        <v>39</v>
      </c>
      <c r="R179" t="s">
        <v>39</v>
      </c>
      <c r="T179" t="s">
        <v>40</v>
      </c>
      <c r="U179" s="1">
        <v>45838</v>
      </c>
    </row>
    <row r="180" spans="1:21" x14ac:dyDescent="0.3">
      <c r="A180">
        <v>174</v>
      </c>
      <c r="B180">
        <v>58</v>
      </c>
      <c r="C180">
        <v>3</v>
      </c>
      <c r="D180" t="s">
        <v>19</v>
      </c>
      <c r="E180" t="s">
        <v>22</v>
      </c>
      <c r="F180">
        <v>27</v>
      </c>
      <c r="G180" t="s">
        <v>27</v>
      </c>
      <c r="I180" t="s">
        <v>30</v>
      </c>
      <c r="J180" s="1">
        <v>45676</v>
      </c>
      <c r="K180" t="s">
        <v>34</v>
      </c>
      <c r="L180" t="s">
        <v>37</v>
      </c>
      <c r="M180" t="s">
        <v>38</v>
      </c>
      <c r="N180">
        <v>4</v>
      </c>
      <c r="O180">
        <v>0.875</v>
      </c>
      <c r="P180">
        <v>46.5</v>
      </c>
      <c r="Q180" t="s">
        <v>39</v>
      </c>
      <c r="R180" t="s">
        <v>39</v>
      </c>
      <c r="T180" t="s">
        <v>40</v>
      </c>
      <c r="U180" s="1">
        <v>45838</v>
      </c>
    </row>
    <row r="181" spans="1:21" x14ac:dyDescent="0.3">
      <c r="A181">
        <v>175</v>
      </c>
      <c r="B181">
        <v>59</v>
      </c>
      <c r="C181">
        <v>1</v>
      </c>
      <c r="D181" t="s">
        <v>20</v>
      </c>
      <c r="E181" t="s">
        <v>22</v>
      </c>
      <c r="F181">
        <v>32</v>
      </c>
      <c r="G181" t="s">
        <v>26</v>
      </c>
      <c r="I181" t="s">
        <v>31</v>
      </c>
      <c r="J181" s="1">
        <v>45676</v>
      </c>
      <c r="K181" t="s">
        <v>34</v>
      </c>
      <c r="L181" t="s">
        <v>35</v>
      </c>
      <c r="M181" t="s">
        <v>38</v>
      </c>
      <c r="N181">
        <v>4</v>
      </c>
      <c r="O181">
        <v>0.875</v>
      </c>
      <c r="P181">
        <v>85</v>
      </c>
      <c r="Q181" t="s">
        <v>39</v>
      </c>
      <c r="R181" t="s">
        <v>40</v>
      </c>
      <c r="T181" t="s">
        <v>40</v>
      </c>
      <c r="U181" s="1">
        <v>45838</v>
      </c>
    </row>
    <row r="182" spans="1:21" x14ac:dyDescent="0.3">
      <c r="A182">
        <v>176</v>
      </c>
      <c r="B182">
        <v>59</v>
      </c>
      <c r="C182">
        <v>2</v>
      </c>
      <c r="D182" t="s">
        <v>19</v>
      </c>
      <c r="E182" t="s">
        <v>22</v>
      </c>
      <c r="F182">
        <v>32</v>
      </c>
      <c r="G182" t="s">
        <v>26</v>
      </c>
      <c r="I182" t="s">
        <v>31</v>
      </c>
      <c r="J182" s="1">
        <v>45676</v>
      </c>
      <c r="K182" t="s">
        <v>34</v>
      </c>
      <c r="L182" t="s">
        <v>36</v>
      </c>
      <c r="M182" t="s">
        <v>38</v>
      </c>
      <c r="N182">
        <v>4</v>
      </c>
      <c r="O182">
        <v>0.83333333333333337</v>
      </c>
      <c r="P182">
        <v>72</v>
      </c>
      <c r="Q182" t="s">
        <v>39</v>
      </c>
      <c r="R182" t="s">
        <v>40</v>
      </c>
      <c r="T182" t="s">
        <v>40</v>
      </c>
      <c r="U182" s="1">
        <v>45838</v>
      </c>
    </row>
    <row r="183" spans="1:21" x14ac:dyDescent="0.3">
      <c r="A183">
        <v>177</v>
      </c>
      <c r="B183">
        <v>59</v>
      </c>
      <c r="C183">
        <v>3</v>
      </c>
      <c r="D183" t="s">
        <v>21</v>
      </c>
      <c r="E183" t="s">
        <v>22</v>
      </c>
      <c r="F183">
        <v>32</v>
      </c>
      <c r="G183" t="s">
        <v>26</v>
      </c>
      <c r="I183" t="s">
        <v>31</v>
      </c>
      <c r="J183" s="1">
        <v>45676</v>
      </c>
      <c r="K183" t="s">
        <v>34</v>
      </c>
      <c r="L183" t="s">
        <v>37</v>
      </c>
      <c r="M183" t="s">
        <v>38</v>
      </c>
      <c r="N183">
        <v>4</v>
      </c>
      <c r="O183">
        <v>0.85416666666666663</v>
      </c>
      <c r="P183">
        <v>64</v>
      </c>
      <c r="Q183" t="s">
        <v>39</v>
      </c>
      <c r="R183" t="s">
        <v>40</v>
      </c>
      <c r="T183" t="s">
        <v>40</v>
      </c>
      <c r="U183" s="1">
        <v>45838</v>
      </c>
    </row>
    <row r="184" spans="1:21" x14ac:dyDescent="0.3">
      <c r="A184">
        <v>178</v>
      </c>
      <c r="B184">
        <v>60</v>
      </c>
      <c r="C184">
        <v>1</v>
      </c>
      <c r="D184" t="s">
        <v>20</v>
      </c>
      <c r="E184" t="s">
        <v>22</v>
      </c>
      <c r="F184">
        <v>34</v>
      </c>
      <c r="G184" t="s">
        <v>29</v>
      </c>
      <c r="I184" t="s">
        <v>32</v>
      </c>
      <c r="J184" s="1">
        <v>45747</v>
      </c>
      <c r="K184" t="s">
        <v>34</v>
      </c>
      <c r="L184" t="s">
        <v>35</v>
      </c>
      <c r="M184" t="s">
        <v>38</v>
      </c>
      <c r="N184">
        <v>4</v>
      </c>
      <c r="O184">
        <v>0.83333333333333337</v>
      </c>
      <c r="P184">
        <v>68.5</v>
      </c>
      <c r="Q184" t="s">
        <v>39</v>
      </c>
      <c r="R184" t="s">
        <v>40</v>
      </c>
      <c r="T184" t="s">
        <v>40</v>
      </c>
      <c r="U184" s="1">
        <v>45838</v>
      </c>
    </row>
    <row r="185" spans="1:21" x14ac:dyDescent="0.3">
      <c r="A185">
        <v>179</v>
      </c>
      <c r="B185">
        <v>60</v>
      </c>
      <c r="C185">
        <v>2</v>
      </c>
      <c r="D185" t="s">
        <v>19</v>
      </c>
      <c r="E185" t="s">
        <v>22</v>
      </c>
      <c r="F185">
        <v>34</v>
      </c>
      <c r="G185" t="s">
        <v>29</v>
      </c>
      <c r="I185" t="s">
        <v>32</v>
      </c>
      <c r="J185" s="1">
        <v>45747</v>
      </c>
      <c r="K185" t="s">
        <v>34</v>
      </c>
      <c r="L185" t="s">
        <v>36</v>
      </c>
      <c r="M185" t="s">
        <v>38</v>
      </c>
      <c r="N185">
        <v>4</v>
      </c>
      <c r="O185">
        <v>0.91666666666666663</v>
      </c>
      <c r="P185">
        <v>72.5</v>
      </c>
      <c r="Q185" t="s">
        <v>39</v>
      </c>
      <c r="R185" t="s">
        <v>40</v>
      </c>
      <c r="T185" t="s">
        <v>40</v>
      </c>
      <c r="U185" s="1">
        <v>45838</v>
      </c>
    </row>
    <row r="186" spans="1:21" x14ac:dyDescent="0.3">
      <c r="A186">
        <v>180</v>
      </c>
      <c r="B186">
        <v>60</v>
      </c>
      <c r="C186">
        <v>3</v>
      </c>
      <c r="D186" t="s">
        <v>21</v>
      </c>
      <c r="E186" t="s">
        <v>22</v>
      </c>
      <c r="F186">
        <v>34</v>
      </c>
      <c r="G186" t="s">
        <v>29</v>
      </c>
      <c r="I186" t="s">
        <v>32</v>
      </c>
      <c r="J186" s="1">
        <v>45747</v>
      </c>
      <c r="K186" t="s">
        <v>34</v>
      </c>
      <c r="L186" t="s">
        <v>37</v>
      </c>
      <c r="M186" t="s">
        <v>38</v>
      </c>
      <c r="N186">
        <v>4</v>
      </c>
      <c r="O186">
        <v>0.85416666666666663</v>
      </c>
      <c r="P186">
        <v>58.5</v>
      </c>
      <c r="Q186" t="s">
        <v>39</v>
      </c>
      <c r="R186" t="s">
        <v>40</v>
      </c>
      <c r="T186" t="s">
        <v>40</v>
      </c>
      <c r="U186" s="1">
        <v>45838</v>
      </c>
    </row>
    <row r="187" spans="1:21" x14ac:dyDescent="0.3">
      <c r="A187">
        <v>181</v>
      </c>
      <c r="B187">
        <v>61</v>
      </c>
      <c r="C187">
        <v>1</v>
      </c>
      <c r="D187" t="s">
        <v>19</v>
      </c>
      <c r="E187" t="s">
        <v>22</v>
      </c>
      <c r="F187">
        <v>25</v>
      </c>
      <c r="G187" t="s">
        <v>29</v>
      </c>
      <c r="I187" t="s">
        <v>30</v>
      </c>
      <c r="J187" s="1">
        <v>45698</v>
      </c>
      <c r="K187" t="s">
        <v>34</v>
      </c>
      <c r="L187" t="s">
        <v>35</v>
      </c>
      <c r="M187" t="s">
        <v>38</v>
      </c>
      <c r="N187">
        <v>4</v>
      </c>
      <c r="O187">
        <v>0.875</v>
      </c>
      <c r="P187">
        <v>66.5</v>
      </c>
      <c r="Q187" t="s">
        <v>39</v>
      </c>
      <c r="R187" t="s">
        <v>39</v>
      </c>
      <c r="T187" t="s">
        <v>40</v>
      </c>
      <c r="U187" s="1">
        <v>45838</v>
      </c>
    </row>
    <row r="188" spans="1:21" x14ac:dyDescent="0.3">
      <c r="A188">
        <v>182</v>
      </c>
      <c r="B188">
        <v>61</v>
      </c>
      <c r="C188">
        <v>2</v>
      </c>
      <c r="D188" t="s">
        <v>19</v>
      </c>
      <c r="E188" t="s">
        <v>22</v>
      </c>
      <c r="F188">
        <v>25</v>
      </c>
      <c r="G188" t="s">
        <v>29</v>
      </c>
      <c r="I188" t="s">
        <v>30</v>
      </c>
      <c r="J188" s="1">
        <v>45698</v>
      </c>
      <c r="K188" t="s">
        <v>34</v>
      </c>
      <c r="L188" t="s">
        <v>36</v>
      </c>
      <c r="M188" t="s">
        <v>38</v>
      </c>
      <c r="N188">
        <v>4</v>
      </c>
      <c r="O188">
        <v>0.8125</v>
      </c>
      <c r="P188">
        <v>64.5</v>
      </c>
      <c r="Q188" t="s">
        <v>39</v>
      </c>
      <c r="R188" t="s">
        <v>39</v>
      </c>
      <c r="T188" t="s">
        <v>40</v>
      </c>
      <c r="U188" s="1">
        <v>45838</v>
      </c>
    </row>
    <row r="189" spans="1:21" x14ac:dyDescent="0.3">
      <c r="A189">
        <v>183</v>
      </c>
      <c r="B189">
        <v>61</v>
      </c>
      <c r="C189">
        <v>3</v>
      </c>
      <c r="D189" t="s">
        <v>19</v>
      </c>
      <c r="E189" t="s">
        <v>22</v>
      </c>
      <c r="F189">
        <v>25</v>
      </c>
      <c r="G189" t="s">
        <v>29</v>
      </c>
      <c r="I189" t="s">
        <v>30</v>
      </c>
      <c r="J189" s="1">
        <v>45698</v>
      </c>
      <c r="K189" t="s">
        <v>34</v>
      </c>
      <c r="L189" t="s">
        <v>37</v>
      </c>
      <c r="M189" t="s">
        <v>38</v>
      </c>
      <c r="N189">
        <v>4</v>
      </c>
      <c r="O189">
        <v>0.79166666666666663</v>
      </c>
      <c r="P189">
        <v>71</v>
      </c>
      <c r="Q189" t="s">
        <v>39</v>
      </c>
      <c r="R189" t="s">
        <v>39</v>
      </c>
      <c r="T189" t="s">
        <v>40</v>
      </c>
      <c r="U189" s="1">
        <v>45838</v>
      </c>
    </row>
    <row r="190" spans="1:21" x14ac:dyDescent="0.3">
      <c r="A190">
        <v>184</v>
      </c>
      <c r="B190">
        <v>62</v>
      </c>
      <c r="C190">
        <v>1</v>
      </c>
      <c r="D190" t="s">
        <v>19</v>
      </c>
      <c r="E190" t="s">
        <v>23</v>
      </c>
      <c r="F190">
        <v>35</v>
      </c>
      <c r="G190" t="s">
        <v>24</v>
      </c>
      <c r="I190" t="s">
        <v>30</v>
      </c>
      <c r="J190" s="1">
        <v>45793</v>
      </c>
      <c r="K190" t="s">
        <v>34</v>
      </c>
      <c r="L190" t="s">
        <v>35</v>
      </c>
      <c r="M190" t="s">
        <v>38</v>
      </c>
      <c r="N190">
        <v>4</v>
      </c>
      <c r="O190">
        <v>0.79166666666666663</v>
      </c>
      <c r="P190">
        <v>74</v>
      </c>
      <c r="Q190" t="s">
        <v>39</v>
      </c>
      <c r="R190" t="s">
        <v>39</v>
      </c>
      <c r="T190" t="s">
        <v>40</v>
      </c>
      <c r="U190" s="1">
        <v>45838</v>
      </c>
    </row>
    <row r="191" spans="1:21" x14ac:dyDescent="0.3">
      <c r="A191">
        <v>185</v>
      </c>
      <c r="B191">
        <v>62</v>
      </c>
      <c r="C191">
        <v>2</v>
      </c>
      <c r="D191" t="s">
        <v>19</v>
      </c>
      <c r="E191" t="s">
        <v>23</v>
      </c>
      <c r="F191">
        <v>35</v>
      </c>
      <c r="G191" t="s">
        <v>24</v>
      </c>
      <c r="I191" t="s">
        <v>30</v>
      </c>
      <c r="J191" s="1">
        <v>45793</v>
      </c>
      <c r="K191" t="s">
        <v>34</v>
      </c>
      <c r="L191" t="s">
        <v>36</v>
      </c>
      <c r="M191" t="s">
        <v>38</v>
      </c>
      <c r="N191">
        <v>4</v>
      </c>
      <c r="O191">
        <v>0.875</v>
      </c>
      <c r="P191">
        <v>63.5</v>
      </c>
      <c r="Q191" t="s">
        <v>39</v>
      </c>
      <c r="R191" t="s">
        <v>39</v>
      </c>
      <c r="T191" t="s">
        <v>40</v>
      </c>
      <c r="U191" s="1">
        <v>45838</v>
      </c>
    </row>
    <row r="192" spans="1:21" x14ac:dyDescent="0.3">
      <c r="A192">
        <v>186</v>
      </c>
      <c r="B192">
        <v>62</v>
      </c>
      <c r="C192">
        <v>3</v>
      </c>
      <c r="D192" t="s">
        <v>19</v>
      </c>
      <c r="E192" t="s">
        <v>23</v>
      </c>
      <c r="F192">
        <v>35</v>
      </c>
      <c r="G192" t="s">
        <v>24</v>
      </c>
      <c r="I192" t="s">
        <v>30</v>
      </c>
      <c r="J192" s="1">
        <v>45793</v>
      </c>
      <c r="K192" t="s">
        <v>34</v>
      </c>
      <c r="L192" t="s">
        <v>37</v>
      </c>
      <c r="M192" t="s">
        <v>38</v>
      </c>
      <c r="N192">
        <v>4</v>
      </c>
      <c r="O192">
        <v>0.66666666666666663</v>
      </c>
      <c r="P192">
        <v>80</v>
      </c>
      <c r="Q192" t="s">
        <v>39</v>
      </c>
      <c r="R192" t="s">
        <v>39</v>
      </c>
      <c r="T192" t="s">
        <v>40</v>
      </c>
      <c r="U192" s="1">
        <v>45838</v>
      </c>
    </row>
    <row r="193" spans="1:21" x14ac:dyDescent="0.3">
      <c r="A193">
        <v>187</v>
      </c>
      <c r="B193">
        <v>63</v>
      </c>
      <c r="C193">
        <v>1</v>
      </c>
      <c r="D193" t="s">
        <v>19</v>
      </c>
      <c r="E193" t="s">
        <v>22</v>
      </c>
      <c r="F193">
        <v>35</v>
      </c>
      <c r="G193" t="s">
        <v>29</v>
      </c>
      <c r="I193" t="s">
        <v>31</v>
      </c>
      <c r="J193" s="1">
        <v>45692</v>
      </c>
      <c r="K193" t="s">
        <v>34</v>
      </c>
      <c r="L193" t="s">
        <v>35</v>
      </c>
      <c r="M193" t="s">
        <v>38</v>
      </c>
      <c r="N193">
        <v>4</v>
      </c>
      <c r="O193">
        <v>0.77083333333333337</v>
      </c>
      <c r="P193">
        <v>82.5</v>
      </c>
      <c r="Q193" t="s">
        <v>40</v>
      </c>
      <c r="R193" t="s">
        <v>40</v>
      </c>
      <c r="T193" t="s">
        <v>40</v>
      </c>
      <c r="U193" s="1">
        <v>45838</v>
      </c>
    </row>
    <row r="194" spans="1:21" x14ac:dyDescent="0.3">
      <c r="A194">
        <v>188</v>
      </c>
      <c r="B194">
        <v>63</v>
      </c>
      <c r="C194">
        <v>2</v>
      </c>
      <c r="D194" t="s">
        <v>21</v>
      </c>
      <c r="E194" t="s">
        <v>22</v>
      </c>
      <c r="F194">
        <v>35</v>
      </c>
      <c r="G194" t="s">
        <v>29</v>
      </c>
      <c r="I194" t="s">
        <v>31</v>
      </c>
      <c r="J194" s="1">
        <v>45692</v>
      </c>
      <c r="K194" t="s">
        <v>34</v>
      </c>
      <c r="L194" t="s">
        <v>36</v>
      </c>
      <c r="M194" t="s">
        <v>38</v>
      </c>
      <c r="N194">
        <v>4</v>
      </c>
      <c r="O194">
        <v>0.77083333333333337</v>
      </c>
      <c r="P194">
        <v>83.5</v>
      </c>
      <c r="Q194" t="s">
        <v>40</v>
      </c>
      <c r="R194" t="s">
        <v>40</v>
      </c>
      <c r="T194" t="s">
        <v>40</v>
      </c>
      <c r="U194" s="1">
        <v>45838</v>
      </c>
    </row>
    <row r="195" spans="1:21" x14ac:dyDescent="0.3">
      <c r="A195">
        <v>189</v>
      </c>
      <c r="B195">
        <v>63</v>
      </c>
      <c r="C195">
        <v>3</v>
      </c>
      <c r="D195" t="s">
        <v>19</v>
      </c>
      <c r="E195" t="s">
        <v>22</v>
      </c>
      <c r="F195">
        <v>35</v>
      </c>
      <c r="G195" t="s">
        <v>29</v>
      </c>
      <c r="I195" t="s">
        <v>31</v>
      </c>
      <c r="J195" s="1">
        <v>45692</v>
      </c>
      <c r="K195" t="s">
        <v>34</v>
      </c>
      <c r="L195" t="s">
        <v>37</v>
      </c>
      <c r="M195" t="s">
        <v>38</v>
      </c>
      <c r="N195">
        <v>4</v>
      </c>
      <c r="O195">
        <v>0.79166666666666663</v>
      </c>
      <c r="P195">
        <v>80.5</v>
      </c>
      <c r="Q195" t="s">
        <v>40</v>
      </c>
      <c r="R195" t="s">
        <v>40</v>
      </c>
      <c r="T195" t="s">
        <v>40</v>
      </c>
      <c r="U195" s="1">
        <v>45838</v>
      </c>
    </row>
    <row r="196" spans="1:21" x14ac:dyDescent="0.3">
      <c r="A196">
        <v>190</v>
      </c>
      <c r="B196">
        <v>64</v>
      </c>
      <c r="C196">
        <v>1</v>
      </c>
      <c r="D196" t="s">
        <v>19</v>
      </c>
      <c r="E196" t="s">
        <v>23</v>
      </c>
      <c r="F196">
        <v>21</v>
      </c>
      <c r="G196" t="s">
        <v>25</v>
      </c>
      <c r="I196" t="s">
        <v>32</v>
      </c>
      <c r="J196" s="1">
        <v>45727</v>
      </c>
      <c r="K196" t="s">
        <v>34</v>
      </c>
      <c r="L196" t="s">
        <v>35</v>
      </c>
      <c r="M196" t="s">
        <v>38</v>
      </c>
      <c r="N196">
        <v>4</v>
      </c>
      <c r="O196">
        <v>0.8125</v>
      </c>
      <c r="P196">
        <v>91</v>
      </c>
      <c r="Q196" t="s">
        <v>39</v>
      </c>
      <c r="R196" t="s">
        <v>39</v>
      </c>
      <c r="T196" t="s">
        <v>40</v>
      </c>
      <c r="U196" s="1">
        <v>45838</v>
      </c>
    </row>
    <row r="197" spans="1:21" x14ac:dyDescent="0.3">
      <c r="A197">
        <v>191</v>
      </c>
      <c r="B197">
        <v>64</v>
      </c>
      <c r="C197">
        <v>2</v>
      </c>
      <c r="D197" t="s">
        <v>19</v>
      </c>
      <c r="E197" t="s">
        <v>23</v>
      </c>
      <c r="F197">
        <v>21</v>
      </c>
      <c r="G197" t="s">
        <v>25</v>
      </c>
      <c r="I197" t="s">
        <v>32</v>
      </c>
      <c r="J197" s="1">
        <v>45727</v>
      </c>
      <c r="K197" t="s">
        <v>34</v>
      </c>
      <c r="L197" t="s">
        <v>36</v>
      </c>
      <c r="M197" t="s">
        <v>38</v>
      </c>
      <c r="N197">
        <v>4</v>
      </c>
      <c r="O197">
        <v>0.72916666666666663</v>
      </c>
      <c r="P197">
        <v>57</v>
      </c>
      <c r="Q197" t="s">
        <v>39</v>
      </c>
      <c r="R197" t="s">
        <v>39</v>
      </c>
      <c r="T197" t="s">
        <v>40</v>
      </c>
      <c r="U197" s="1">
        <v>45838</v>
      </c>
    </row>
    <row r="198" spans="1:21" x14ac:dyDescent="0.3">
      <c r="A198">
        <v>192</v>
      </c>
      <c r="B198">
        <v>64</v>
      </c>
      <c r="C198">
        <v>3</v>
      </c>
      <c r="D198" t="s">
        <v>19</v>
      </c>
      <c r="E198" t="s">
        <v>23</v>
      </c>
      <c r="F198">
        <v>21</v>
      </c>
      <c r="G198" t="s">
        <v>25</v>
      </c>
      <c r="I198" t="s">
        <v>32</v>
      </c>
      <c r="J198" s="1">
        <v>45727</v>
      </c>
      <c r="K198" t="s">
        <v>34</v>
      </c>
      <c r="L198" t="s">
        <v>37</v>
      </c>
      <c r="M198" t="s">
        <v>38</v>
      </c>
      <c r="N198">
        <v>4</v>
      </c>
      <c r="O198">
        <v>0.83333333333333337</v>
      </c>
      <c r="P198">
        <v>98</v>
      </c>
      <c r="Q198" t="s">
        <v>39</v>
      </c>
      <c r="R198" t="s">
        <v>39</v>
      </c>
      <c r="T198" t="s">
        <v>40</v>
      </c>
      <c r="U198" s="1">
        <v>45838</v>
      </c>
    </row>
    <row r="199" spans="1:21" x14ac:dyDescent="0.3">
      <c r="A199">
        <v>193</v>
      </c>
      <c r="B199">
        <v>65</v>
      </c>
      <c r="C199">
        <v>1</v>
      </c>
      <c r="D199" t="s">
        <v>19</v>
      </c>
      <c r="E199" t="s">
        <v>23</v>
      </c>
      <c r="F199">
        <v>24</v>
      </c>
      <c r="G199" t="s">
        <v>24</v>
      </c>
      <c r="I199" t="s">
        <v>30</v>
      </c>
      <c r="J199" s="1">
        <v>45710</v>
      </c>
      <c r="K199" t="s">
        <v>34</v>
      </c>
      <c r="L199" t="s">
        <v>35</v>
      </c>
      <c r="M199" t="s">
        <v>38</v>
      </c>
      <c r="N199">
        <v>4</v>
      </c>
      <c r="O199">
        <v>0.83333333333333337</v>
      </c>
      <c r="P199">
        <v>70</v>
      </c>
      <c r="Q199" t="s">
        <v>40</v>
      </c>
      <c r="R199" t="s">
        <v>40</v>
      </c>
      <c r="T199" t="s">
        <v>40</v>
      </c>
      <c r="U199" s="1">
        <v>45838</v>
      </c>
    </row>
    <row r="200" spans="1:21" x14ac:dyDescent="0.3">
      <c r="A200">
        <v>194</v>
      </c>
      <c r="B200">
        <v>65</v>
      </c>
      <c r="C200">
        <v>2</v>
      </c>
      <c r="D200" t="s">
        <v>19</v>
      </c>
      <c r="E200" t="s">
        <v>23</v>
      </c>
      <c r="F200">
        <v>24</v>
      </c>
      <c r="G200" t="s">
        <v>24</v>
      </c>
      <c r="I200" t="s">
        <v>30</v>
      </c>
      <c r="J200" s="1">
        <v>45710</v>
      </c>
      <c r="K200" t="s">
        <v>34</v>
      </c>
      <c r="L200" t="s">
        <v>36</v>
      </c>
      <c r="M200" t="s">
        <v>38</v>
      </c>
      <c r="N200">
        <v>4</v>
      </c>
      <c r="O200">
        <v>0.70833333333333337</v>
      </c>
      <c r="P200">
        <v>75.5</v>
      </c>
      <c r="Q200" t="s">
        <v>40</v>
      </c>
      <c r="R200" t="s">
        <v>40</v>
      </c>
      <c r="T200" t="s">
        <v>40</v>
      </c>
      <c r="U200" s="1">
        <v>45838</v>
      </c>
    </row>
    <row r="201" spans="1:21" x14ac:dyDescent="0.3">
      <c r="A201">
        <v>195</v>
      </c>
      <c r="B201">
        <v>65</v>
      </c>
      <c r="C201">
        <v>3</v>
      </c>
      <c r="D201" t="s">
        <v>19</v>
      </c>
      <c r="E201" t="s">
        <v>23</v>
      </c>
      <c r="F201">
        <v>24</v>
      </c>
      <c r="G201" t="s">
        <v>24</v>
      </c>
      <c r="I201" t="s">
        <v>30</v>
      </c>
      <c r="J201" s="1">
        <v>45710</v>
      </c>
      <c r="K201" t="s">
        <v>34</v>
      </c>
      <c r="L201" t="s">
        <v>37</v>
      </c>
      <c r="M201" t="s">
        <v>38</v>
      </c>
      <c r="N201">
        <v>4</v>
      </c>
      <c r="O201">
        <v>0.8125</v>
      </c>
      <c r="P201">
        <v>72.5</v>
      </c>
      <c r="Q201" t="s">
        <v>40</v>
      </c>
      <c r="R201" t="s">
        <v>40</v>
      </c>
      <c r="T201" t="s">
        <v>40</v>
      </c>
      <c r="U201" s="1">
        <v>45838</v>
      </c>
    </row>
    <row r="202" spans="1:21" x14ac:dyDescent="0.3">
      <c r="A202">
        <v>196</v>
      </c>
      <c r="B202">
        <v>66</v>
      </c>
      <c r="C202">
        <v>1</v>
      </c>
      <c r="D202" t="s">
        <v>21</v>
      </c>
      <c r="E202" t="s">
        <v>23</v>
      </c>
      <c r="F202">
        <v>34</v>
      </c>
      <c r="G202" t="s">
        <v>27</v>
      </c>
      <c r="I202" t="s">
        <v>30</v>
      </c>
      <c r="J202" s="1">
        <v>45671</v>
      </c>
      <c r="K202" t="s">
        <v>34</v>
      </c>
      <c r="L202" t="s">
        <v>35</v>
      </c>
      <c r="M202" t="s">
        <v>38</v>
      </c>
      <c r="N202">
        <v>4</v>
      </c>
      <c r="O202">
        <v>0.72916666666666663</v>
      </c>
      <c r="P202">
        <v>50.5</v>
      </c>
      <c r="Q202" t="s">
        <v>39</v>
      </c>
      <c r="R202" t="s">
        <v>39</v>
      </c>
      <c r="T202" t="s">
        <v>40</v>
      </c>
      <c r="U202" s="1">
        <v>45838</v>
      </c>
    </row>
    <row r="203" spans="1:21" x14ac:dyDescent="0.3">
      <c r="A203">
        <v>197</v>
      </c>
      <c r="B203">
        <v>66</v>
      </c>
      <c r="C203">
        <v>2</v>
      </c>
      <c r="D203" t="s">
        <v>19</v>
      </c>
      <c r="E203" t="s">
        <v>23</v>
      </c>
      <c r="F203">
        <v>34</v>
      </c>
      <c r="G203" t="s">
        <v>27</v>
      </c>
      <c r="I203" t="s">
        <v>30</v>
      </c>
      <c r="J203" s="1">
        <v>45671</v>
      </c>
      <c r="K203" t="s">
        <v>34</v>
      </c>
      <c r="L203" t="s">
        <v>36</v>
      </c>
      <c r="M203" t="s">
        <v>38</v>
      </c>
      <c r="N203">
        <v>4</v>
      </c>
      <c r="O203">
        <v>0.83333333333333337</v>
      </c>
      <c r="P203">
        <v>59.5</v>
      </c>
      <c r="Q203" t="s">
        <v>39</v>
      </c>
      <c r="R203" t="s">
        <v>39</v>
      </c>
      <c r="T203" t="s">
        <v>40</v>
      </c>
      <c r="U203" s="1">
        <v>45838</v>
      </c>
    </row>
    <row r="204" spans="1:21" x14ac:dyDescent="0.3">
      <c r="A204">
        <v>198</v>
      </c>
      <c r="B204">
        <v>66</v>
      </c>
      <c r="C204">
        <v>3</v>
      </c>
      <c r="D204" t="s">
        <v>19</v>
      </c>
      <c r="E204" t="s">
        <v>23</v>
      </c>
      <c r="F204">
        <v>34</v>
      </c>
      <c r="G204" t="s">
        <v>27</v>
      </c>
      <c r="I204" t="s">
        <v>30</v>
      </c>
      <c r="J204" s="1">
        <v>45671</v>
      </c>
      <c r="K204" t="s">
        <v>34</v>
      </c>
      <c r="L204" t="s">
        <v>37</v>
      </c>
      <c r="M204" t="s">
        <v>38</v>
      </c>
      <c r="N204">
        <v>4</v>
      </c>
      <c r="O204">
        <v>0.83333333333333337</v>
      </c>
      <c r="P204">
        <v>73.5</v>
      </c>
      <c r="Q204" t="s">
        <v>39</v>
      </c>
      <c r="R204" t="s">
        <v>39</v>
      </c>
      <c r="T204" t="s">
        <v>40</v>
      </c>
      <c r="U204" s="1">
        <v>45838</v>
      </c>
    </row>
    <row r="205" spans="1:21" x14ac:dyDescent="0.3">
      <c r="A205">
        <v>199</v>
      </c>
      <c r="B205">
        <v>67</v>
      </c>
      <c r="C205">
        <v>1</v>
      </c>
      <c r="D205" t="s">
        <v>19</v>
      </c>
      <c r="E205" t="s">
        <v>22</v>
      </c>
      <c r="F205">
        <v>31</v>
      </c>
      <c r="G205" t="s">
        <v>29</v>
      </c>
      <c r="I205" t="s">
        <v>31</v>
      </c>
      <c r="J205" s="1">
        <v>45658</v>
      </c>
      <c r="K205" t="s">
        <v>34</v>
      </c>
      <c r="L205" t="s">
        <v>35</v>
      </c>
      <c r="M205" t="s">
        <v>38</v>
      </c>
      <c r="N205">
        <v>4</v>
      </c>
      <c r="O205">
        <v>0.8125</v>
      </c>
      <c r="P205">
        <v>72</v>
      </c>
      <c r="Q205" t="s">
        <v>39</v>
      </c>
      <c r="R205" t="s">
        <v>40</v>
      </c>
      <c r="T205" t="s">
        <v>40</v>
      </c>
      <c r="U205" s="1">
        <v>45838</v>
      </c>
    </row>
    <row r="206" spans="1:21" x14ac:dyDescent="0.3">
      <c r="A206">
        <v>200</v>
      </c>
      <c r="B206">
        <v>67</v>
      </c>
      <c r="C206">
        <v>2</v>
      </c>
      <c r="D206" t="s">
        <v>20</v>
      </c>
      <c r="E206" t="s">
        <v>22</v>
      </c>
      <c r="F206">
        <v>31</v>
      </c>
      <c r="G206" t="s">
        <v>29</v>
      </c>
      <c r="I206" t="s">
        <v>31</v>
      </c>
      <c r="J206" s="1">
        <v>45658</v>
      </c>
      <c r="K206" t="s">
        <v>34</v>
      </c>
      <c r="L206" t="s">
        <v>36</v>
      </c>
      <c r="M206" t="s">
        <v>38</v>
      </c>
      <c r="N206">
        <v>4</v>
      </c>
      <c r="O206">
        <v>0.83333333333333337</v>
      </c>
      <c r="P206">
        <v>88</v>
      </c>
      <c r="Q206" t="s">
        <v>39</v>
      </c>
      <c r="R206" t="s">
        <v>40</v>
      </c>
      <c r="T206" t="s">
        <v>40</v>
      </c>
      <c r="U206" s="1">
        <v>45838</v>
      </c>
    </row>
    <row r="207" spans="1:21" x14ac:dyDescent="0.3">
      <c r="A207">
        <v>201</v>
      </c>
      <c r="B207">
        <v>67</v>
      </c>
      <c r="C207">
        <v>3</v>
      </c>
      <c r="D207" t="s">
        <v>21</v>
      </c>
      <c r="E207" t="s">
        <v>22</v>
      </c>
      <c r="F207">
        <v>31</v>
      </c>
      <c r="G207" t="s">
        <v>29</v>
      </c>
      <c r="I207" t="s">
        <v>31</v>
      </c>
      <c r="J207" s="1">
        <v>45658</v>
      </c>
      <c r="K207" t="s">
        <v>34</v>
      </c>
      <c r="L207" t="s">
        <v>37</v>
      </c>
      <c r="M207" t="s">
        <v>38</v>
      </c>
      <c r="N207">
        <v>4</v>
      </c>
      <c r="O207">
        <v>0.72916666666666663</v>
      </c>
      <c r="P207">
        <v>90.5</v>
      </c>
      <c r="Q207" t="s">
        <v>39</v>
      </c>
      <c r="R207" t="s">
        <v>40</v>
      </c>
      <c r="T207" t="s">
        <v>40</v>
      </c>
      <c r="U207" s="1">
        <v>45838</v>
      </c>
    </row>
    <row r="208" spans="1:21" x14ac:dyDescent="0.3">
      <c r="A208">
        <v>202</v>
      </c>
      <c r="B208">
        <v>68</v>
      </c>
      <c r="C208">
        <v>1</v>
      </c>
      <c r="D208" t="s">
        <v>19</v>
      </c>
      <c r="E208" t="s">
        <v>23</v>
      </c>
      <c r="F208">
        <v>22</v>
      </c>
      <c r="G208" t="s">
        <v>24</v>
      </c>
      <c r="I208" t="s">
        <v>30</v>
      </c>
      <c r="J208" s="1">
        <v>45699</v>
      </c>
      <c r="K208" t="s">
        <v>34</v>
      </c>
      <c r="L208" t="s">
        <v>35</v>
      </c>
      <c r="M208" t="s">
        <v>38</v>
      </c>
      <c r="N208">
        <v>4</v>
      </c>
      <c r="O208">
        <v>0.8125</v>
      </c>
      <c r="P208">
        <v>72.5</v>
      </c>
      <c r="Q208" t="s">
        <v>40</v>
      </c>
      <c r="R208" t="s">
        <v>40</v>
      </c>
      <c r="T208" t="s">
        <v>40</v>
      </c>
      <c r="U208" s="1">
        <v>45838</v>
      </c>
    </row>
    <row r="209" spans="1:21" x14ac:dyDescent="0.3">
      <c r="A209">
        <v>203</v>
      </c>
      <c r="B209">
        <v>68</v>
      </c>
      <c r="C209">
        <v>2</v>
      </c>
      <c r="D209" t="s">
        <v>21</v>
      </c>
      <c r="E209" t="s">
        <v>23</v>
      </c>
      <c r="F209">
        <v>22</v>
      </c>
      <c r="G209" t="s">
        <v>24</v>
      </c>
      <c r="I209" t="s">
        <v>30</v>
      </c>
      <c r="J209" s="1">
        <v>45699</v>
      </c>
      <c r="K209" t="s">
        <v>34</v>
      </c>
      <c r="L209" t="s">
        <v>36</v>
      </c>
      <c r="M209" t="s">
        <v>38</v>
      </c>
      <c r="N209">
        <v>4</v>
      </c>
      <c r="O209">
        <v>0.8125</v>
      </c>
      <c r="P209">
        <v>70</v>
      </c>
      <c r="Q209" t="s">
        <v>40</v>
      </c>
      <c r="R209" t="s">
        <v>40</v>
      </c>
      <c r="T209" t="s">
        <v>40</v>
      </c>
      <c r="U209" s="1">
        <v>45838</v>
      </c>
    </row>
    <row r="210" spans="1:21" x14ac:dyDescent="0.3">
      <c r="A210">
        <v>204</v>
      </c>
      <c r="B210">
        <v>68</v>
      </c>
      <c r="C210">
        <v>3</v>
      </c>
      <c r="D210" t="s">
        <v>19</v>
      </c>
      <c r="E210" t="s">
        <v>23</v>
      </c>
      <c r="F210">
        <v>22</v>
      </c>
      <c r="G210" t="s">
        <v>24</v>
      </c>
      <c r="I210" t="s">
        <v>30</v>
      </c>
      <c r="J210" s="1">
        <v>45699</v>
      </c>
      <c r="K210" t="s">
        <v>34</v>
      </c>
      <c r="L210" t="s">
        <v>37</v>
      </c>
      <c r="M210" t="s">
        <v>38</v>
      </c>
      <c r="N210">
        <v>4</v>
      </c>
      <c r="O210">
        <v>0.89583333333333337</v>
      </c>
      <c r="P210">
        <v>72</v>
      </c>
      <c r="Q210" t="s">
        <v>40</v>
      </c>
      <c r="R210" t="s">
        <v>40</v>
      </c>
      <c r="T210" t="s">
        <v>40</v>
      </c>
      <c r="U210" s="1">
        <v>45838</v>
      </c>
    </row>
    <row r="211" spans="1:21" x14ac:dyDescent="0.3">
      <c r="A211">
        <v>205</v>
      </c>
      <c r="B211">
        <v>69</v>
      </c>
      <c r="C211">
        <v>1</v>
      </c>
      <c r="D211" t="s">
        <v>21</v>
      </c>
      <c r="E211" t="s">
        <v>23</v>
      </c>
      <c r="F211">
        <v>35</v>
      </c>
      <c r="G211" t="s">
        <v>24</v>
      </c>
      <c r="I211" t="s">
        <v>33</v>
      </c>
      <c r="J211" s="1">
        <v>45801</v>
      </c>
      <c r="K211" t="s">
        <v>34</v>
      </c>
      <c r="L211" t="s">
        <v>35</v>
      </c>
      <c r="M211" t="s">
        <v>38</v>
      </c>
      <c r="N211">
        <v>4</v>
      </c>
      <c r="O211">
        <v>0.83333333333333337</v>
      </c>
      <c r="P211">
        <v>81</v>
      </c>
      <c r="Q211" t="s">
        <v>39</v>
      </c>
      <c r="R211" t="s">
        <v>39</v>
      </c>
      <c r="T211" t="s">
        <v>40</v>
      </c>
      <c r="U211" s="1">
        <v>45838</v>
      </c>
    </row>
    <row r="212" spans="1:21" x14ac:dyDescent="0.3">
      <c r="A212">
        <v>206</v>
      </c>
      <c r="B212">
        <v>69</v>
      </c>
      <c r="C212">
        <v>2</v>
      </c>
      <c r="D212" t="s">
        <v>20</v>
      </c>
      <c r="E212" t="s">
        <v>23</v>
      </c>
      <c r="F212">
        <v>35</v>
      </c>
      <c r="G212" t="s">
        <v>24</v>
      </c>
      <c r="I212" t="s">
        <v>33</v>
      </c>
      <c r="J212" s="1">
        <v>45801</v>
      </c>
      <c r="K212" t="s">
        <v>34</v>
      </c>
      <c r="L212" t="s">
        <v>36</v>
      </c>
      <c r="M212" t="s">
        <v>38</v>
      </c>
      <c r="N212">
        <v>4</v>
      </c>
      <c r="O212">
        <v>0.79166666666666663</v>
      </c>
      <c r="P212">
        <v>63</v>
      </c>
      <c r="Q212" t="s">
        <v>39</v>
      </c>
      <c r="R212" t="s">
        <v>39</v>
      </c>
      <c r="T212" t="s">
        <v>40</v>
      </c>
      <c r="U212" s="1">
        <v>45838</v>
      </c>
    </row>
    <row r="213" spans="1:21" x14ac:dyDescent="0.3">
      <c r="A213">
        <v>207</v>
      </c>
      <c r="B213">
        <v>69</v>
      </c>
      <c r="C213">
        <v>3</v>
      </c>
      <c r="D213" t="s">
        <v>19</v>
      </c>
      <c r="E213" t="s">
        <v>23</v>
      </c>
      <c r="F213">
        <v>35</v>
      </c>
      <c r="G213" t="s">
        <v>24</v>
      </c>
      <c r="I213" t="s">
        <v>33</v>
      </c>
      <c r="J213" s="1">
        <v>45801</v>
      </c>
      <c r="K213" t="s">
        <v>34</v>
      </c>
      <c r="L213" t="s">
        <v>37</v>
      </c>
      <c r="M213" t="s">
        <v>38</v>
      </c>
      <c r="N213">
        <v>4</v>
      </c>
      <c r="O213">
        <v>0.875</v>
      </c>
      <c r="P213">
        <v>70</v>
      </c>
      <c r="Q213" t="s">
        <v>39</v>
      </c>
      <c r="R213" t="s">
        <v>39</v>
      </c>
      <c r="T213" t="s">
        <v>40</v>
      </c>
      <c r="U213" s="1">
        <v>45838</v>
      </c>
    </row>
    <row r="214" spans="1:21" x14ac:dyDescent="0.3">
      <c r="A214">
        <v>208</v>
      </c>
      <c r="B214">
        <v>70</v>
      </c>
      <c r="C214">
        <v>1</v>
      </c>
      <c r="D214" t="s">
        <v>19</v>
      </c>
      <c r="E214" t="s">
        <v>22</v>
      </c>
      <c r="F214">
        <v>21</v>
      </c>
      <c r="G214" t="s">
        <v>25</v>
      </c>
      <c r="I214" t="s">
        <v>32</v>
      </c>
      <c r="J214" s="1">
        <v>45797</v>
      </c>
      <c r="K214" t="s">
        <v>34</v>
      </c>
      <c r="L214" t="s">
        <v>35</v>
      </c>
      <c r="M214" t="s">
        <v>38</v>
      </c>
      <c r="N214">
        <v>4</v>
      </c>
      <c r="O214">
        <v>0.89583333333333337</v>
      </c>
      <c r="P214">
        <v>57.5</v>
      </c>
      <c r="Q214" t="s">
        <v>39</v>
      </c>
      <c r="R214" t="s">
        <v>39</v>
      </c>
      <c r="T214" t="s">
        <v>40</v>
      </c>
      <c r="U214" s="1">
        <v>45838</v>
      </c>
    </row>
    <row r="215" spans="1:21" x14ac:dyDescent="0.3">
      <c r="A215">
        <v>209</v>
      </c>
      <c r="B215">
        <v>70</v>
      </c>
      <c r="C215">
        <v>2</v>
      </c>
      <c r="D215" t="s">
        <v>19</v>
      </c>
      <c r="E215" t="s">
        <v>22</v>
      </c>
      <c r="F215">
        <v>21</v>
      </c>
      <c r="G215" t="s">
        <v>25</v>
      </c>
      <c r="I215" t="s">
        <v>32</v>
      </c>
      <c r="J215" s="1">
        <v>45797</v>
      </c>
      <c r="K215" t="s">
        <v>34</v>
      </c>
      <c r="L215" t="s">
        <v>36</v>
      </c>
      <c r="M215" t="s">
        <v>38</v>
      </c>
      <c r="N215">
        <v>4</v>
      </c>
      <c r="O215">
        <v>0.89583333333333337</v>
      </c>
      <c r="P215">
        <v>78</v>
      </c>
      <c r="Q215" t="s">
        <v>39</v>
      </c>
      <c r="R215" t="s">
        <v>39</v>
      </c>
      <c r="T215" t="s">
        <v>40</v>
      </c>
      <c r="U215" s="1">
        <v>45838</v>
      </c>
    </row>
    <row r="216" spans="1:21" x14ac:dyDescent="0.3">
      <c r="A216">
        <v>210</v>
      </c>
      <c r="B216">
        <v>70</v>
      </c>
      <c r="C216">
        <v>3</v>
      </c>
      <c r="D216" t="s">
        <v>19</v>
      </c>
      <c r="E216" t="s">
        <v>22</v>
      </c>
      <c r="F216">
        <v>21</v>
      </c>
      <c r="G216" t="s">
        <v>25</v>
      </c>
      <c r="I216" t="s">
        <v>32</v>
      </c>
      <c r="J216" s="1">
        <v>45797</v>
      </c>
      <c r="K216" t="s">
        <v>34</v>
      </c>
      <c r="L216" t="s">
        <v>37</v>
      </c>
      <c r="M216" t="s">
        <v>38</v>
      </c>
      <c r="N216">
        <v>4</v>
      </c>
      <c r="O216">
        <v>0.875</v>
      </c>
      <c r="P216">
        <v>72.5</v>
      </c>
      <c r="Q216" t="s">
        <v>39</v>
      </c>
      <c r="R216" t="s">
        <v>39</v>
      </c>
      <c r="T216" t="s">
        <v>40</v>
      </c>
      <c r="U216" s="1">
        <v>45838</v>
      </c>
    </row>
    <row r="217" spans="1:21" x14ac:dyDescent="0.3">
      <c r="A217">
        <v>211</v>
      </c>
      <c r="B217">
        <v>71</v>
      </c>
      <c r="C217">
        <v>1</v>
      </c>
      <c r="D217" t="s">
        <v>19</v>
      </c>
      <c r="E217" t="s">
        <v>22</v>
      </c>
      <c r="F217">
        <v>29</v>
      </c>
      <c r="G217" t="s">
        <v>26</v>
      </c>
      <c r="I217" t="s">
        <v>32</v>
      </c>
      <c r="J217" s="1">
        <v>45768</v>
      </c>
      <c r="K217" t="s">
        <v>34</v>
      </c>
      <c r="L217" t="s">
        <v>35</v>
      </c>
      <c r="M217" t="s">
        <v>38</v>
      </c>
      <c r="N217">
        <v>4</v>
      </c>
      <c r="O217">
        <v>0.79166666666666663</v>
      </c>
      <c r="P217">
        <v>71.5</v>
      </c>
      <c r="Q217" t="s">
        <v>39</v>
      </c>
      <c r="R217" t="s">
        <v>39</v>
      </c>
      <c r="T217" t="s">
        <v>40</v>
      </c>
      <c r="U217" s="1">
        <v>45838</v>
      </c>
    </row>
    <row r="218" spans="1:21" x14ac:dyDescent="0.3">
      <c r="A218">
        <v>212</v>
      </c>
      <c r="B218">
        <v>71</v>
      </c>
      <c r="C218">
        <v>2</v>
      </c>
      <c r="D218" t="s">
        <v>21</v>
      </c>
      <c r="E218" t="s">
        <v>22</v>
      </c>
      <c r="F218">
        <v>29</v>
      </c>
      <c r="G218" t="s">
        <v>26</v>
      </c>
      <c r="I218" t="s">
        <v>32</v>
      </c>
      <c r="J218" s="1">
        <v>45768</v>
      </c>
      <c r="K218" t="s">
        <v>34</v>
      </c>
      <c r="L218" t="s">
        <v>36</v>
      </c>
      <c r="M218" t="s">
        <v>38</v>
      </c>
      <c r="N218">
        <v>4</v>
      </c>
      <c r="O218">
        <v>0.83333333333333337</v>
      </c>
      <c r="P218">
        <v>55</v>
      </c>
      <c r="Q218" t="s">
        <v>39</v>
      </c>
      <c r="R218" t="s">
        <v>39</v>
      </c>
      <c r="T218" t="s">
        <v>40</v>
      </c>
      <c r="U218" s="1">
        <v>45838</v>
      </c>
    </row>
    <row r="219" spans="1:21" x14ac:dyDescent="0.3">
      <c r="A219">
        <v>213</v>
      </c>
      <c r="B219">
        <v>71</v>
      </c>
      <c r="C219">
        <v>3</v>
      </c>
      <c r="D219" t="s">
        <v>19</v>
      </c>
      <c r="E219" t="s">
        <v>22</v>
      </c>
      <c r="F219">
        <v>29</v>
      </c>
      <c r="G219" t="s">
        <v>26</v>
      </c>
      <c r="I219" t="s">
        <v>32</v>
      </c>
      <c r="J219" s="1">
        <v>45768</v>
      </c>
      <c r="K219" t="s">
        <v>34</v>
      </c>
      <c r="L219" t="s">
        <v>37</v>
      </c>
      <c r="M219" t="s">
        <v>38</v>
      </c>
      <c r="N219">
        <v>4</v>
      </c>
      <c r="O219">
        <v>0.75</v>
      </c>
      <c r="P219">
        <v>59.5</v>
      </c>
      <c r="Q219" t="s">
        <v>39</v>
      </c>
      <c r="R219" t="s">
        <v>39</v>
      </c>
      <c r="T219" t="s">
        <v>40</v>
      </c>
      <c r="U219" s="1">
        <v>45838</v>
      </c>
    </row>
    <row r="220" spans="1:21" x14ac:dyDescent="0.3">
      <c r="A220">
        <v>214</v>
      </c>
      <c r="B220">
        <v>72</v>
      </c>
      <c r="C220">
        <v>1</v>
      </c>
      <c r="D220" t="s">
        <v>21</v>
      </c>
      <c r="E220" t="s">
        <v>22</v>
      </c>
      <c r="F220">
        <v>19</v>
      </c>
      <c r="G220" t="s">
        <v>29</v>
      </c>
      <c r="I220" t="s">
        <v>30</v>
      </c>
      <c r="J220" s="1">
        <v>45668</v>
      </c>
      <c r="K220" t="s">
        <v>34</v>
      </c>
      <c r="L220" t="s">
        <v>35</v>
      </c>
      <c r="M220" t="s">
        <v>38</v>
      </c>
      <c r="N220">
        <v>4</v>
      </c>
      <c r="O220">
        <v>0.875</v>
      </c>
      <c r="P220">
        <v>50.5</v>
      </c>
      <c r="Q220" t="s">
        <v>39</v>
      </c>
      <c r="R220" t="s">
        <v>39</v>
      </c>
      <c r="T220" t="s">
        <v>40</v>
      </c>
      <c r="U220" s="1">
        <v>45838</v>
      </c>
    </row>
    <row r="221" spans="1:21" x14ac:dyDescent="0.3">
      <c r="A221">
        <v>215</v>
      </c>
      <c r="B221">
        <v>72</v>
      </c>
      <c r="C221">
        <v>2</v>
      </c>
      <c r="D221" t="s">
        <v>19</v>
      </c>
      <c r="E221" t="s">
        <v>22</v>
      </c>
      <c r="F221">
        <v>19</v>
      </c>
      <c r="G221" t="s">
        <v>29</v>
      </c>
      <c r="I221" t="s">
        <v>30</v>
      </c>
      <c r="J221" s="1">
        <v>45668</v>
      </c>
      <c r="K221" t="s">
        <v>34</v>
      </c>
      <c r="L221" t="s">
        <v>36</v>
      </c>
      <c r="M221" t="s">
        <v>38</v>
      </c>
      <c r="N221">
        <v>4</v>
      </c>
      <c r="O221">
        <v>0.8125</v>
      </c>
      <c r="P221">
        <v>64</v>
      </c>
      <c r="Q221" t="s">
        <v>39</v>
      </c>
      <c r="R221" t="s">
        <v>39</v>
      </c>
      <c r="T221" t="s">
        <v>40</v>
      </c>
      <c r="U221" s="1">
        <v>45838</v>
      </c>
    </row>
    <row r="222" spans="1:21" x14ac:dyDescent="0.3">
      <c r="A222">
        <v>216</v>
      </c>
      <c r="B222">
        <v>72</v>
      </c>
      <c r="C222">
        <v>3</v>
      </c>
      <c r="D222" t="s">
        <v>19</v>
      </c>
      <c r="E222" t="s">
        <v>22</v>
      </c>
      <c r="F222">
        <v>19</v>
      </c>
      <c r="G222" t="s">
        <v>29</v>
      </c>
      <c r="I222" t="s">
        <v>30</v>
      </c>
      <c r="J222" s="1">
        <v>45668</v>
      </c>
      <c r="K222" t="s">
        <v>34</v>
      </c>
      <c r="L222" t="s">
        <v>37</v>
      </c>
      <c r="M222" t="s">
        <v>38</v>
      </c>
      <c r="N222">
        <v>4</v>
      </c>
      <c r="O222">
        <v>0.875</v>
      </c>
      <c r="P222">
        <v>51</v>
      </c>
      <c r="Q222" t="s">
        <v>39</v>
      </c>
      <c r="R222" t="s">
        <v>39</v>
      </c>
      <c r="T222" t="s">
        <v>40</v>
      </c>
      <c r="U222" s="1">
        <v>45838</v>
      </c>
    </row>
    <row r="223" spans="1:21" x14ac:dyDescent="0.3">
      <c r="A223">
        <v>217</v>
      </c>
      <c r="B223">
        <v>73</v>
      </c>
      <c r="C223">
        <v>1</v>
      </c>
      <c r="D223" t="s">
        <v>19</v>
      </c>
      <c r="E223" t="s">
        <v>23</v>
      </c>
      <c r="F223">
        <v>24</v>
      </c>
      <c r="G223" t="s">
        <v>24</v>
      </c>
      <c r="I223" t="s">
        <v>32</v>
      </c>
      <c r="J223" s="1">
        <v>45684</v>
      </c>
      <c r="K223" t="s">
        <v>34</v>
      </c>
      <c r="L223" t="s">
        <v>35</v>
      </c>
      <c r="M223" t="s">
        <v>38</v>
      </c>
      <c r="N223">
        <v>4</v>
      </c>
      <c r="O223">
        <v>0.8125</v>
      </c>
      <c r="P223">
        <v>68</v>
      </c>
      <c r="Q223" t="s">
        <v>40</v>
      </c>
      <c r="R223" t="s">
        <v>40</v>
      </c>
      <c r="T223" t="s">
        <v>40</v>
      </c>
      <c r="U223" s="1">
        <v>45838</v>
      </c>
    </row>
    <row r="224" spans="1:21" x14ac:dyDescent="0.3">
      <c r="A224">
        <v>218</v>
      </c>
      <c r="B224">
        <v>73</v>
      </c>
      <c r="C224">
        <v>2</v>
      </c>
      <c r="D224" t="s">
        <v>21</v>
      </c>
      <c r="E224" t="s">
        <v>23</v>
      </c>
      <c r="F224">
        <v>24</v>
      </c>
      <c r="G224" t="s">
        <v>24</v>
      </c>
      <c r="I224" t="s">
        <v>32</v>
      </c>
      <c r="J224" s="1">
        <v>45684</v>
      </c>
      <c r="K224" t="s">
        <v>34</v>
      </c>
      <c r="L224" t="s">
        <v>36</v>
      </c>
      <c r="M224" t="s">
        <v>38</v>
      </c>
      <c r="N224">
        <v>4</v>
      </c>
      <c r="O224">
        <v>0.8125</v>
      </c>
      <c r="P224">
        <v>91</v>
      </c>
      <c r="Q224" t="s">
        <v>40</v>
      </c>
      <c r="R224" t="s">
        <v>40</v>
      </c>
      <c r="T224" t="s">
        <v>40</v>
      </c>
      <c r="U224" s="1">
        <v>45838</v>
      </c>
    </row>
    <row r="225" spans="1:21" x14ac:dyDescent="0.3">
      <c r="A225">
        <v>219</v>
      </c>
      <c r="B225">
        <v>73</v>
      </c>
      <c r="C225">
        <v>3</v>
      </c>
      <c r="D225" t="s">
        <v>19</v>
      </c>
      <c r="E225" t="s">
        <v>23</v>
      </c>
      <c r="F225">
        <v>24</v>
      </c>
      <c r="G225" t="s">
        <v>24</v>
      </c>
      <c r="I225" t="s">
        <v>32</v>
      </c>
      <c r="J225" s="1">
        <v>45684</v>
      </c>
      <c r="K225" t="s">
        <v>34</v>
      </c>
      <c r="L225" t="s">
        <v>37</v>
      </c>
      <c r="M225" t="s">
        <v>38</v>
      </c>
      <c r="N225">
        <v>4</v>
      </c>
      <c r="O225">
        <v>0.875</v>
      </c>
      <c r="P225">
        <v>54</v>
      </c>
      <c r="Q225" t="s">
        <v>40</v>
      </c>
      <c r="R225" t="s">
        <v>40</v>
      </c>
      <c r="T225" t="s">
        <v>40</v>
      </c>
      <c r="U225" s="1">
        <v>45838</v>
      </c>
    </row>
    <row r="226" spans="1:21" x14ac:dyDescent="0.3">
      <c r="A226">
        <v>220</v>
      </c>
      <c r="B226">
        <v>74</v>
      </c>
      <c r="C226">
        <v>1</v>
      </c>
      <c r="D226" t="s">
        <v>19</v>
      </c>
      <c r="E226" t="s">
        <v>23</v>
      </c>
      <c r="F226">
        <v>35</v>
      </c>
      <c r="G226" t="s">
        <v>27</v>
      </c>
      <c r="I226" t="s">
        <v>32</v>
      </c>
      <c r="J226" s="1">
        <v>45718</v>
      </c>
      <c r="K226" t="s">
        <v>34</v>
      </c>
      <c r="L226" t="s">
        <v>35</v>
      </c>
      <c r="M226" t="s">
        <v>38</v>
      </c>
      <c r="N226">
        <v>4</v>
      </c>
      <c r="O226">
        <v>0.79166666666666663</v>
      </c>
      <c r="P226">
        <v>88.5</v>
      </c>
      <c r="Q226" t="s">
        <v>39</v>
      </c>
      <c r="R226" t="s">
        <v>40</v>
      </c>
      <c r="T226" t="s">
        <v>40</v>
      </c>
      <c r="U226" s="1">
        <v>45838</v>
      </c>
    </row>
    <row r="227" spans="1:21" x14ac:dyDescent="0.3">
      <c r="A227">
        <v>221</v>
      </c>
      <c r="B227">
        <v>74</v>
      </c>
      <c r="C227">
        <v>2</v>
      </c>
      <c r="D227" t="s">
        <v>19</v>
      </c>
      <c r="E227" t="s">
        <v>23</v>
      </c>
      <c r="F227">
        <v>35</v>
      </c>
      <c r="G227" t="s">
        <v>27</v>
      </c>
      <c r="I227" t="s">
        <v>32</v>
      </c>
      <c r="J227" s="1">
        <v>45718</v>
      </c>
      <c r="K227" t="s">
        <v>34</v>
      </c>
      <c r="L227" t="s">
        <v>36</v>
      </c>
      <c r="M227" t="s">
        <v>38</v>
      </c>
      <c r="N227">
        <v>4</v>
      </c>
      <c r="O227">
        <v>0.89583333333333337</v>
      </c>
      <c r="P227">
        <v>82</v>
      </c>
      <c r="Q227" t="s">
        <v>39</v>
      </c>
      <c r="R227" t="s">
        <v>40</v>
      </c>
      <c r="T227" t="s">
        <v>40</v>
      </c>
      <c r="U227" s="1">
        <v>45838</v>
      </c>
    </row>
    <row r="228" spans="1:21" x14ac:dyDescent="0.3">
      <c r="A228">
        <v>222</v>
      </c>
      <c r="B228">
        <v>74</v>
      </c>
      <c r="C228">
        <v>3</v>
      </c>
      <c r="D228" t="s">
        <v>21</v>
      </c>
      <c r="E228" t="s">
        <v>23</v>
      </c>
      <c r="F228">
        <v>35</v>
      </c>
      <c r="G228" t="s">
        <v>27</v>
      </c>
      <c r="I228" t="s">
        <v>32</v>
      </c>
      <c r="J228" s="1">
        <v>45718</v>
      </c>
      <c r="K228" t="s">
        <v>34</v>
      </c>
      <c r="L228" t="s">
        <v>37</v>
      </c>
      <c r="M228" t="s">
        <v>38</v>
      </c>
      <c r="N228">
        <v>4</v>
      </c>
      <c r="O228">
        <v>0.85416666666666663</v>
      </c>
      <c r="P228">
        <v>47.5</v>
      </c>
      <c r="Q228" t="s">
        <v>39</v>
      </c>
      <c r="R228" t="s">
        <v>40</v>
      </c>
      <c r="T228" t="s">
        <v>40</v>
      </c>
      <c r="U228" s="1">
        <v>45838</v>
      </c>
    </row>
    <row r="229" spans="1:21" x14ac:dyDescent="0.3">
      <c r="A229">
        <v>223</v>
      </c>
      <c r="B229">
        <v>75</v>
      </c>
      <c r="C229">
        <v>1</v>
      </c>
      <c r="D229" t="s">
        <v>21</v>
      </c>
      <c r="E229" t="s">
        <v>22</v>
      </c>
      <c r="F229">
        <v>23</v>
      </c>
      <c r="G229" t="s">
        <v>27</v>
      </c>
      <c r="I229" t="s">
        <v>31</v>
      </c>
      <c r="J229" s="1">
        <v>45703</v>
      </c>
      <c r="K229" t="s">
        <v>34</v>
      </c>
      <c r="L229" t="s">
        <v>35</v>
      </c>
      <c r="M229" t="s">
        <v>38</v>
      </c>
      <c r="N229">
        <v>4</v>
      </c>
      <c r="O229">
        <v>0.79166666666666663</v>
      </c>
      <c r="P229">
        <v>81</v>
      </c>
      <c r="Q229" t="s">
        <v>40</v>
      </c>
      <c r="R229" t="s">
        <v>40</v>
      </c>
      <c r="T229" t="s">
        <v>40</v>
      </c>
      <c r="U229" s="1">
        <v>45838</v>
      </c>
    </row>
    <row r="230" spans="1:21" x14ac:dyDescent="0.3">
      <c r="A230">
        <v>224</v>
      </c>
      <c r="B230">
        <v>75</v>
      </c>
      <c r="C230">
        <v>2</v>
      </c>
      <c r="D230" t="s">
        <v>19</v>
      </c>
      <c r="E230" t="s">
        <v>22</v>
      </c>
      <c r="F230">
        <v>23</v>
      </c>
      <c r="G230" t="s">
        <v>27</v>
      </c>
      <c r="I230" t="s">
        <v>31</v>
      </c>
      <c r="J230" s="1">
        <v>45703</v>
      </c>
      <c r="K230" t="s">
        <v>34</v>
      </c>
      <c r="L230" t="s">
        <v>36</v>
      </c>
      <c r="M230" t="s">
        <v>38</v>
      </c>
      <c r="N230">
        <v>4</v>
      </c>
      <c r="O230">
        <v>0.91666666666666663</v>
      </c>
      <c r="P230">
        <v>95.5</v>
      </c>
      <c r="Q230" t="s">
        <v>40</v>
      </c>
      <c r="R230" t="s">
        <v>40</v>
      </c>
      <c r="T230" t="s">
        <v>40</v>
      </c>
      <c r="U230" s="1">
        <v>45838</v>
      </c>
    </row>
    <row r="231" spans="1:21" x14ac:dyDescent="0.3">
      <c r="A231">
        <v>225</v>
      </c>
      <c r="B231">
        <v>75</v>
      </c>
      <c r="C231">
        <v>3</v>
      </c>
      <c r="D231" t="s">
        <v>19</v>
      </c>
      <c r="E231" t="s">
        <v>22</v>
      </c>
      <c r="F231">
        <v>23</v>
      </c>
      <c r="G231" t="s">
        <v>27</v>
      </c>
      <c r="I231" t="s">
        <v>31</v>
      </c>
      <c r="J231" s="1">
        <v>45703</v>
      </c>
      <c r="K231" t="s">
        <v>34</v>
      </c>
      <c r="L231" t="s">
        <v>37</v>
      </c>
      <c r="M231" t="s">
        <v>38</v>
      </c>
      <c r="N231">
        <v>4</v>
      </c>
      <c r="O231">
        <v>0.8125</v>
      </c>
      <c r="P231">
        <v>68.5</v>
      </c>
      <c r="Q231" t="s">
        <v>40</v>
      </c>
      <c r="R231" t="s">
        <v>40</v>
      </c>
      <c r="T231" t="s">
        <v>40</v>
      </c>
      <c r="U231" s="1">
        <v>45838</v>
      </c>
    </row>
    <row r="232" spans="1:21" x14ac:dyDescent="0.3">
      <c r="A232">
        <v>226</v>
      </c>
      <c r="B232">
        <v>76</v>
      </c>
      <c r="C232">
        <v>1</v>
      </c>
      <c r="D232" t="s">
        <v>19</v>
      </c>
      <c r="E232" t="s">
        <v>23</v>
      </c>
      <c r="F232">
        <v>31</v>
      </c>
      <c r="G232" t="s">
        <v>24</v>
      </c>
      <c r="I232" t="s">
        <v>32</v>
      </c>
      <c r="J232" s="1">
        <v>45726</v>
      </c>
      <c r="K232" t="s">
        <v>34</v>
      </c>
      <c r="L232" t="s">
        <v>35</v>
      </c>
      <c r="M232" t="s">
        <v>38</v>
      </c>
      <c r="N232">
        <v>4</v>
      </c>
      <c r="O232">
        <v>0.83333333333333337</v>
      </c>
      <c r="P232">
        <v>50.5</v>
      </c>
      <c r="Q232" t="s">
        <v>39</v>
      </c>
      <c r="R232" t="s">
        <v>39</v>
      </c>
      <c r="T232" t="s">
        <v>39</v>
      </c>
      <c r="U232" s="1">
        <v>45838</v>
      </c>
    </row>
    <row r="233" spans="1:21" x14ac:dyDescent="0.3">
      <c r="A233">
        <v>227</v>
      </c>
      <c r="B233">
        <v>76</v>
      </c>
      <c r="C233">
        <v>2</v>
      </c>
      <c r="D233" t="s">
        <v>19</v>
      </c>
      <c r="E233" t="s">
        <v>23</v>
      </c>
      <c r="F233">
        <v>31</v>
      </c>
      <c r="G233" t="s">
        <v>24</v>
      </c>
      <c r="I233" t="s">
        <v>32</v>
      </c>
      <c r="J233" s="1">
        <v>45726</v>
      </c>
      <c r="K233" t="s">
        <v>34</v>
      </c>
      <c r="L233" t="s">
        <v>36</v>
      </c>
      <c r="M233" t="s">
        <v>38</v>
      </c>
      <c r="N233">
        <v>4</v>
      </c>
      <c r="O233">
        <v>0.77083333333333337</v>
      </c>
      <c r="P233">
        <v>77</v>
      </c>
      <c r="Q233" t="s">
        <v>39</v>
      </c>
      <c r="R233" t="s">
        <v>39</v>
      </c>
      <c r="T233" t="s">
        <v>39</v>
      </c>
      <c r="U233" s="1">
        <v>45838</v>
      </c>
    </row>
    <row r="234" spans="1:21" x14ac:dyDescent="0.3">
      <c r="A234">
        <v>228</v>
      </c>
      <c r="B234">
        <v>76</v>
      </c>
      <c r="C234">
        <v>3</v>
      </c>
      <c r="D234" t="s">
        <v>19</v>
      </c>
      <c r="E234" t="s">
        <v>23</v>
      </c>
      <c r="F234">
        <v>31</v>
      </c>
      <c r="G234" t="s">
        <v>24</v>
      </c>
      <c r="I234" t="s">
        <v>32</v>
      </c>
      <c r="J234" s="1">
        <v>45726</v>
      </c>
      <c r="K234" t="s">
        <v>34</v>
      </c>
      <c r="L234" t="s">
        <v>37</v>
      </c>
      <c r="M234" t="s">
        <v>38</v>
      </c>
      <c r="N234">
        <v>4</v>
      </c>
      <c r="O234">
        <v>0.79166666666666663</v>
      </c>
      <c r="P234">
        <v>67.5</v>
      </c>
      <c r="Q234" t="s">
        <v>39</v>
      </c>
      <c r="R234" t="s">
        <v>39</v>
      </c>
      <c r="T234" t="s">
        <v>39</v>
      </c>
      <c r="U234" s="1">
        <v>45838</v>
      </c>
    </row>
    <row r="235" spans="1:21" x14ac:dyDescent="0.3">
      <c r="A235">
        <v>229</v>
      </c>
      <c r="B235">
        <v>77</v>
      </c>
      <c r="C235">
        <v>1</v>
      </c>
      <c r="D235" t="s">
        <v>19</v>
      </c>
      <c r="E235" t="s">
        <v>22</v>
      </c>
      <c r="F235">
        <v>21</v>
      </c>
      <c r="G235" t="s">
        <v>27</v>
      </c>
      <c r="I235" t="s">
        <v>31</v>
      </c>
      <c r="J235" s="1">
        <v>45778</v>
      </c>
      <c r="K235" t="s">
        <v>34</v>
      </c>
      <c r="L235" t="s">
        <v>35</v>
      </c>
      <c r="M235" t="s">
        <v>38</v>
      </c>
      <c r="N235">
        <v>4</v>
      </c>
      <c r="O235">
        <v>0.89583333333333337</v>
      </c>
      <c r="P235">
        <v>72</v>
      </c>
      <c r="Q235" t="s">
        <v>39</v>
      </c>
      <c r="R235" t="s">
        <v>39</v>
      </c>
      <c r="T235" t="s">
        <v>39</v>
      </c>
      <c r="U235" s="1">
        <v>45838</v>
      </c>
    </row>
    <row r="236" spans="1:21" x14ac:dyDescent="0.3">
      <c r="A236">
        <v>230</v>
      </c>
      <c r="B236">
        <v>77</v>
      </c>
      <c r="C236">
        <v>2</v>
      </c>
      <c r="D236" t="s">
        <v>19</v>
      </c>
      <c r="E236" t="s">
        <v>22</v>
      </c>
      <c r="F236">
        <v>21</v>
      </c>
      <c r="G236" t="s">
        <v>27</v>
      </c>
      <c r="I236" t="s">
        <v>31</v>
      </c>
      <c r="J236" s="1">
        <v>45778</v>
      </c>
      <c r="K236" t="s">
        <v>34</v>
      </c>
      <c r="L236" t="s">
        <v>36</v>
      </c>
      <c r="M236" t="s">
        <v>38</v>
      </c>
      <c r="N236">
        <v>4</v>
      </c>
      <c r="O236">
        <v>0.79166666666666663</v>
      </c>
      <c r="P236">
        <v>74</v>
      </c>
      <c r="Q236" t="s">
        <v>39</v>
      </c>
      <c r="R236" t="s">
        <v>39</v>
      </c>
      <c r="T236" t="s">
        <v>39</v>
      </c>
      <c r="U236" s="1">
        <v>45838</v>
      </c>
    </row>
    <row r="237" spans="1:21" x14ac:dyDescent="0.3">
      <c r="A237">
        <v>231</v>
      </c>
      <c r="B237">
        <v>77</v>
      </c>
      <c r="C237">
        <v>3</v>
      </c>
      <c r="D237" t="s">
        <v>19</v>
      </c>
      <c r="E237" t="s">
        <v>22</v>
      </c>
      <c r="F237">
        <v>21</v>
      </c>
      <c r="G237" t="s">
        <v>27</v>
      </c>
      <c r="I237" t="s">
        <v>31</v>
      </c>
      <c r="J237" s="1">
        <v>45778</v>
      </c>
      <c r="K237" t="s">
        <v>34</v>
      </c>
      <c r="L237" t="s">
        <v>37</v>
      </c>
      <c r="M237" t="s">
        <v>38</v>
      </c>
      <c r="N237">
        <v>4</v>
      </c>
      <c r="O237">
        <v>0.85416666666666663</v>
      </c>
      <c r="P237">
        <v>69.5</v>
      </c>
      <c r="Q237" t="s">
        <v>39</v>
      </c>
      <c r="R237" t="s">
        <v>39</v>
      </c>
      <c r="T237" t="s">
        <v>39</v>
      </c>
      <c r="U237" s="1">
        <v>45838</v>
      </c>
    </row>
    <row r="238" spans="1:21" x14ac:dyDescent="0.3">
      <c r="A238">
        <v>232</v>
      </c>
      <c r="B238">
        <v>78</v>
      </c>
      <c r="C238">
        <v>1</v>
      </c>
      <c r="D238" t="s">
        <v>19</v>
      </c>
      <c r="E238" t="s">
        <v>22</v>
      </c>
      <c r="F238">
        <v>24</v>
      </c>
      <c r="G238" t="s">
        <v>27</v>
      </c>
      <c r="I238" t="s">
        <v>30</v>
      </c>
      <c r="J238" s="1">
        <v>45736</v>
      </c>
      <c r="K238" t="s">
        <v>34</v>
      </c>
      <c r="L238" t="s">
        <v>35</v>
      </c>
      <c r="M238" t="s">
        <v>38</v>
      </c>
      <c r="N238">
        <v>4</v>
      </c>
      <c r="O238">
        <v>0.83333333333333337</v>
      </c>
      <c r="P238">
        <v>64.5</v>
      </c>
      <c r="Q238" t="s">
        <v>39</v>
      </c>
      <c r="R238" t="s">
        <v>39</v>
      </c>
      <c r="T238" t="s">
        <v>39</v>
      </c>
      <c r="U238" s="1">
        <v>45838</v>
      </c>
    </row>
    <row r="239" spans="1:21" x14ac:dyDescent="0.3">
      <c r="A239">
        <v>233</v>
      </c>
      <c r="B239">
        <v>78</v>
      </c>
      <c r="C239">
        <v>2</v>
      </c>
      <c r="D239" t="s">
        <v>19</v>
      </c>
      <c r="E239" t="s">
        <v>22</v>
      </c>
      <c r="F239">
        <v>24</v>
      </c>
      <c r="G239" t="s">
        <v>27</v>
      </c>
      <c r="I239" t="s">
        <v>30</v>
      </c>
      <c r="J239" s="1">
        <v>45736</v>
      </c>
      <c r="K239" t="s">
        <v>34</v>
      </c>
      <c r="L239" t="s">
        <v>36</v>
      </c>
      <c r="M239" t="s">
        <v>38</v>
      </c>
      <c r="N239">
        <v>4</v>
      </c>
      <c r="O239">
        <v>0.79166666666666663</v>
      </c>
      <c r="P239">
        <v>71</v>
      </c>
      <c r="Q239" t="s">
        <v>39</v>
      </c>
      <c r="R239" t="s">
        <v>39</v>
      </c>
      <c r="T239" t="s">
        <v>39</v>
      </c>
      <c r="U239" s="1">
        <v>45838</v>
      </c>
    </row>
    <row r="240" spans="1:21" x14ac:dyDescent="0.3">
      <c r="A240">
        <v>234</v>
      </c>
      <c r="B240">
        <v>78</v>
      </c>
      <c r="C240">
        <v>3</v>
      </c>
      <c r="D240" t="s">
        <v>20</v>
      </c>
      <c r="E240" t="s">
        <v>22</v>
      </c>
      <c r="F240">
        <v>24</v>
      </c>
      <c r="G240" t="s">
        <v>27</v>
      </c>
      <c r="I240" t="s">
        <v>30</v>
      </c>
      <c r="J240" s="1">
        <v>45736</v>
      </c>
      <c r="K240" t="s">
        <v>34</v>
      </c>
      <c r="L240" t="s">
        <v>37</v>
      </c>
      <c r="M240" t="s">
        <v>38</v>
      </c>
      <c r="N240">
        <v>4</v>
      </c>
      <c r="O240">
        <v>0.75</v>
      </c>
      <c r="P240">
        <v>65</v>
      </c>
      <c r="Q240" t="s">
        <v>39</v>
      </c>
      <c r="R240" t="s">
        <v>39</v>
      </c>
      <c r="T240" t="s">
        <v>39</v>
      </c>
      <c r="U240" s="1">
        <v>45838</v>
      </c>
    </row>
    <row r="241" spans="1:21" x14ac:dyDescent="0.3">
      <c r="A241">
        <v>235</v>
      </c>
      <c r="B241">
        <v>79</v>
      </c>
      <c r="C241">
        <v>1</v>
      </c>
      <c r="D241" t="s">
        <v>21</v>
      </c>
      <c r="E241" t="s">
        <v>22</v>
      </c>
      <c r="F241">
        <v>25</v>
      </c>
      <c r="G241" t="s">
        <v>25</v>
      </c>
      <c r="I241" t="s">
        <v>32</v>
      </c>
      <c r="J241" s="1">
        <v>45760</v>
      </c>
      <c r="K241" t="s">
        <v>34</v>
      </c>
      <c r="L241" t="s">
        <v>35</v>
      </c>
      <c r="M241" t="s">
        <v>38</v>
      </c>
      <c r="N241">
        <v>4</v>
      </c>
      <c r="O241">
        <v>0.79166666666666663</v>
      </c>
      <c r="P241">
        <v>69.5</v>
      </c>
      <c r="Q241" t="s">
        <v>39</v>
      </c>
      <c r="R241" t="s">
        <v>40</v>
      </c>
      <c r="T241" t="s">
        <v>39</v>
      </c>
      <c r="U241" s="1">
        <v>45838</v>
      </c>
    </row>
    <row r="242" spans="1:21" x14ac:dyDescent="0.3">
      <c r="A242">
        <v>236</v>
      </c>
      <c r="B242">
        <v>79</v>
      </c>
      <c r="C242">
        <v>2</v>
      </c>
      <c r="D242" t="s">
        <v>20</v>
      </c>
      <c r="E242" t="s">
        <v>22</v>
      </c>
      <c r="F242">
        <v>25</v>
      </c>
      <c r="G242" t="s">
        <v>25</v>
      </c>
      <c r="I242" t="s">
        <v>32</v>
      </c>
      <c r="J242" s="1">
        <v>45760</v>
      </c>
      <c r="K242" t="s">
        <v>34</v>
      </c>
      <c r="L242" t="s">
        <v>36</v>
      </c>
      <c r="M242" t="s">
        <v>38</v>
      </c>
      <c r="N242">
        <v>4</v>
      </c>
      <c r="O242">
        <v>0.85416666666666663</v>
      </c>
      <c r="P242">
        <v>66.5</v>
      </c>
      <c r="Q242" t="s">
        <v>39</v>
      </c>
      <c r="R242" t="s">
        <v>40</v>
      </c>
      <c r="T242" t="s">
        <v>39</v>
      </c>
      <c r="U242" s="1">
        <v>45838</v>
      </c>
    </row>
    <row r="243" spans="1:21" x14ac:dyDescent="0.3">
      <c r="A243">
        <v>237</v>
      </c>
      <c r="B243">
        <v>79</v>
      </c>
      <c r="C243">
        <v>3</v>
      </c>
      <c r="D243" t="s">
        <v>19</v>
      </c>
      <c r="E243" t="s">
        <v>22</v>
      </c>
      <c r="F243">
        <v>25</v>
      </c>
      <c r="G243" t="s">
        <v>25</v>
      </c>
      <c r="I243" t="s">
        <v>32</v>
      </c>
      <c r="J243" s="1">
        <v>45760</v>
      </c>
      <c r="K243" t="s">
        <v>34</v>
      </c>
      <c r="L243" t="s">
        <v>37</v>
      </c>
      <c r="M243" t="s">
        <v>38</v>
      </c>
      <c r="N243">
        <v>4</v>
      </c>
      <c r="O243">
        <v>0.85416666666666663</v>
      </c>
      <c r="P243">
        <v>69.5</v>
      </c>
      <c r="Q243" t="s">
        <v>39</v>
      </c>
      <c r="R243" t="s">
        <v>40</v>
      </c>
      <c r="T243" t="s">
        <v>39</v>
      </c>
      <c r="U243" s="1">
        <v>45838</v>
      </c>
    </row>
    <row r="244" spans="1:21" x14ac:dyDescent="0.3">
      <c r="A244">
        <v>238</v>
      </c>
      <c r="B244">
        <v>80</v>
      </c>
      <c r="C244">
        <v>1</v>
      </c>
      <c r="D244" t="s">
        <v>19</v>
      </c>
      <c r="E244" t="s">
        <v>23</v>
      </c>
      <c r="F244">
        <v>26</v>
      </c>
      <c r="G244" t="s">
        <v>25</v>
      </c>
      <c r="I244" t="s">
        <v>30</v>
      </c>
      <c r="J244" s="1">
        <v>45747</v>
      </c>
      <c r="K244" t="s">
        <v>34</v>
      </c>
      <c r="L244" t="s">
        <v>35</v>
      </c>
      <c r="M244" t="s">
        <v>38</v>
      </c>
      <c r="N244">
        <v>4</v>
      </c>
      <c r="O244">
        <v>0.75</v>
      </c>
      <c r="P244">
        <v>65</v>
      </c>
      <c r="Q244" t="s">
        <v>40</v>
      </c>
      <c r="R244" t="s">
        <v>40</v>
      </c>
      <c r="T244" t="s">
        <v>40</v>
      </c>
      <c r="U244" s="1">
        <v>45838</v>
      </c>
    </row>
    <row r="245" spans="1:21" x14ac:dyDescent="0.3">
      <c r="A245">
        <v>239</v>
      </c>
      <c r="B245">
        <v>80</v>
      </c>
      <c r="C245">
        <v>2</v>
      </c>
      <c r="D245" t="s">
        <v>19</v>
      </c>
      <c r="E245" t="s">
        <v>23</v>
      </c>
      <c r="F245">
        <v>26</v>
      </c>
      <c r="G245" t="s">
        <v>25</v>
      </c>
      <c r="I245" t="s">
        <v>30</v>
      </c>
      <c r="J245" s="1">
        <v>45747</v>
      </c>
      <c r="K245" t="s">
        <v>34</v>
      </c>
      <c r="L245" t="s">
        <v>36</v>
      </c>
      <c r="M245" t="s">
        <v>38</v>
      </c>
      <c r="N245">
        <v>4</v>
      </c>
      <c r="O245">
        <v>0.8125</v>
      </c>
      <c r="P245">
        <v>66</v>
      </c>
      <c r="Q245" t="s">
        <v>40</v>
      </c>
      <c r="R245" t="s">
        <v>40</v>
      </c>
      <c r="T245" t="s">
        <v>40</v>
      </c>
      <c r="U245" s="1">
        <v>45838</v>
      </c>
    </row>
    <row r="246" spans="1:21" x14ac:dyDescent="0.3">
      <c r="A246">
        <v>240</v>
      </c>
      <c r="B246">
        <v>80</v>
      </c>
      <c r="C246">
        <v>3</v>
      </c>
      <c r="D246" t="s">
        <v>20</v>
      </c>
      <c r="E246" t="s">
        <v>23</v>
      </c>
      <c r="F246">
        <v>26</v>
      </c>
      <c r="G246" t="s">
        <v>25</v>
      </c>
      <c r="I246" t="s">
        <v>30</v>
      </c>
      <c r="J246" s="1">
        <v>45747</v>
      </c>
      <c r="K246" t="s">
        <v>34</v>
      </c>
      <c r="L246" t="s">
        <v>37</v>
      </c>
      <c r="M246" t="s">
        <v>38</v>
      </c>
      <c r="N246">
        <v>4</v>
      </c>
      <c r="O246">
        <v>0.77083333333333337</v>
      </c>
      <c r="P246">
        <v>75.5</v>
      </c>
      <c r="Q246" t="s">
        <v>40</v>
      </c>
      <c r="R246" t="s">
        <v>40</v>
      </c>
      <c r="T246" t="s">
        <v>40</v>
      </c>
      <c r="U246" s="1">
        <v>45838</v>
      </c>
    </row>
    <row r="247" spans="1:21" x14ac:dyDescent="0.3">
      <c r="A247">
        <v>241</v>
      </c>
      <c r="B247">
        <v>81</v>
      </c>
      <c r="C247">
        <v>1</v>
      </c>
      <c r="D247" t="s">
        <v>20</v>
      </c>
      <c r="E247" t="s">
        <v>23</v>
      </c>
      <c r="F247">
        <v>35</v>
      </c>
      <c r="G247" t="s">
        <v>29</v>
      </c>
      <c r="I247" t="s">
        <v>31</v>
      </c>
      <c r="J247" s="1">
        <v>45687</v>
      </c>
      <c r="K247" t="s">
        <v>34</v>
      </c>
      <c r="L247" t="s">
        <v>35</v>
      </c>
      <c r="M247" t="s">
        <v>38</v>
      </c>
      <c r="N247">
        <v>4</v>
      </c>
      <c r="O247">
        <v>0.83333333333333337</v>
      </c>
      <c r="P247">
        <v>86</v>
      </c>
      <c r="Q247" t="s">
        <v>39</v>
      </c>
      <c r="R247" t="s">
        <v>39</v>
      </c>
      <c r="T247" t="s">
        <v>39</v>
      </c>
      <c r="U247" s="1">
        <v>45838</v>
      </c>
    </row>
    <row r="248" spans="1:21" x14ac:dyDescent="0.3">
      <c r="A248">
        <v>242</v>
      </c>
      <c r="B248">
        <v>81</v>
      </c>
      <c r="C248">
        <v>2</v>
      </c>
      <c r="D248" t="s">
        <v>19</v>
      </c>
      <c r="E248" t="s">
        <v>23</v>
      </c>
      <c r="F248">
        <v>35</v>
      </c>
      <c r="G248" t="s">
        <v>29</v>
      </c>
      <c r="I248" t="s">
        <v>31</v>
      </c>
      <c r="J248" s="1">
        <v>45687</v>
      </c>
      <c r="K248" t="s">
        <v>34</v>
      </c>
      <c r="L248" t="s">
        <v>36</v>
      </c>
      <c r="M248" t="s">
        <v>38</v>
      </c>
      <c r="N248">
        <v>4</v>
      </c>
      <c r="O248">
        <v>0.89583333333333337</v>
      </c>
      <c r="P248">
        <v>57</v>
      </c>
      <c r="Q248" t="s">
        <v>39</v>
      </c>
      <c r="R248" t="s">
        <v>39</v>
      </c>
      <c r="T248" t="s">
        <v>39</v>
      </c>
      <c r="U248" s="1">
        <v>45838</v>
      </c>
    </row>
    <row r="249" spans="1:21" x14ac:dyDescent="0.3">
      <c r="A249">
        <v>243</v>
      </c>
      <c r="B249">
        <v>81</v>
      </c>
      <c r="C249">
        <v>3</v>
      </c>
      <c r="D249" t="s">
        <v>21</v>
      </c>
      <c r="E249" t="s">
        <v>23</v>
      </c>
      <c r="F249">
        <v>35</v>
      </c>
      <c r="G249" t="s">
        <v>29</v>
      </c>
      <c r="I249" t="s">
        <v>31</v>
      </c>
      <c r="J249" s="1">
        <v>45687</v>
      </c>
      <c r="K249" t="s">
        <v>34</v>
      </c>
      <c r="L249" t="s">
        <v>37</v>
      </c>
      <c r="M249" t="s">
        <v>38</v>
      </c>
      <c r="N249">
        <v>4</v>
      </c>
      <c r="O249">
        <v>0.9375</v>
      </c>
      <c r="P249">
        <v>80.5</v>
      </c>
      <c r="Q249" t="s">
        <v>39</v>
      </c>
      <c r="R249" t="s">
        <v>39</v>
      </c>
      <c r="T249" t="s">
        <v>39</v>
      </c>
      <c r="U249" s="1">
        <v>45838</v>
      </c>
    </row>
    <row r="250" spans="1:21" x14ac:dyDescent="0.3">
      <c r="A250">
        <v>244</v>
      </c>
      <c r="B250">
        <v>82</v>
      </c>
      <c r="C250">
        <v>1</v>
      </c>
      <c r="D250" t="s">
        <v>19</v>
      </c>
      <c r="E250" t="s">
        <v>23</v>
      </c>
      <c r="F250">
        <v>23</v>
      </c>
      <c r="G250" t="s">
        <v>26</v>
      </c>
      <c r="I250" t="s">
        <v>30</v>
      </c>
      <c r="J250" s="1">
        <v>45667</v>
      </c>
      <c r="K250" t="s">
        <v>34</v>
      </c>
      <c r="L250" t="s">
        <v>35</v>
      </c>
      <c r="M250" t="s">
        <v>38</v>
      </c>
      <c r="N250">
        <v>4</v>
      </c>
      <c r="O250">
        <v>0.91666666666666663</v>
      </c>
      <c r="P250">
        <v>87</v>
      </c>
      <c r="Q250" t="s">
        <v>39</v>
      </c>
      <c r="R250" t="s">
        <v>39</v>
      </c>
      <c r="T250" t="s">
        <v>39</v>
      </c>
      <c r="U250" s="1">
        <v>45838</v>
      </c>
    </row>
    <row r="251" spans="1:21" x14ac:dyDescent="0.3">
      <c r="A251">
        <v>245</v>
      </c>
      <c r="B251">
        <v>82</v>
      </c>
      <c r="C251">
        <v>2</v>
      </c>
      <c r="D251" t="s">
        <v>19</v>
      </c>
      <c r="E251" t="s">
        <v>23</v>
      </c>
      <c r="F251">
        <v>23</v>
      </c>
      <c r="G251" t="s">
        <v>26</v>
      </c>
      <c r="I251" t="s">
        <v>30</v>
      </c>
      <c r="J251" s="1">
        <v>45667</v>
      </c>
      <c r="K251" t="s">
        <v>34</v>
      </c>
      <c r="L251" t="s">
        <v>36</v>
      </c>
      <c r="M251" t="s">
        <v>38</v>
      </c>
      <c r="N251">
        <v>4</v>
      </c>
      <c r="O251">
        <v>0.875</v>
      </c>
      <c r="P251">
        <v>81.5</v>
      </c>
      <c r="Q251" t="s">
        <v>39</v>
      </c>
      <c r="R251" t="s">
        <v>39</v>
      </c>
      <c r="T251" t="s">
        <v>39</v>
      </c>
      <c r="U251" s="1">
        <v>45838</v>
      </c>
    </row>
    <row r="252" spans="1:21" x14ac:dyDescent="0.3">
      <c r="A252">
        <v>246</v>
      </c>
      <c r="B252">
        <v>82</v>
      </c>
      <c r="C252">
        <v>3</v>
      </c>
      <c r="D252" t="s">
        <v>19</v>
      </c>
      <c r="E252" t="s">
        <v>23</v>
      </c>
      <c r="F252">
        <v>23</v>
      </c>
      <c r="G252" t="s">
        <v>26</v>
      </c>
      <c r="I252" t="s">
        <v>30</v>
      </c>
      <c r="J252" s="1">
        <v>45667</v>
      </c>
      <c r="K252" t="s">
        <v>34</v>
      </c>
      <c r="L252" t="s">
        <v>37</v>
      </c>
      <c r="M252" t="s">
        <v>38</v>
      </c>
      <c r="N252">
        <v>4</v>
      </c>
      <c r="O252">
        <v>0.83333333333333337</v>
      </c>
      <c r="P252">
        <v>66.5</v>
      </c>
      <c r="Q252" t="s">
        <v>39</v>
      </c>
      <c r="R252" t="s">
        <v>39</v>
      </c>
      <c r="T252" t="s">
        <v>39</v>
      </c>
      <c r="U252" s="1">
        <v>45838</v>
      </c>
    </row>
    <row r="253" spans="1:21" x14ac:dyDescent="0.3">
      <c r="A253">
        <v>247</v>
      </c>
      <c r="B253">
        <v>83</v>
      </c>
      <c r="C253">
        <v>1</v>
      </c>
      <c r="D253" t="s">
        <v>19</v>
      </c>
      <c r="E253" t="s">
        <v>22</v>
      </c>
      <c r="F253">
        <v>31</v>
      </c>
      <c r="G253" t="s">
        <v>29</v>
      </c>
      <c r="I253" t="s">
        <v>30</v>
      </c>
      <c r="J253" s="1">
        <v>45769</v>
      </c>
      <c r="K253" t="s">
        <v>34</v>
      </c>
      <c r="L253" t="s">
        <v>35</v>
      </c>
      <c r="M253" t="s">
        <v>38</v>
      </c>
      <c r="N253">
        <v>4</v>
      </c>
      <c r="O253">
        <v>0.8125</v>
      </c>
      <c r="P253">
        <v>78</v>
      </c>
      <c r="Q253" t="s">
        <v>39</v>
      </c>
      <c r="R253" t="s">
        <v>39</v>
      </c>
      <c r="T253" t="s">
        <v>39</v>
      </c>
      <c r="U253" s="1">
        <v>45838</v>
      </c>
    </row>
    <row r="254" spans="1:21" x14ac:dyDescent="0.3">
      <c r="A254">
        <v>248</v>
      </c>
      <c r="B254">
        <v>83</v>
      </c>
      <c r="C254">
        <v>2</v>
      </c>
      <c r="D254" t="s">
        <v>21</v>
      </c>
      <c r="E254" t="s">
        <v>22</v>
      </c>
      <c r="F254">
        <v>31</v>
      </c>
      <c r="G254" t="s">
        <v>29</v>
      </c>
      <c r="I254" t="s">
        <v>30</v>
      </c>
      <c r="J254" s="1">
        <v>45769</v>
      </c>
      <c r="K254" t="s">
        <v>34</v>
      </c>
      <c r="L254" t="s">
        <v>36</v>
      </c>
      <c r="M254" t="s">
        <v>38</v>
      </c>
      <c r="N254">
        <v>4</v>
      </c>
      <c r="O254">
        <v>0.91666666666666663</v>
      </c>
      <c r="P254">
        <v>75.5</v>
      </c>
      <c r="Q254" t="s">
        <v>39</v>
      </c>
      <c r="R254" t="s">
        <v>39</v>
      </c>
      <c r="T254" t="s">
        <v>39</v>
      </c>
      <c r="U254" s="1">
        <v>45838</v>
      </c>
    </row>
    <row r="255" spans="1:21" x14ac:dyDescent="0.3">
      <c r="A255">
        <v>249</v>
      </c>
      <c r="B255">
        <v>83</v>
      </c>
      <c r="C255">
        <v>3</v>
      </c>
      <c r="D255" t="s">
        <v>19</v>
      </c>
      <c r="E255" t="s">
        <v>22</v>
      </c>
      <c r="F255">
        <v>31</v>
      </c>
      <c r="G255" t="s">
        <v>29</v>
      </c>
      <c r="I255" t="s">
        <v>30</v>
      </c>
      <c r="J255" s="1">
        <v>45769</v>
      </c>
      <c r="K255" t="s">
        <v>34</v>
      </c>
      <c r="L255" t="s">
        <v>37</v>
      </c>
      <c r="M255" t="s">
        <v>38</v>
      </c>
      <c r="N255">
        <v>4</v>
      </c>
      <c r="O255">
        <v>0.75</v>
      </c>
      <c r="P255">
        <v>90.5</v>
      </c>
      <c r="Q255" t="s">
        <v>39</v>
      </c>
      <c r="R255" t="s">
        <v>39</v>
      </c>
      <c r="T255" t="s">
        <v>39</v>
      </c>
      <c r="U255" s="1">
        <v>45838</v>
      </c>
    </row>
    <row r="256" spans="1:21" x14ac:dyDescent="0.3">
      <c r="A256">
        <v>250</v>
      </c>
      <c r="B256">
        <v>84</v>
      </c>
      <c r="C256">
        <v>1</v>
      </c>
      <c r="D256" t="s">
        <v>21</v>
      </c>
      <c r="E256" t="s">
        <v>22</v>
      </c>
      <c r="F256">
        <v>30</v>
      </c>
      <c r="G256" t="s">
        <v>26</v>
      </c>
      <c r="I256" t="s">
        <v>32</v>
      </c>
      <c r="J256" s="1">
        <v>45723</v>
      </c>
      <c r="K256" t="s">
        <v>34</v>
      </c>
      <c r="L256" t="s">
        <v>35</v>
      </c>
      <c r="M256" t="s">
        <v>38</v>
      </c>
      <c r="N256">
        <v>4</v>
      </c>
      <c r="O256">
        <v>0.875</v>
      </c>
      <c r="P256">
        <v>83</v>
      </c>
      <c r="Q256" t="s">
        <v>39</v>
      </c>
      <c r="R256" t="s">
        <v>39</v>
      </c>
      <c r="T256" t="s">
        <v>40</v>
      </c>
      <c r="U256" s="1">
        <v>45838</v>
      </c>
    </row>
    <row r="257" spans="1:21" x14ac:dyDescent="0.3">
      <c r="A257">
        <v>251</v>
      </c>
      <c r="B257">
        <v>84</v>
      </c>
      <c r="C257">
        <v>2</v>
      </c>
      <c r="D257" t="s">
        <v>19</v>
      </c>
      <c r="E257" t="s">
        <v>22</v>
      </c>
      <c r="F257">
        <v>30</v>
      </c>
      <c r="G257" t="s">
        <v>26</v>
      </c>
      <c r="I257" t="s">
        <v>32</v>
      </c>
      <c r="J257" s="1">
        <v>45723</v>
      </c>
      <c r="K257" t="s">
        <v>34</v>
      </c>
      <c r="L257" t="s">
        <v>36</v>
      </c>
      <c r="M257" t="s">
        <v>38</v>
      </c>
      <c r="N257">
        <v>4</v>
      </c>
      <c r="O257">
        <v>0.77083333333333337</v>
      </c>
      <c r="P257">
        <v>60</v>
      </c>
      <c r="Q257" t="s">
        <v>39</v>
      </c>
      <c r="R257" t="s">
        <v>39</v>
      </c>
      <c r="T257" t="s">
        <v>40</v>
      </c>
      <c r="U257" s="1">
        <v>45838</v>
      </c>
    </row>
    <row r="258" spans="1:21" x14ac:dyDescent="0.3">
      <c r="A258">
        <v>252</v>
      </c>
      <c r="B258">
        <v>84</v>
      </c>
      <c r="C258">
        <v>3</v>
      </c>
      <c r="D258" t="s">
        <v>21</v>
      </c>
      <c r="E258" t="s">
        <v>22</v>
      </c>
      <c r="F258">
        <v>30</v>
      </c>
      <c r="G258" t="s">
        <v>26</v>
      </c>
      <c r="I258" t="s">
        <v>32</v>
      </c>
      <c r="J258" s="1">
        <v>45723</v>
      </c>
      <c r="K258" t="s">
        <v>34</v>
      </c>
      <c r="L258" t="s">
        <v>37</v>
      </c>
      <c r="M258" t="s">
        <v>38</v>
      </c>
      <c r="N258">
        <v>4</v>
      </c>
      <c r="O258">
        <v>0.77083333333333337</v>
      </c>
      <c r="P258">
        <v>74</v>
      </c>
      <c r="Q258" t="s">
        <v>39</v>
      </c>
      <c r="R258" t="s">
        <v>39</v>
      </c>
      <c r="T258" t="s">
        <v>40</v>
      </c>
      <c r="U258" s="1">
        <v>45838</v>
      </c>
    </row>
    <row r="259" spans="1:21" x14ac:dyDescent="0.3">
      <c r="A259">
        <v>253</v>
      </c>
      <c r="B259">
        <v>85</v>
      </c>
      <c r="C259">
        <v>1</v>
      </c>
      <c r="D259" t="s">
        <v>21</v>
      </c>
      <c r="E259" t="s">
        <v>22</v>
      </c>
      <c r="F259">
        <v>31</v>
      </c>
      <c r="G259" t="s">
        <v>25</v>
      </c>
      <c r="I259" t="s">
        <v>32</v>
      </c>
      <c r="J259" s="1">
        <v>45751</v>
      </c>
      <c r="K259" t="s">
        <v>34</v>
      </c>
      <c r="L259" t="s">
        <v>35</v>
      </c>
      <c r="M259" t="s">
        <v>38</v>
      </c>
      <c r="N259">
        <v>4</v>
      </c>
      <c r="O259">
        <v>0.89583333333333337</v>
      </c>
      <c r="P259">
        <v>77.5</v>
      </c>
      <c r="Q259" t="s">
        <v>39</v>
      </c>
      <c r="R259" t="s">
        <v>39</v>
      </c>
      <c r="T259" t="s">
        <v>39</v>
      </c>
      <c r="U259" s="1">
        <v>45838</v>
      </c>
    </row>
    <row r="260" spans="1:21" x14ac:dyDescent="0.3">
      <c r="A260">
        <v>254</v>
      </c>
      <c r="B260">
        <v>85</v>
      </c>
      <c r="C260">
        <v>2</v>
      </c>
      <c r="D260" t="s">
        <v>20</v>
      </c>
      <c r="E260" t="s">
        <v>22</v>
      </c>
      <c r="F260">
        <v>31</v>
      </c>
      <c r="G260" t="s">
        <v>25</v>
      </c>
      <c r="I260" t="s">
        <v>32</v>
      </c>
      <c r="J260" s="1">
        <v>45751</v>
      </c>
      <c r="K260" t="s">
        <v>34</v>
      </c>
      <c r="L260" t="s">
        <v>36</v>
      </c>
      <c r="M260" t="s">
        <v>38</v>
      </c>
      <c r="N260">
        <v>4</v>
      </c>
      <c r="O260">
        <v>0.6875</v>
      </c>
      <c r="P260">
        <v>91.5</v>
      </c>
      <c r="Q260" t="s">
        <v>39</v>
      </c>
      <c r="R260" t="s">
        <v>39</v>
      </c>
      <c r="T260" t="s">
        <v>39</v>
      </c>
      <c r="U260" s="1">
        <v>45838</v>
      </c>
    </row>
    <row r="261" spans="1:21" x14ac:dyDescent="0.3">
      <c r="A261">
        <v>255</v>
      </c>
      <c r="B261">
        <v>85</v>
      </c>
      <c r="C261">
        <v>3</v>
      </c>
      <c r="D261" t="s">
        <v>19</v>
      </c>
      <c r="E261" t="s">
        <v>22</v>
      </c>
      <c r="F261">
        <v>31</v>
      </c>
      <c r="G261" t="s">
        <v>25</v>
      </c>
      <c r="I261" t="s">
        <v>32</v>
      </c>
      <c r="J261" s="1">
        <v>45751</v>
      </c>
      <c r="K261" t="s">
        <v>34</v>
      </c>
      <c r="L261" t="s">
        <v>37</v>
      </c>
      <c r="M261" t="s">
        <v>38</v>
      </c>
      <c r="N261">
        <v>4</v>
      </c>
      <c r="O261">
        <v>0.75</v>
      </c>
      <c r="P261">
        <v>77.5</v>
      </c>
      <c r="Q261" t="s">
        <v>39</v>
      </c>
      <c r="R261" t="s">
        <v>39</v>
      </c>
      <c r="T261" t="s">
        <v>39</v>
      </c>
      <c r="U261" s="1">
        <v>45838</v>
      </c>
    </row>
    <row r="262" spans="1:21" x14ac:dyDescent="0.3">
      <c r="A262">
        <v>256</v>
      </c>
      <c r="B262">
        <v>86</v>
      </c>
      <c r="C262">
        <v>1</v>
      </c>
      <c r="D262" t="s">
        <v>20</v>
      </c>
      <c r="E262" t="s">
        <v>23</v>
      </c>
      <c r="F262">
        <v>20</v>
      </c>
      <c r="G262" t="s">
        <v>24</v>
      </c>
      <c r="I262" t="s">
        <v>30</v>
      </c>
      <c r="J262" s="1">
        <v>45738</v>
      </c>
      <c r="K262" t="s">
        <v>34</v>
      </c>
      <c r="L262" t="s">
        <v>35</v>
      </c>
      <c r="M262" t="s">
        <v>38</v>
      </c>
      <c r="N262">
        <v>4</v>
      </c>
      <c r="O262">
        <v>0.83333333333333337</v>
      </c>
      <c r="P262">
        <v>59.5</v>
      </c>
      <c r="Q262" t="s">
        <v>39</v>
      </c>
      <c r="R262" t="s">
        <v>39</v>
      </c>
      <c r="T262" t="s">
        <v>40</v>
      </c>
      <c r="U262" s="1">
        <v>45838</v>
      </c>
    </row>
    <row r="263" spans="1:21" x14ac:dyDescent="0.3">
      <c r="A263">
        <v>257</v>
      </c>
      <c r="B263">
        <v>86</v>
      </c>
      <c r="C263">
        <v>2</v>
      </c>
      <c r="D263" t="s">
        <v>19</v>
      </c>
      <c r="E263" t="s">
        <v>23</v>
      </c>
      <c r="F263">
        <v>20</v>
      </c>
      <c r="G263" t="s">
        <v>24</v>
      </c>
      <c r="I263" t="s">
        <v>30</v>
      </c>
      <c r="J263" s="1">
        <v>45738</v>
      </c>
      <c r="K263" t="s">
        <v>34</v>
      </c>
      <c r="L263" t="s">
        <v>36</v>
      </c>
      <c r="M263" t="s">
        <v>38</v>
      </c>
      <c r="N263">
        <v>4</v>
      </c>
      <c r="O263">
        <v>0.89583333333333337</v>
      </c>
      <c r="P263">
        <v>61.5</v>
      </c>
      <c r="Q263" t="s">
        <v>39</v>
      </c>
      <c r="R263" t="s">
        <v>39</v>
      </c>
      <c r="T263" t="s">
        <v>40</v>
      </c>
      <c r="U263" s="1">
        <v>45838</v>
      </c>
    </row>
    <row r="264" spans="1:21" x14ac:dyDescent="0.3">
      <c r="A264">
        <v>258</v>
      </c>
      <c r="B264">
        <v>86</v>
      </c>
      <c r="C264">
        <v>3</v>
      </c>
      <c r="D264" t="s">
        <v>19</v>
      </c>
      <c r="E264" t="s">
        <v>23</v>
      </c>
      <c r="F264">
        <v>20</v>
      </c>
      <c r="G264" t="s">
        <v>24</v>
      </c>
      <c r="I264" t="s">
        <v>30</v>
      </c>
      <c r="J264" s="1">
        <v>45738</v>
      </c>
      <c r="K264" t="s">
        <v>34</v>
      </c>
      <c r="L264" t="s">
        <v>37</v>
      </c>
      <c r="M264" t="s">
        <v>38</v>
      </c>
      <c r="N264">
        <v>4</v>
      </c>
      <c r="O264">
        <v>0.83333333333333337</v>
      </c>
      <c r="P264">
        <v>72</v>
      </c>
      <c r="Q264" t="s">
        <v>39</v>
      </c>
      <c r="R264" t="s">
        <v>39</v>
      </c>
      <c r="T264" t="s">
        <v>40</v>
      </c>
      <c r="U264" s="1">
        <v>45838</v>
      </c>
    </row>
    <row r="265" spans="1:21" x14ac:dyDescent="0.3">
      <c r="A265">
        <v>259</v>
      </c>
      <c r="B265">
        <v>87</v>
      </c>
      <c r="C265">
        <v>1</v>
      </c>
      <c r="D265" t="s">
        <v>19</v>
      </c>
      <c r="E265" t="s">
        <v>22</v>
      </c>
      <c r="F265">
        <v>27</v>
      </c>
      <c r="G265" t="s">
        <v>26</v>
      </c>
      <c r="I265" t="s">
        <v>30</v>
      </c>
      <c r="J265" s="1">
        <v>45762</v>
      </c>
      <c r="K265" t="s">
        <v>34</v>
      </c>
      <c r="L265" t="s">
        <v>35</v>
      </c>
      <c r="M265" t="s">
        <v>38</v>
      </c>
      <c r="N265">
        <v>4</v>
      </c>
      <c r="O265">
        <v>0.72916666666666663</v>
      </c>
      <c r="P265">
        <v>70</v>
      </c>
      <c r="Q265" t="s">
        <v>40</v>
      </c>
      <c r="R265" t="s">
        <v>40</v>
      </c>
      <c r="T265" t="s">
        <v>40</v>
      </c>
      <c r="U265" s="1">
        <v>45838</v>
      </c>
    </row>
    <row r="266" spans="1:21" x14ac:dyDescent="0.3">
      <c r="A266">
        <v>260</v>
      </c>
      <c r="B266">
        <v>87</v>
      </c>
      <c r="C266">
        <v>2</v>
      </c>
      <c r="D266" t="s">
        <v>19</v>
      </c>
      <c r="E266" t="s">
        <v>22</v>
      </c>
      <c r="F266">
        <v>27</v>
      </c>
      <c r="G266" t="s">
        <v>26</v>
      </c>
      <c r="I266" t="s">
        <v>30</v>
      </c>
      <c r="J266" s="1">
        <v>45762</v>
      </c>
      <c r="K266" t="s">
        <v>34</v>
      </c>
      <c r="L266" t="s">
        <v>36</v>
      </c>
      <c r="M266" t="s">
        <v>38</v>
      </c>
      <c r="N266">
        <v>4</v>
      </c>
      <c r="O266">
        <v>0.83333333333333337</v>
      </c>
      <c r="P266">
        <v>51</v>
      </c>
      <c r="Q266" t="s">
        <v>40</v>
      </c>
      <c r="R266" t="s">
        <v>40</v>
      </c>
      <c r="T266" t="s">
        <v>40</v>
      </c>
      <c r="U266" s="1">
        <v>45838</v>
      </c>
    </row>
    <row r="267" spans="1:21" x14ac:dyDescent="0.3">
      <c r="A267">
        <v>261</v>
      </c>
      <c r="B267">
        <v>87</v>
      </c>
      <c r="C267">
        <v>3</v>
      </c>
      <c r="D267" t="s">
        <v>19</v>
      </c>
      <c r="E267" t="s">
        <v>22</v>
      </c>
      <c r="F267">
        <v>27</v>
      </c>
      <c r="G267" t="s">
        <v>26</v>
      </c>
      <c r="I267" t="s">
        <v>30</v>
      </c>
      <c r="J267" s="1">
        <v>45762</v>
      </c>
      <c r="K267" t="s">
        <v>34</v>
      </c>
      <c r="L267" t="s">
        <v>37</v>
      </c>
      <c r="M267" t="s">
        <v>38</v>
      </c>
      <c r="N267">
        <v>4</v>
      </c>
      <c r="O267">
        <v>0.89583333333333337</v>
      </c>
      <c r="P267">
        <v>75</v>
      </c>
      <c r="Q267" t="s">
        <v>40</v>
      </c>
      <c r="R267" t="s">
        <v>40</v>
      </c>
      <c r="T267" t="s">
        <v>40</v>
      </c>
      <c r="U267" s="1">
        <v>45838</v>
      </c>
    </row>
    <row r="268" spans="1:21" x14ac:dyDescent="0.3">
      <c r="A268">
        <v>262</v>
      </c>
      <c r="B268">
        <v>88</v>
      </c>
      <c r="C268">
        <v>1</v>
      </c>
      <c r="D268" t="s">
        <v>20</v>
      </c>
      <c r="E268" t="s">
        <v>23</v>
      </c>
      <c r="F268">
        <v>30</v>
      </c>
      <c r="G268" t="s">
        <v>24</v>
      </c>
      <c r="I268" t="s">
        <v>30</v>
      </c>
      <c r="J268" s="1">
        <v>45799</v>
      </c>
      <c r="K268" t="s">
        <v>34</v>
      </c>
      <c r="L268" t="s">
        <v>35</v>
      </c>
      <c r="M268" t="s">
        <v>38</v>
      </c>
      <c r="N268">
        <v>4</v>
      </c>
      <c r="O268">
        <v>0.72916666666666663</v>
      </c>
      <c r="P268">
        <v>78.5</v>
      </c>
      <c r="Q268" t="s">
        <v>39</v>
      </c>
      <c r="R268" t="s">
        <v>40</v>
      </c>
      <c r="T268" t="s">
        <v>39</v>
      </c>
      <c r="U268" s="1">
        <v>45838</v>
      </c>
    </row>
    <row r="269" spans="1:21" x14ac:dyDescent="0.3">
      <c r="A269">
        <v>263</v>
      </c>
      <c r="B269">
        <v>88</v>
      </c>
      <c r="C269">
        <v>2</v>
      </c>
      <c r="D269" t="s">
        <v>21</v>
      </c>
      <c r="E269" t="s">
        <v>23</v>
      </c>
      <c r="F269">
        <v>30</v>
      </c>
      <c r="G269" t="s">
        <v>24</v>
      </c>
      <c r="I269" t="s">
        <v>30</v>
      </c>
      <c r="J269" s="1">
        <v>45799</v>
      </c>
      <c r="K269" t="s">
        <v>34</v>
      </c>
      <c r="L269" t="s">
        <v>36</v>
      </c>
      <c r="M269" t="s">
        <v>38</v>
      </c>
      <c r="N269">
        <v>4</v>
      </c>
      <c r="O269">
        <v>0.91666666666666663</v>
      </c>
      <c r="P269">
        <v>67.5</v>
      </c>
      <c r="Q269" t="s">
        <v>39</v>
      </c>
      <c r="R269" t="s">
        <v>40</v>
      </c>
      <c r="T269" t="s">
        <v>39</v>
      </c>
      <c r="U269" s="1">
        <v>45838</v>
      </c>
    </row>
    <row r="270" spans="1:21" x14ac:dyDescent="0.3">
      <c r="A270">
        <v>264</v>
      </c>
      <c r="B270">
        <v>88</v>
      </c>
      <c r="C270">
        <v>3</v>
      </c>
      <c r="D270" t="s">
        <v>19</v>
      </c>
      <c r="E270" t="s">
        <v>23</v>
      </c>
      <c r="F270">
        <v>30</v>
      </c>
      <c r="G270" t="s">
        <v>24</v>
      </c>
      <c r="I270" t="s">
        <v>30</v>
      </c>
      <c r="J270" s="1">
        <v>45799</v>
      </c>
      <c r="K270" t="s">
        <v>34</v>
      </c>
      <c r="L270" t="s">
        <v>37</v>
      </c>
      <c r="M270" t="s">
        <v>38</v>
      </c>
      <c r="N270">
        <v>4</v>
      </c>
      <c r="O270">
        <v>0.8125</v>
      </c>
      <c r="P270">
        <v>74.5</v>
      </c>
      <c r="Q270" t="s">
        <v>39</v>
      </c>
      <c r="R270" t="s">
        <v>40</v>
      </c>
      <c r="T270" t="s">
        <v>39</v>
      </c>
      <c r="U270" s="1">
        <v>45838</v>
      </c>
    </row>
    <row r="271" spans="1:21" x14ac:dyDescent="0.3">
      <c r="A271">
        <v>265</v>
      </c>
      <c r="B271">
        <v>89</v>
      </c>
      <c r="C271">
        <v>1</v>
      </c>
      <c r="D271" t="s">
        <v>21</v>
      </c>
      <c r="E271" t="s">
        <v>22</v>
      </c>
      <c r="F271">
        <v>24</v>
      </c>
      <c r="G271" t="s">
        <v>27</v>
      </c>
      <c r="I271" t="s">
        <v>33</v>
      </c>
      <c r="J271" s="1">
        <v>45702</v>
      </c>
      <c r="K271" t="s">
        <v>34</v>
      </c>
      <c r="L271" t="s">
        <v>35</v>
      </c>
      <c r="M271" t="s">
        <v>38</v>
      </c>
      <c r="N271">
        <v>4</v>
      </c>
      <c r="O271">
        <v>0.85416666666666663</v>
      </c>
      <c r="P271">
        <v>88.5</v>
      </c>
      <c r="Q271" t="s">
        <v>39</v>
      </c>
      <c r="R271" t="s">
        <v>39</v>
      </c>
      <c r="T271" t="s">
        <v>39</v>
      </c>
      <c r="U271" s="1">
        <v>45838</v>
      </c>
    </row>
    <row r="272" spans="1:21" x14ac:dyDescent="0.3">
      <c r="A272">
        <v>266</v>
      </c>
      <c r="B272">
        <v>89</v>
      </c>
      <c r="C272">
        <v>2</v>
      </c>
      <c r="D272" t="s">
        <v>19</v>
      </c>
      <c r="E272" t="s">
        <v>22</v>
      </c>
      <c r="F272">
        <v>24</v>
      </c>
      <c r="G272" t="s">
        <v>27</v>
      </c>
      <c r="I272" t="s">
        <v>33</v>
      </c>
      <c r="J272" s="1">
        <v>45702</v>
      </c>
      <c r="K272" t="s">
        <v>34</v>
      </c>
      <c r="L272" t="s">
        <v>36</v>
      </c>
      <c r="M272" t="s">
        <v>38</v>
      </c>
      <c r="N272">
        <v>4</v>
      </c>
      <c r="O272">
        <v>0.77083333333333337</v>
      </c>
      <c r="P272">
        <v>66.5</v>
      </c>
      <c r="Q272" t="s">
        <v>39</v>
      </c>
      <c r="R272" t="s">
        <v>39</v>
      </c>
      <c r="T272" t="s">
        <v>39</v>
      </c>
      <c r="U272" s="1">
        <v>45838</v>
      </c>
    </row>
    <row r="273" spans="1:21" x14ac:dyDescent="0.3">
      <c r="A273">
        <v>267</v>
      </c>
      <c r="B273">
        <v>89</v>
      </c>
      <c r="C273">
        <v>3</v>
      </c>
      <c r="D273" t="s">
        <v>19</v>
      </c>
      <c r="E273" t="s">
        <v>22</v>
      </c>
      <c r="F273">
        <v>24</v>
      </c>
      <c r="G273" t="s">
        <v>27</v>
      </c>
      <c r="I273" t="s">
        <v>33</v>
      </c>
      <c r="J273" s="1">
        <v>45702</v>
      </c>
      <c r="K273" t="s">
        <v>34</v>
      </c>
      <c r="L273" t="s">
        <v>37</v>
      </c>
      <c r="M273" t="s">
        <v>38</v>
      </c>
      <c r="N273">
        <v>4</v>
      </c>
      <c r="O273">
        <v>0.9375</v>
      </c>
      <c r="P273">
        <v>62</v>
      </c>
      <c r="Q273" t="s">
        <v>39</v>
      </c>
      <c r="R273" t="s">
        <v>39</v>
      </c>
      <c r="T273" t="s">
        <v>39</v>
      </c>
      <c r="U273" s="1">
        <v>45838</v>
      </c>
    </row>
    <row r="274" spans="1:21" x14ac:dyDescent="0.3">
      <c r="A274">
        <v>268</v>
      </c>
      <c r="B274">
        <v>90</v>
      </c>
      <c r="C274">
        <v>1</v>
      </c>
      <c r="D274" t="s">
        <v>19</v>
      </c>
      <c r="E274" t="s">
        <v>23</v>
      </c>
      <c r="F274">
        <v>30</v>
      </c>
      <c r="G274" t="s">
        <v>26</v>
      </c>
      <c r="I274" t="s">
        <v>31</v>
      </c>
      <c r="J274" s="1">
        <v>45735</v>
      </c>
      <c r="K274" t="s">
        <v>34</v>
      </c>
      <c r="L274" t="s">
        <v>35</v>
      </c>
      <c r="M274" t="s">
        <v>38</v>
      </c>
      <c r="N274">
        <v>4</v>
      </c>
      <c r="O274">
        <v>0.875</v>
      </c>
      <c r="P274">
        <v>76</v>
      </c>
      <c r="Q274" t="s">
        <v>39</v>
      </c>
      <c r="R274" t="s">
        <v>39</v>
      </c>
      <c r="T274" t="s">
        <v>40</v>
      </c>
      <c r="U274" s="1">
        <v>45838</v>
      </c>
    </row>
    <row r="275" spans="1:21" x14ac:dyDescent="0.3">
      <c r="A275">
        <v>269</v>
      </c>
      <c r="B275">
        <v>90</v>
      </c>
      <c r="C275">
        <v>2</v>
      </c>
      <c r="D275" t="s">
        <v>19</v>
      </c>
      <c r="E275" t="s">
        <v>23</v>
      </c>
      <c r="F275">
        <v>30</v>
      </c>
      <c r="G275" t="s">
        <v>26</v>
      </c>
      <c r="I275" t="s">
        <v>31</v>
      </c>
      <c r="J275" s="1">
        <v>45735</v>
      </c>
      <c r="K275" t="s">
        <v>34</v>
      </c>
      <c r="L275" t="s">
        <v>36</v>
      </c>
      <c r="M275" t="s">
        <v>38</v>
      </c>
      <c r="N275">
        <v>4</v>
      </c>
      <c r="O275">
        <v>0.77083333333333337</v>
      </c>
      <c r="P275">
        <v>65.5</v>
      </c>
      <c r="Q275" t="s">
        <v>39</v>
      </c>
      <c r="R275" t="s">
        <v>39</v>
      </c>
      <c r="T275" t="s">
        <v>40</v>
      </c>
      <c r="U275" s="1">
        <v>45838</v>
      </c>
    </row>
    <row r="276" spans="1:21" x14ac:dyDescent="0.3">
      <c r="A276">
        <v>270</v>
      </c>
      <c r="B276">
        <v>90</v>
      </c>
      <c r="C276">
        <v>3</v>
      </c>
      <c r="D276" t="s">
        <v>21</v>
      </c>
      <c r="E276" t="s">
        <v>23</v>
      </c>
      <c r="F276">
        <v>30</v>
      </c>
      <c r="G276" t="s">
        <v>26</v>
      </c>
      <c r="I276" t="s">
        <v>31</v>
      </c>
      <c r="J276" s="1">
        <v>45735</v>
      </c>
      <c r="K276" t="s">
        <v>34</v>
      </c>
      <c r="L276" t="s">
        <v>37</v>
      </c>
      <c r="M276" t="s">
        <v>38</v>
      </c>
      <c r="N276">
        <v>4</v>
      </c>
      <c r="O276">
        <v>0.89583333333333337</v>
      </c>
      <c r="P276">
        <v>63</v>
      </c>
      <c r="Q276" t="s">
        <v>39</v>
      </c>
      <c r="R276" t="s">
        <v>39</v>
      </c>
      <c r="T276" t="s">
        <v>40</v>
      </c>
      <c r="U276" s="1">
        <v>45838</v>
      </c>
    </row>
    <row r="277" spans="1:21" x14ac:dyDescent="0.3">
      <c r="A277">
        <v>271</v>
      </c>
      <c r="B277">
        <v>91</v>
      </c>
      <c r="C277">
        <v>1</v>
      </c>
      <c r="D277" t="s">
        <v>19</v>
      </c>
      <c r="E277" t="s">
        <v>23</v>
      </c>
      <c r="F277">
        <v>24</v>
      </c>
      <c r="G277" t="s">
        <v>27</v>
      </c>
      <c r="I277" t="s">
        <v>30</v>
      </c>
      <c r="J277" s="1">
        <v>45777</v>
      </c>
      <c r="K277" t="s">
        <v>34</v>
      </c>
      <c r="L277" t="s">
        <v>35</v>
      </c>
      <c r="M277" t="s">
        <v>38</v>
      </c>
      <c r="N277">
        <v>4</v>
      </c>
      <c r="O277">
        <v>0.89583333333333337</v>
      </c>
      <c r="P277">
        <v>56.5</v>
      </c>
      <c r="Q277" t="s">
        <v>39</v>
      </c>
      <c r="R277" t="s">
        <v>39</v>
      </c>
      <c r="T277" t="s">
        <v>40</v>
      </c>
      <c r="U277" s="1">
        <v>45838</v>
      </c>
    </row>
    <row r="278" spans="1:21" x14ac:dyDescent="0.3">
      <c r="A278">
        <v>272</v>
      </c>
      <c r="B278">
        <v>91</v>
      </c>
      <c r="C278">
        <v>2</v>
      </c>
      <c r="D278" t="s">
        <v>21</v>
      </c>
      <c r="E278" t="s">
        <v>23</v>
      </c>
      <c r="F278">
        <v>24</v>
      </c>
      <c r="G278" t="s">
        <v>27</v>
      </c>
      <c r="I278" t="s">
        <v>30</v>
      </c>
      <c r="J278" s="1">
        <v>45777</v>
      </c>
      <c r="K278" t="s">
        <v>34</v>
      </c>
      <c r="L278" t="s">
        <v>36</v>
      </c>
      <c r="M278" t="s">
        <v>38</v>
      </c>
      <c r="N278">
        <v>4</v>
      </c>
      <c r="O278">
        <v>0.875</v>
      </c>
      <c r="P278">
        <v>57.5</v>
      </c>
      <c r="Q278" t="s">
        <v>39</v>
      </c>
      <c r="R278" t="s">
        <v>39</v>
      </c>
      <c r="T278" t="s">
        <v>40</v>
      </c>
      <c r="U278" s="1">
        <v>45838</v>
      </c>
    </row>
    <row r="279" spans="1:21" x14ac:dyDescent="0.3">
      <c r="A279">
        <v>273</v>
      </c>
      <c r="B279">
        <v>91</v>
      </c>
      <c r="C279">
        <v>3</v>
      </c>
      <c r="D279" t="s">
        <v>21</v>
      </c>
      <c r="E279" t="s">
        <v>23</v>
      </c>
      <c r="F279">
        <v>24</v>
      </c>
      <c r="G279" t="s">
        <v>27</v>
      </c>
      <c r="I279" t="s">
        <v>30</v>
      </c>
      <c r="J279" s="1">
        <v>45777</v>
      </c>
      <c r="K279" t="s">
        <v>34</v>
      </c>
      <c r="L279" t="s">
        <v>37</v>
      </c>
      <c r="M279" t="s">
        <v>38</v>
      </c>
      <c r="N279">
        <v>4</v>
      </c>
      <c r="O279">
        <v>0.8125</v>
      </c>
      <c r="P279">
        <v>62</v>
      </c>
      <c r="Q279" t="s">
        <v>39</v>
      </c>
      <c r="R279" t="s">
        <v>39</v>
      </c>
      <c r="T279" t="s">
        <v>40</v>
      </c>
      <c r="U279" s="1">
        <v>45838</v>
      </c>
    </row>
    <row r="280" spans="1:21" x14ac:dyDescent="0.3">
      <c r="A280">
        <v>274</v>
      </c>
      <c r="B280">
        <v>92</v>
      </c>
      <c r="C280">
        <v>1</v>
      </c>
      <c r="D280" t="s">
        <v>19</v>
      </c>
      <c r="E280" t="s">
        <v>23</v>
      </c>
      <c r="F280">
        <v>32</v>
      </c>
      <c r="G280" t="s">
        <v>24</v>
      </c>
      <c r="I280" t="s">
        <v>32</v>
      </c>
      <c r="J280" s="1">
        <v>45788</v>
      </c>
      <c r="K280" t="s">
        <v>34</v>
      </c>
      <c r="L280" t="s">
        <v>35</v>
      </c>
      <c r="M280" t="s">
        <v>38</v>
      </c>
      <c r="N280">
        <v>4</v>
      </c>
      <c r="O280">
        <v>0.72916666666666663</v>
      </c>
      <c r="P280">
        <v>77</v>
      </c>
      <c r="Q280" t="s">
        <v>40</v>
      </c>
      <c r="R280" t="s">
        <v>40</v>
      </c>
      <c r="T280" t="s">
        <v>40</v>
      </c>
      <c r="U280" s="1">
        <v>45838</v>
      </c>
    </row>
    <row r="281" spans="1:21" x14ac:dyDescent="0.3">
      <c r="A281">
        <v>275</v>
      </c>
      <c r="B281">
        <v>92</v>
      </c>
      <c r="C281">
        <v>2</v>
      </c>
      <c r="D281" t="s">
        <v>19</v>
      </c>
      <c r="E281" t="s">
        <v>23</v>
      </c>
      <c r="F281">
        <v>32</v>
      </c>
      <c r="G281" t="s">
        <v>24</v>
      </c>
      <c r="I281" t="s">
        <v>32</v>
      </c>
      <c r="J281" s="1">
        <v>45788</v>
      </c>
      <c r="K281" t="s">
        <v>34</v>
      </c>
      <c r="L281" t="s">
        <v>36</v>
      </c>
      <c r="M281" t="s">
        <v>38</v>
      </c>
      <c r="N281">
        <v>4</v>
      </c>
      <c r="O281">
        <v>0.8125</v>
      </c>
      <c r="P281">
        <v>63</v>
      </c>
      <c r="Q281" t="s">
        <v>40</v>
      </c>
      <c r="R281" t="s">
        <v>40</v>
      </c>
      <c r="T281" t="s">
        <v>40</v>
      </c>
      <c r="U281" s="1">
        <v>45838</v>
      </c>
    </row>
    <row r="282" spans="1:21" x14ac:dyDescent="0.3">
      <c r="A282">
        <v>276</v>
      </c>
      <c r="B282">
        <v>92</v>
      </c>
      <c r="C282">
        <v>3</v>
      </c>
      <c r="D282" t="s">
        <v>21</v>
      </c>
      <c r="E282" t="s">
        <v>23</v>
      </c>
      <c r="F282">
        <v>32</v>
      </c>
      <c r="G282" t="s">
        <v>24</v>
      </c>
      <c r="I282" t="s">
        <v>32</v>
      </c>
      <c r="J282" s="1">
        <v>45788</v>
      </c>
      <c r="K282" t="s">
        <v>34</v>
      </c>
      <c r="L282" t="s">
        <v>37</v>
      </c>
      <c r="M282" t="s">
        <v>38</v>
      </c>
      <c r="N282">
        <v>4</v>
      </c>
      <c r="O282">
        <v>0.89583333333333337</v>
      </c>
      <c r="P282">
        <v>88.5</v>
      </c>
      <c r="Q282" t="s">
        <v>40</v>
      </c>
      <c r="R282" t="s">
        <v>40</v>
      </c>
      <c r="T282" t="s">
        <v>40</v>
      </c>
      <c r="U282" s="1">
        <v>45838</v>
      </c>
    </row>
    <row r="283" spans="1:21" x14ac:dyDescent="0.3">
      <c r="A283">
        <v>277</v>
      </c>
      <c r="B283">
        <v>93</v>
      </c>
      <c r="C283">
        <v>1</v>
      </c>
      <c r="D283" t="s">
        <v>19</v>
      </c>
      <c r="E283" t="s">
        <v>23</v>
      </c>
      <c r="F283">
        <v>23</v>
      </c>
      <c r="G283" t="s">
        <v>24</v>
      </c>
      <c r="I283" t="s">
        <v>31</v>
      </c>
      <c r="J283" s="1">
        <v>45730</v>
      </c>
      <c r="K283" t="s">
        <v>34</v>
      </c>
      <c r="L283" t="s">
        <v>35</v>
      </c>
      <c r="M283" t="s">
        <v>38</v>
      </c>
      <c r="N283">
        <v>4</v>
      </c>
      <c r="O283">
        <v>0.8125</v>
      </c>
      <c r="P283">
        <v>51</v>
      </c>
      <c r="Q283" t="s">
        <v>39</v>
      </c>
      <c r="R283" t="s">
        <v>40</v>
      </c>
      <c r="T283" t="s">
        <v>39</v>
      </c>
      <c r="U283" s="1">
        <v>45838</v>
      </c>
    </row>
    <row r="284" spans="1:21" x14ac:dyDescent="0.3">
      <c r="A284">
        <v>278</v>
      </c>
      <c r="B284">
        <v>93</v>
      </c>
      <c r="C284">
        <v>2</v>
      </c>
      <c r="D284" t="s">
        <v>20</v>
      </c>
      <c r="E284" t="s">
        <v>23</v>
      </c>
      <c r="F284">
        <v>23</v>
      </c>
      <c r="G284" t="s">
        <v>24</v>
      </c>
      <c r="I284" t="s">
        <v>31</v>
      </c>
      <c r="J284" s="1">
        <v>45730</v>
      </c>
      <c r="K284" t="s">
        <v>34</v>
      </c>
      <c r="L284" t="s">
        <v>36</v>
      </c>
      <c r="M284" t="s">
        <v>38</v>
      </c>
      <c r="N284">
        <v>4</v>
      </c>
      <c r="O284">
        <v>0.875</v>
      </c>
      <c r="P284">
        <v>68</v>
      </c>
      <c r="Q284" t="s">
        <v>39</v>
      </c>
      <c r="R284" t="s">
        <v>40</v>
      </c>
      <c r="T284" t="s">
        <v>39</v>
      </c>
      <c r="U284" s="1">
        <v>45838</v>
      </c>
    </row>
    <row r="285" spans="1:21" x14ac:dyDescent="0.3">
      <c r="A285">
        <v>279</v>
      </c>
      <c r="B285">
        <v>93</v>
      </c>
      <c r="C285">
        <v>3</v>
      </c>
      <c r="D285" t="s">
        <v>19</v>
      </c>
      <c r="E285" t="s">
        <v>23</v>
      </c>
      <c r="F285">
        <v>23</v>
      </c>
      <c r="G285" t="s">
        <v>24</v>
      </c>
      <c r="I285" t="s">
        <v>31</v>
      </c>
      <c r="J285" s="1">
        <v>45730</v>
      </c>
      <c r="K285" t="s">
        <v>34</v>
      </c>
      <c r="L285" t="s">
        <v>37</v>
      </c>
      <c r="M285" t="s">
        <v>38</v>
      </c>
      <c r="N285">
        <v>4</v>
      </c>
      <c r="O285">
        <v>0.89583333333333337</v>
      </c>
      <c r="P285">
        <v>69.5</v>
      </c>
      <c r="Q285" t="s">
        <v>39</v>
      </c>
      <c r="R285" t="s">
        <v>40</v>
      </c>
      <c r="T285" t="s">
        <v>39</v>
      </c>
      <c r="U285" s="1">
        <v>45838</v>
      </c>
    </row>
    <row r="286" spans="1:21" x14ac:dyDescent="0.3">
      <c r="A286">
        <v>280</v>
      </c>
      <c r="B286">
        <v>94</v>
      </c>
      <c r="C286">
        <v>1</v>
      </c>
      <c r="D286" t="s">
        <v>20</v>
      </c>
      <c r="E286" t="s">
        <v>23</v>
      </c>
      <c r="F286">
        <v>20</v>
      </c>
      <c r="G286" t="s">
        <v>28</v>
      </c>
      <c r="I286" t="s">
        <v>30</v>
      </c>
      <c r="J286" s="1">
        <v>45715</v>
      </c>
      <c r="K286" t="s">
        <v>34</v>
      </c>
      <c r="L286" t="s">
        <v>35</v>
      </c>
      <c r="M286" t="s">
        <v>38</v>
      </c>
      <c r="N286">
        <v>4</v>
      </c>
      <c r="O286">
        <v>0.85416666666666663</v>
      </c>
      <c r="P286">
        <v>73.5</v>
      </c>
      <c r="Q286" t="s">
        <v>40</v>
      </c>
      <c r="R286" t="s">
        <v>40</v>
      </c>
      <c r="T286" t="s">
        <v>40</v>
      </c>
      <c r="U286" s="1">
        <v>45838</v>
      </c>
    </row>
    <row r="287" spans="1:21" x14ac:dyDescent="0.3">
      <c r="A287">
        <v>281</v>
      </c>
      <c r="B287">
        <v>94</v>
      </c>
      <c r="C287">
        <v>2</v>
      </c>
      <c r="D287" t="s">
        <v>20</v>
      </c>
      <c r="E287" t="s">
        <v>23</v>
      </c>
      <c r="F287">
        <v>20</v>
      </c>
      <c r="G287" t="s">
        <v>28</v>
      </c>
      <c r="I287" t="s">
        <v>30</v>
      </c>
      <c r="J287" s="1">
        <v>45715</v>
      </c>
      <c r="K287" t="s">
        <v>34</v>
      </c>
      <c r="L287" t="s">
        <v>36</v>
      </c>
      <c r="M287" t="s">
        <v>38</v>
      </c>
      <c r="N287">
        <v>4</v>
      </c>
      <c r="O287">
        <v>0.875</v>
      </c>
      <c r="P287">
        <v>74.5</v>
      </c>
      <c r="Q287" t="s">
        <v>40</v>
      </c>
      <c r="R287" t="s">
        <v>40</v>
      </c>
      <c r="T287" t="s">
        <v>40</v>
      </c>
      <c r="U287" s="1">
        <v>45838</v>
      </c>
    </row>
    <row r="288" spans="1:21" x14ac:dyDescent="0.3">
      <c r="A288">
        <v>282</v>
      </c>
      <c r="B288">
        <v>94</v>
      </c>
      <c r="C288">
        <v>3</v>
      </c>
      <c r="D288" t="s">
        <v>19</v>
      </c>
      <c r="E288" t="s">
        <v>23</v>
      </c>
      <c r="F288">
        <v>20</v>
      </c>
      <c r="G288" t="s">
        <v>28</v>
      </c>
      <c r="I288" t="s">
        <v>30</v>
      </c>
      <c r="J288" s="1">
        <v>45715</v>
      </c>
      <c r="K288" t="s">
        <v>34</v>
      </c>
      <c r="L288" t="s">
        <v>37</v>
      </c>
      <c r="M288" t="s">
        <v>38</v>
      </c>
      <c r="N288">
        <v>4</v>
      </c>
      <c r="O288">
        <v>0.89583333333333337</v>
      </c>
      <c r="P288">
        <v>59</v>
      </c>
      <c r="Q288" t="s">
        <v>40</v>
      </c>
      <c r="R288" t="s">
        <v>40</v>
      </c>
      <c r="T288" t="s">
        <v>40</v>
      </c>
      <c r="U288" s="1">
        <v>45838</v>
      </c>
    </row>
    <row r="289" spans="1:21" x14ac:dyDescent="0.3">
      <c r="A289">
        <v>283</v>
      </c>
      <c r="B289">
        <v>95</v>
      </c>
      <c r="C289">
        <v>1</v>
      </c>
      <c r="D289" t="s">
        <v>20</v>
      </c>
      <c r="E289" t="s">
        <v>22</v>
      </c>
      <c r="F289">
        <v>22</v>
      </c>
      <c r="G289" t="s">
        <v>25</v>
      </c>
      <c r="I289" t="s">
        <v>31</v>
      </c>
      <c r="J289" s="1">
        <v>45720</v>
      </c>
      <c r="K289" t="s">
        <v>34</v>
      </c>
      <c r="L289" t="s">
        <v>35</v>
      </c>
      <c r="M289" t="s">
        <v>38</v>
      </c>
      <c r="N289">
        <v>4</v>
      </c>
      <c r="O289">
        <v>0.8125</v>
      </c>
      <c r="P289">
        <v>68</v>
      </c>
      <c r="Q289" t="s">
        <v>40</v>
      </c>
      <c r="R289" t="s">
        <v>40</v>
      </c>
      <c r="T289" t="s">
        <v>40</v>
      </c>
      <c r="U289" s="1">
        <v>45838</v>
      </c>
    </row>
    <row r="290" spans="1:21" x14ac:dyDescent="0.3">
      <c r="A290">
        <v>284</v>
      </c>
      <c r="B290">
        <v>95</v>
      </c>
      <c r="C290">
        <v>2</v>
      </c>
      <c r="D290" t="s">
        <v>19</v>
      </c>
      <c r="E290" t="s">
        <v>22</v>
      </c>
      <c r="F290">
        <v>22</v>
      </c>
      <c r="G290" t="s">
        <v>25</v>
      </c>
      <c r="I290" t="s">
        <v>31</v>
      </c>
      <c r="J290" s="1">
        <v>45720</v>
      </c>
      <c r="K290" t="s">
        <v>34</v>
      </c>
      <c r="L290" t="s">
        <v>36</v>
      </c>
      <c r="M290" t="s">
        <v>38</v>
      </c>
      <c r="N290">
        <v>4</v>
      </c>
      <c r="O290">
        <v>0.8125</v>
      </c>
      <c r="P290">
        <v>48</v>
      </c>
      <c r="Q290" t="s">
        <v>40</v>
      </c>
      <c r="R290" t="s">
        <v>40</v>
      </c>
      <c r="T290" t="s">
        <v>40</v>
      </c>
      <c r="U290" s="1">
        <v>45838</v>
      </c>
    </row>
    <row r="291" spans="1:21" x14ac:dyDescent="0.3">
      <c r="A291">
        <v>285</v>
      </c>
      <c r="B291">
        <v>95</v>
      </c>
      <c r="C291">
        <v>3</v>
      </c>
      <c r="D291" t="s">
        <v>19</v>
      </c>
      <c r="E291" t="s">
        <v>22</v>
      </c>
      <c r="F291">
        <v>22</v>
      </c>
      <c r="G291" t="s">
        <v>25</v>
      </c>
      <c r="I291" t="s">
        <v>31</v>
      </c>
      <c r="J291" s="1">
        <v>45720</v>
      </c>
      <c r="K291" t="s">
        <v>34</v>
      </c>
      <c r="L291" t="s">
        <v>37</v>
      </c>
      <c r="M291" t="s">
        <v>38</v>
      </c>
      <c r="N291">
        <v>4</v>
      </c>
      <c r="O291">
        <v>0.83333333333333337</v>
      </c>
      <c r="P291">
        <v>55.5</v>
      </c>
      <c r="Q291" t="s">
        <v>40</v>
      </c>
      <c r="R291" t="s">
        <v>40</v>
      </c>
      <c r="T291" t="s">
        <v>40</v>
      </c>
      <c r="U291" s="1">
        <v>45838</v>
      </c>
    </row>
    <row r="292" spans="1:21" x14ac:dyDescent="0.3">
      <c r="A292">
        <v>286</v>
      </c>
      <c r="B292">
        <v>96</v>
      </c>
      <c r="C292">
        <v>1</v>
      </c>
      <c r="D292" t="s">
        <v>19</v>
      </c>
      <c r="E292" t="s">
        <v>23</v>
      </c>
      <c r="F292">
        <v>20</v>
      </c>
      <c r="G292" t="s">
        <v>27</v>
      </c>
      <c r="I292" t="s">
        <v>33</v>
      </c>
      <c r="J292" s="1">
        <v>45805</v>
      </c>
      <c r="K292" t="s">
        <v>34</v>
      </c>
      <c r="L292" t="s">
        <v>35</v>
      </c>
      <c r="M292" t="s">
        <v>38</v>
      </c>
      <c r="N292">
        <v>4</v>
      </c>
      <c r="O292">
        <v>0.85416666666666663</v>
      </c>
      <c r="P292">
        <v>63</v>
      </c>
      <c r="Q292" t="s">
        <v>39</v>
      </c>
      <c r="R292" t="s">
        <v>39</v>
      </c>
      <c r="T292" t="s">
        <v>39</v>
      </c>
      <c r="U292" s="1">
        <v>45838</v>
      </c>
    </row>
    <row r="293" spans="1:21" x14ac:dyDescent="0.3">
      <c r="A293">
        <v>287</v>
      </c>
      <c r="B293">
        <v>96</v>
      </c>
      <c r="C293">
        <v>2</v>
      </c>
      <c r="D293" t="s">
        <v>19</v>
      </c>
      <c r="E293" t="s">
        <v>23</v>
      </c>
      <c r="F293">
        <v>20</v>
      </c>
      <c r="G293" t="s">
        <v>27</v>
      </c>
      <c r="I293" t="s">
        <v>33</v>
      </c>
      <c r="J293" s="1">
        <v>45805</v>
      </c>
      <c r="K293" t="s">
        <v>34</v>
      </c>
      <c r="L293" t="s">
        <v>36</v>
      </c>
      <c r="M293" t="s">
        <v>38</v>
      </c>
      <c r="N293">
        <v>4</v>
      </c>
      <c r="O293">
        <v>0.79166666666666663</v>
      </c>
      <c r="P293">
        <v>81</v>
      </c>
      <c r="Q293" t="s">
        <v>39</v>
      </c>
      <c r="R293" t="s">
        <v>39</v>
      </c>
      <c r="T293" t="s">
        <v>39</v>
      </c>
      <c r="U293" s="1">
        <v>45838</v>
      </c>
    </row>
    <row r="294" spans="1:21" x14ac:dyDescent="0.3">
      <c r="A294">
        <v>288</v>
      </c>
      <c r="B294">
        <v>96</v>
      </c>
      <c r="C294">
        <v>3</v>
      </c>
      <c r="D294" t="s">
        <v>20</v>
      </c>
      <c r="E294" t="s">
        <v>23</v>
      </c>
      <c r="F294">
        <v>20</v>
      </c>
      <c r="G294" t="s">
        <v>27</v>
      </c>
      <c r="I294" t="s">
        <v>33</v>
      </c>
      <c r="J294" s="1">
        <v>45805</v>
      </c>
      <c r="K294" t="s">
        <v>34</v>
      </c>
      <c r="L294" t="s">
        <v>37</v>
      </c>
      <c r="M294" t="s">
        <v>38</v>
      </c>
      <c r="N294">
        <v>4</v>
      </c>
      <c r="O294">
        <v>0.75</v>
      </c>
      <c r="P294">
        <v>83.5</v>
      </c>
      <c r="Q294" t="s">
        <v>39</v>
      </c>
      <c r="R294" t="s">
        <v>39</v>
      </c>
      <c r="T294" t="s">
        <v>39</v>
      </c>
      <c r="U294" s="1">
        <v>45838</v>
      </c>
    </row>
    <row r="295" spans="1:21" x14ac:dyDescent="0.3">
      <c r="A295">
        <v>289</v>
      </c>
      <c r="B295">
        <v>97</v>
      </c>
      <c r="C295">
        <v>1</v>
      </c>
      <c r="D295" t="s">
        <v>19</v>
      </c>
      <c r="E295" t="s">
        <v>22</v>
      </c>
      <c r="F295">
        <v>30</v>
      </c>
      <c r="G295" t="s">
        <v>27</v>
      </c>
      <c r="I295" t="s">
        <v>33</v>
      </c>
      <c r="J295" s="1">
        <v>45720</v>
      </c>
      <c r="K295" t="s">
        <v>34</v>
      </c>
      <c r="L295" t="s">
        <v>35</v>
      </c>
      <c r="M295" t="s">
        <v>38</v>
      </c>
      <c r="N295">
        <v>4</v>
      </c>
      <c r="O295">
        <v>0.8125</v>
      </c>
      <c r="P295">
        <v>71</v>
      </c>
      <c r="Q295" t="s">
        <v>40</v>
      </c>
      <c r="R295" t="s">
        <v>40</v>
      </c>
      <c r="T295" t="s">
        <v>40</v>
      </c>
      <c r="U295" s="1">
        <v>45838</v>
      </c>
    </row>
    <row r="296" spans="1:21" x14ac:dyDescent="0.3">
      <c r="A296">
        <v>290</v>
      </c>
      <c r="B296">
        <v>97</v>
      </c>
      <c r="C296">
        <v>2</v>
      </c>
      <c r="D296" t="s">
        <v>21</v>
      </c>
      <c r="E296" t="s">
        <v>22</v>
      </c>
      <c r="F296">
        <v>30</v>
      </c>
      <c r="G296" t="s">
        <v>27</v>
      </c>
      <c r="I296" t="s">
        <v>33</v>
      </c>
      <c r="J296" s="1">
        <v>45720</v>
      </c>
      <c r="K296" t="s">
        <v>34</v>
      </c>
      <c r="L296" t="s">
        <v>36</v>
      </c>
      <c r="M296" t="s">
        <v>38</v>
      </c>
      <c r="N296">
        <v>4</v>
      </c>
      <c r="O296">
        <v>0.875</v>
      </c>
      <c r="P296">
        <v>86</v>
      </c>
      <c r="Q296" t="s">
        <v>40</v>
      </c>
      <c r="R296" t="s">
        <v>40</v>
      </c>
      <c r="T296" t="s">
        <v>40</v>
      </c>
      <c r="U296" s="1">
        <v>45838</v>
      </c>
    </row>
    <row r="297" spans="1:21" x14ac:dyDescent="0.3">
      <c r="A297">
        <v>291</v>
      </c>
      <c r="B297">
        <v>97</v>
      </c>
      <c r="C297">
        <v>3</v>
      </c>
      <c r="D297" t="s">
        <v>19</v>
      </c>
      <c r="E297" t="s">
        <v>22</v>
      </c>
      <c r="F297">
        <v>30</v>
      </c>
      <c r="G297" t="s">
        <v>27</v>
      </c>
      <c r="I297" t="s">
        <v>33</v>
      </c>
      <c r="J297" s="1">
        <v>45720</v>
      </c>
      <c r="K297" t="s">
        <v>34</v>
      </c>
      <c r="L297" t="s">
        <v>37</v>
      </c>
      <c r="M297" t="s">
        <v>38</v>
      </c>
      <c r="N297">
        <v>4</v>
      </c>
      <c r="O297">
        <v>0.79166666666666663</v>
      </c>
      <c r="P297">
        <v>64</v>
      </c>
      <c r="Q297" t="s">
        <v>40</v>
      </c>
      <c r="R297" t="s">
        <v>40</v>
      </c>
      <c r="T297" t="s">
        <v>40</v>
      </c>
      <c r="U297" s="1">
        <v>45838</v>
      </c>
    </row>
    <row r="298" spans="1:21" x14ac:dyDescent="0.3">
      <c r="A298">
        <v>292</v>
      </c>
      <c r="B298">
        <v>98</v>
      </c>
      <c r="C298">
        <v>1</v>
      </c>
      <c r="D298" t="s">
        <v>19</v>
      </c>
      <c r="E298" t="s">
        <v>22</v>
      </c>
      <c r="F298">
        <v>18</v>
      </c>
      <c r="G298" t="s">
        <v>25</v>
      </c>
      <c r="I298" t="s">
        <v>33</v>
      </c>
      <c r="J298" s="1">
        <v>45714</v>
      </c>
      <c r="K298" t="s">
        <v>34</v>
      </c>
      <c r="L298" t="s">
        <v>35</v>
      </c>
      <c r="M298" t="s">
        <v>38</v>
      </c>
      <c r="N298">
        <v>4</v>
      </c>
      <c r="O298">
        <v>0.875</v>
      </c>
      <c r="P298">
        <v>91</v>
      </c>
      <c r="Q298" t="s">
        <v>40</v>
      </c>
      <c r="R298" t="s">
        <v>40</v>
      </c>
      <c r="T298" t="s">
        <v>40</v>
      </c>
      <c r="U298" s="1">
        <v>45838</v>
      </c>
    </row>
    <row r="299" spans="1:21" x14ac:dyDescent="0.3">
      <c r="A299">
        <v>293</v>
      </c>
      <c r="B299">
        <v>98</v>
      </c>
      <c r="C299">
        <v>2</v>
      </c>
      <c r="D299" t="s">
        <v>19</v>
      </c>
      <c r="E299" t="s">
        <v>22</v>
      </c>
      <c r="F299">
        <v>18</v>
      </c>
      <c r="G299" t="s">
        <v>25</v>
      </c>
      <c r="I299" t="s">
        <v>33</v>
      </c>
      <c r="J299" s="1">
        <v>45714</v>
      </c>
      <c r="K299" t="s">
        <v>34</v>
      </c>
      <c r="L299" t="s">
        <v>36</v>
      </c>
      <c r="M299" t="s">
        <v>38</v>
      </c>
      <c r="N299">
        <v>4</v>
      </c>
      <c r="O299">
        <v>0.79166666666666663</v>
      </c>
      <c r="P299">
        <v>51</v>
      </c>
      <c r="Q299" t="s">
        <v>40</v>
      </c>
      <c r="R299" t="s">
        <v>40</v>
      </c>
      <c r="T299" t="s">
        <v>40</v>
      </c>
      <c r="U299" s="1">
        <v>45838</v>
      </c>
    </row>
    <row r="300" spans="1:21" x14ac:dyDescent="0.3">
      <c r="A300">
        <v>294</v>
      </c>
      <c r="B300">
        <v>98</v>
      </c>
      <c r="C300">
        <v>3</v>
      </c>
      <c r="D300" t="s">
        <v>19</v>
      </c>
      <c r="E300" t="s">
        <v>22</v>
      </c>
      <c r="F300">
        <v>18</v>
      </c>
      <c r="G300" t="s">
        <v>25</v>
      </c>
      <c r="I300" t="s">
        <v>33</v>
      </c>
      <c r="J300" s="1">
        <v>45714</v>
      </c>
      <c r="K300" t="s">
        <v>34</v>
      </c>
      <c r="L300" t="s">
        <v>37</v>
      </c>
      <c r="M300" t="s">
        <v>38</v>
      </c>
      <c r="N300">
        <v>4</v>
      </c>
      <c r="O300">
        <v>0.8125</v>
      </c>
      <c r="P300">
        <v>79</v>
      </c>
      <c r="Q300" t="s">
        <v>40</v>
      </c>
      <c r="R300" t="s">
        <v>40</v>
      </c>
      <c r="T300" t="s">
        <v>40</v>
      </c>
      <c r="U300" s="1">
        <v>45838</v>
      </c>
    </row>
    <row r="301" spans="1:21" x14ac:dyDescent="0.3">
      <c r="A301">
        <v>295</v>
      </c>
      <c r="B301">
        <v>99</v>
      </c>
      <c r="C301">
        <v>1</v>
      </c>
      <c r="D301" t="s">
        <v>19</v>
      </c>
      <c r="E301" t="s">
        <v>22</v>
      </c>
      <c r="F301">
        <v>34</v>
      </c>
      <c r="G301" t="s">
        <v>27</v>
      </c>
      <c r="I301" t="s">
        <v>31</v>
      </c>
      <c r="J301" s="1">
        <v>45800</v>
      </c>
      <c r="K301" t="s">
        <v>34</v>
      </c>
      <c r="L301" t="s">
        <v>35</v>
      </c>
      <c r="M301" t="s">
        <v>38</v>
      </c>
      <c r="N301">
        <v>4</v>
      </c>
      <c r="O301">
        <v>0.79166666666666663</v>
      </c>
      <c r="P301">
        <v>72.5</v>
      </c>
      <c r="Q301" t="s">
        <v>39</v>
      </c>
      <c r="R301" t="s">
        <v>39</v>
      </c>
      <c r="T301" t="s">
        <v>40</v>
      </c>
      <c r="U301" s="1">
        <v>45838</v>
      </c>
    </row>
    <row r="302" spans="1:21" x14ac:dyDescent="0.3">
      <c r="A302">
        <v>296</v>
      </c>
      <c r="B302">
        <v>99</v>
      </c>
      <c r="C302">
        <v>2</v>
      </c>
      <c r="D302" t="s">
        <v>19</v>
      </c>
      <c r="E302" t="s">
        <v>22</v>
      </c>
      <c r="F302">
        <v>34</v>
      </c>
      <c r="G302" t="s">
        <v>27</v>
      </c>
      <c r="I302" t="s">
        <v>31</v>
      </c>
      <c r="J302" s="1">
        <v>45800</v>
      </c>
      <c r="K302" t="s">
        <v>34</v>
      </c>
      <c r="L302" t="s">
        <v>36</v>
      </c>
      <c r="M302" t="s">
        <v>38</v>
      </c>
      <c r="N302">
        <v>4</v>
      </c>
      <c r="O302">
        <v>0.79166666666666663</v>
      </c>
      <c r="P302">
        <v>76</v>
      </c>
      <c r="Q302" t="s">
        <v>39</v>
      </c>
      <c r="R302" t="s">
        <v>39</v>
      </c>
      <c r="T302" t="s">
        <v>40</v>
      </c>
      <c r="U302" s="1">
        <v>45838</v>
      </c>
    </row>
    <row r="303" spans="1:21" x14ac:dyDescent="0.3">
      <c r="A303">
        <v>297</v>
      </c>
      <c r="B303">
        <v>99</v>
      </c>
      <c r="C303">
        <v>3</v>
      </c>
      <c r="D303" t="s">
        <v>19</v>
      </c>
      <c r="E303" t="s">
        <v>22</v>
      </c>
      <c r="F303">
        <v>34</v>
      </c>
      <c r="G303" t="s">
        <v>27</v>
      </c>
      <c r="I303" t="s">
        <v>31</v>
      </c>
      <c r="J303" s="1">
        <v>45800</v>
      </c>
      <c r="K303" t="s">
        <v>34</v>
      </c>
      <c r="L303" t="s">
        <v>37</v>
      </c>
      <c r="M303" t="s">
        <v>38</v>
      </c>
      <c r="N303">
        <v>4</v>
      </c>
      <c r="O303">
        <v>0.89583333333333337</v>
      </c>
      <c r="P303">
        <v>96.5</v>
      </c>
      <c r="Q303" t="s">
        <v>39</v>
      </c>
      <c r="R303" t="s">
        <v>39</v>
      </c>
      <c r="T303" t="s">
        <v>40</v>
      </c>
      <c r="U303" s="1">
        <v>45838</v>
      </c>
    </row>
    <row r="304" spans="1:21" x14ac:dyDescent="0.3">
      <c r="A304">
        <v>298</v>
      </c>
      <c r="B304">
        <v>100</v>
      </c>
      <c r="C304">
        <v>1</v>
      </c>
      <c r="D304" t="s">
        <v>20</v>
      </c>
      <c r="E304" t="s">
        <v>22</v>
      </c>
      <c r="F304">
        <v>21</v>
      </c>
      <c r="G304" t="s">
        <v>27</v>
      </c>
      <c r="I304" t="s">
        <v>32</v>
      </c>
      <c r="J304" s="1">
        <v>45776</v>
      </c>
      <c r="K304" t="s">
        <v>34</v>
      </c>
      <c r="L304" t="s">
        <v>35</v>
      </c>
      <c r="M304" t="s">
        <v>38</v>
      </c>
      <c r="N304">
        <v>4</v>
      </c>
      <c r="O304">
        <v>0.91666666666666663</v>
      </c>
      <c r="P304">
        <v>91.5</v>
      </c>
      <c r="Q304" t="s">
        <v>39</v>
      </c>
      <c r="R304" t="s">
        <v>39</v>
      </c>
      <c r="T304" t="s">
        <v>39</v>
      </c>
      <c r="U304" s="1">
        <v>45838</v>
      </c>
    </row>
    <row r="305" spans="1:21" x14ac:dyDescent="0.3">
      <c r="A305">
        <v>299</v>
      </c>
      <c r="B305">
        <v>100</v>
      </c>
      <c r="C305">
        <v>2</v>
      </c>
      <c r="D305" t="s">
        <v>19</v>
      </c>
      <c r="E305" t="s">
        <v>22</v>
      </c>
      <c r="F305">
        <v>21</v>
      </c>
      <c r="G305" t="s">
        <v>27</v>
      </c>
      <c r="I305" t="s">
        <v>32</v>
      </c>
      <c r="J305" s="1">
        <v>45776</v>
      </c>
      <c r="K305" t="s">
        <v>34</v>
      </c>
      <c r="L305" t="s">
        <v>36</v>
      </c>
      <c r="M305" t="s">
        <v>38</v>
      </c>
      <c r="N305">
        <v>4</v>
      </c>
      <c r="O305">
        <v>0.83333333333333337</v>
      </c>
      <c r="P305">
        <v>89</v>
      </c>
      <c r="Q305" t="s">
        <v>39</v>
      </c>
      <c r="R305" t="s">
        <v>39</v>
      </c>
      <c r="T305" t="s">
        <v>39</v>
      </c>
      <c r="U305" s="1">
        <v>45838</v>
      </c>
    </row>
    <row r="306" spans="1:21" x14ac:dyDescent="0.3">
      <c r="A306">
        <v>300</v>
      </c>
      <c r="B306">
        <v>100</v>
      </c>
      <c r="C306">
        <v>3</v>
      </c>
      <c r="D306" t="s">
        <v>21</v>
      </c>
      <c r="E306" t="s">
        <v>22</v>
      </c>
      <c r="F306">
        <v>21</v>
      </c>
      <c r="G306" t="s">
        <v>27</v>
      </c>
      <c r="I306" t="s">
        <v>32</v>
      </c>
      <c r="J306" s="1">
        <v>45776</v>
      </c>
      <c r="K306" t="s">
        <v>34</v>
      </c>
      <c r="L306" t="s">
        <v>37</v>
      </c>
      <c r="M306" t="s">
        <v>38</v>
      </c>
      <c r="N306">
        <v>4</v>
      </c>
      <c r="O306">
        <v>0.85416666666666663</v>
      </c>
      <c r="P306">
        <v>71</v>
      </c>
      <c r="Q306" t="s">
        <v>39</v>
      </c>
      <c r="R306" t="s">
        <v>39</v>
      </c>
      <c r="T306" t="s">
        <v>39</v>
      </c>
      <c r="U306" s="1">
        <v>45838</v>
      </c>
    </row>
    <row r="307" spans="1:21" x14ac:dyDescent="0.3">
      <c r="A307">
        <v>301</v>
      </c>
      <c r="B307">
        <v>101</v>
      </c>
      <c r="C307">
        <v>1</v>
      </c>
      <c r="D307" t="s">
        <v>20</v>
      </c>
      <c r="E307" t="s">
        <v>23</v>
      </c>
      <c r="F307">
        <v>32</v>
      </c>
      <c r="G307" t="s">
        <v>26</v>
      </c>
      <c r="I307" t="s">
        <v>33</v>
      </c>
      <c r="J307" s="1">
        <v>45798</v>
      </c>
      <c r="K307" t="s">
        <v>34</v>
      </c>
      <c r="L307" t="s">
        <v>35</v>
      </c>
      <c r="M307" t="s">
        <v>38</v>
      </c>
      <c r="N307">
        <v>4</v>
      </c>
      <c r="O307">
        <v>0.79166666666666663</v>
      </c>
      <c r="P307">
        <v>66.5</v>
      </c>
      <c r="Q307" t="s">
        <v>39</v>
      </c>
      <c r="R307" t="s">
        <v>39</v>
      </c>
      <c r="T307" t="s">
        <v>40</v>
      </c>
      <c r="U307" s="1">
        <v>45838</v>
      </c>
    </row>
    <row r="308" spans="1:21" x14ac:dyDescent="0.3">
      <c r="A308">
        <v>302</v>
      </c>
      <c r="B308">
        <v>101</v>
      </c>
      <c r="C308">
        <v>2</v>
      </c>
      <c r="D308" t="s">
        <v>19</v>
      </c>
      <c r="E308" t="s">
        <v>23</v>
      </c>
      <c r="F308">
        <v>32</v>
      </c>
      <c r="G308" t="s">
        <v>26</v>
      </c>
      <c r="I308" t="s">
        <v>33</v>
      </c>
      <c r="J308" s="1">
        <v>45798</v>
      </c>
      <c r="K308" t="s">
        <v>34</v>
      </c>
      <c r="L308" t="s">
        <v>36</v>
      </c>
      <c r="M308" t="s">
        <v>38</v>
      </c>
      <c r="N308">
        <v>4</v>
      </c>
      <c r="O308">
        <v>0.6875</v>
      </c>
      <c r="P308">
        <v>71.5</v>
      </c>
      <c r="Q308" t="s">
        <v>39</v>
      </c>
      <c r="R308" t="s">
        <v>39</v>
      </c>
      <c r="T308" t="s">
        <v>40</v>
      </c>
      <c r="U308" s="1">
        <v>45838</v>
      </c>
    </row>
    <row r="309" spans="1:21" x14ac:dyDescent="0.3">
      <c r="A309">
        <v>303</v>
      </c>
      <c r="B309">
        <v>101</v>
      </c>
      <c r="C309">
        <v>3</v>
      </c>
      <c r="D309" t="s">
        <v>19</v>
      </c>
      <c r="E309" t="s">
        <v>23</v>
      </c>
      <c r="F309">
        <v>32</v>
      </c>
      <c r="G309" t="s">
        <v>26</v>
      </c>
      <c r="I309" t="s">
        <v>33</v>
      </c>
      <c r="J309" s="1">
        <v>45798</v>
      </c>
      <c r="K309" t="s">
        <v>34</v>
      </c>
      <c r="L309" t="s">
        <v>37</v>
      </c>
      <c r="M309" t="s">
        <v>38</v>
      </c>
      <c r="N309">
        <v>4</v>
      </c>
      <c r="O309">
        <v>0.77083333333333337</v>
      </c>
      <c r="P309">
        <v>76.5</v>
      </c>
      <c r="Q309" t="s">
        <v>39</v>
      </c>
      <c r="R309" t="s">
        <v>39</v>
      </c>
      <c r="T309" t="s">
        <v>40</v>
      </c>
      <c r="U309" s="1">
        <v>45838</v>
      </c>
    </row>
    <row r="310" spans="1:21" x14ac:dyDescent="0.3">
      <c r="A310">
        <v>304</v>
      </c>
      <c r="B310">
        <v>102</v>
      </c>
      <c r="C310">
        <v>1</v>
      </c>
      <c r="D310" t="s">
        <v>19</v>
      </c>
      <c r="E310" t="s">
        <v>23</v>
      </c>
      <c r="F310">
        <v>23</v>
      </c>
      <c r="G310" t="s">
        <v>24</v>
      </c>
      <c r="I310" t="s">
        <v>33</v>
      </c>
      <c r="J310" s="1">
        <v>45773</v>
      </c>
      <c r="K310" t="s">
        <v>34</v>
      </c>
      <c r="L310" t="s">
        <v>35</v>
      </c>
      <c r="M310" t="s">
        <v>38</v>
      </c>
      <c r="N310">
        <v>4</v>
      </c>
      <c r="O310">
        <v>0.83333333333333337</v>
      </c>
      <c r="P310">
        <v>73.5</v>
      </c>
      <c r="Q310" t="s">
        <v>39</v>
      </c>
      <c r="R310" t="s">
        <v>40</v>
      </c>
      <c r="T310" t="s">
        <v>40</v>
      </c>
      <c r="U310" s="1">
        <v>45838</v>
      </c>
    </row>
    <row r="311" spans="1:21" x14ac:dyDescent="0.3">
      <c r="A311">
        <v>305</v>
      </c>
      <c r="B311">
        <v>102</v>
      </c>
      <c r="C311">
        <v>2</v>
      </c>
      <c r="D311" t="s">
        <v>19</v>
      </c>
      <c r="E311" t="s">
        <v>23</v>
      </c>
      <c r="F311">
        <v>23</v>
      </c>
      <c r="G311" t="s">
        <v>24</v>
      </c>
      <c r="I311" t="s">
        <v>33</v>
      </c>
      <c r="J311" s="1">
        <v>45773</v>
      </c>
      <c r="K311" t="s">
        <v>34</v>
      </c>
      <c r="L311" t="s">
        <v>36</v>
      </c>
      <c r="M311" t="s">
        <v>38</v>
      </c>
      <c r="N311">
        <v>4</v>
      </c>
      <c r="O311">
        <v>0.83333333333333337</v>
      </c>
      <c r="P311">
        <v>64.5</v>
      </c>
      <c r="Q311" t="s">
        <v>39</v>
      </c>
      <c r="R311" t="s">
        <v>40</v>
      </c>
      <c r="T311" t="s">
        <v>40</v>
      </c>
      <c r="U311" s="1">
        <v>45838</v>
      </c>
    </row>
    <row r="312" spans="1:21" x14ac:dyDescent="0.3">
      <c r="A312">
        <v>306</v>
      </c>
      <c r="B312">
        <v>102</v>
      </c>
      <c r="C312">
        <v>3</v>
      </c>
      <c r="D312" t="s">
        <v>19</v>
      </c>
      <c r="E312" t="s">
        <v>23</v>
      </c>
      <c r="F312">
        <v>23</v>
      </c>
      <c r="G312" t="s">
        <v>24</v>
      </c>
      <c r="I312" t="s">
        <v>33</v>
      </c>
      <c r="J312" s="1">
        <v>45773</v>
      </c>
      <c r="K312" t="s">
        <v>34</v>
      </c>
      <c r="L312" t="s">
        <v>37</v>
      </c>
      <c r="M312" t="s">
        <v>38</v>
      </c>
      <c r="N312">
        <v>4</v>
      </c>
      <c r="O312">
        <v>0.75</v>
      </c>
      <c r="P312">
        <v>70</v>
      </c>
      <c r="Q312" t="s">
        <v>39</v>
      </c>
      <c r="R312" t="s">
        <v>40</v>
      </c>
      <c r="T312" t="s">
        <v>40</v>
      </c>
      <c r="U312" s="1">
        <v>45838</v>
      </c>
    </row>
    <row r="313" spans="1:21" x14ac:dyDescent="0.3">
      <c r="A313">
        <v>307</v>
      </c>
      <c r="B313">
        <v>103</v>
      </c>
      <c r="C313">
        <v>1</v>
      </c>
      <c r="D313" t="s">
        <v>19</v>
      </c>
      <c r="E313" t="s">
        <v>23</v>
      </c>
      <c r="F313">
        <v>25</v>
      </c>
      <c r="G313" t="s">
        <v>24</v>
      </c>
      <c r="I313" t="s">
        <v>30</v>
      </c>
      <c r="J313" s="1">
        <v>45791</v>
      </c>
      <c r="K313" t="s">
        <v>34</v>
      </c>
      <c r="L313" t="s">
        <v>35</v>
      </c>
      <c r="M313" t="s">
        <v>38</v>
      </c>
      <c r="N313">
        <v>4</v>
      </c>
      <c r="O313">
        <v>0.8125</v>
      </c>
      <c r="P313">
        <v>81</v>
      </c>
      <c r="Q313" t="s">
        <v>39</v>
      </c>
      <c r="R313" t="s">
        <v>40</v>
      </c>
      <c r="T313" t="s">
        <v>40</v>
      </c>
      <c r="U313" s="1">
        <v>45838</v>
      </c>
    </row>
    <row r="314" spans="1:21" x14ac:dyDescent="0.3">
      <c r="A314">
        <v>308</v>
      </c>
      <c r="B314">
        <v>103</v>
      </c>
      <c r="C314">
        <v>2</v>
      </c>
      <c r="D314" t="s">
        <v>20</v>
      </c>
      <c r="E314" t="s">
        <v>23</v>
      </c>
      <c r="F314">
        <v>25</v>
      </c>
      <c r="G314" t="s">
        <v>24</v>
      </c>
      <c r="I314" t="s">
        <v>30</v>
      </c>
      <c r="J314" s="1">
        <v>45791</v>
      </c>
      <c r="K314" t="s">
        <v>34</v>
      </c>
      <c r="L314" t="s">
        <v>36</v>
      </c>
      <c r="M314" t="s">
        <v>38</v>
      </c>
      <c r="N314">
        <v>4</v>
      </c>
      <c r="O314">
        <v>0.89583333333333337</v>
      </c>
      <c r="P314">
        <v>72.5</v>
      </c>
      <c r="Q314" t="s">
        <v>39</v>
      </c>
      <c r="R314" t="s">
        <v>40</v>
      </c>
      <c r="T314" t="s">
        <v>40</v>
      </c>
      <c r="U314" s="1">
        <v>45838</v>
      </c>
    </row>
    <row r="315" spans="1:21" x14ac:dyDescent="0.3">
      <c r="A315">
        <v>309</v>
      </c>
      <c r="B315">
        <v>103</v>
      </c>
      <c r="C315">
        <v>3</v>
      </c>
      <c r="D315" t="s">
        <v>19</v>
      </c>
      <c r="E315" t="s">
        <v>23</v>
      </c>
      <c r="F315">
        <v>25</v>
      </c>
      <c r="G315" t="s">
        <v>24</v>
      </c>
      <c r="I315" t="s">
        <v>30</v>
      </c>
      <c r="J315" s="1">
        <v>45791</v>
      </c>
      <c r="K315" t="s">
        <v>34</v>
      </c>
      <c r="L315" t="s">
        <v>37</v>
      </c>
      <c r="M315" t="s">
        <v>38</v>
      </c>
      <c r="N315">
        <v>4</v>
      </c>
      <c r="O315">
        <v>0.8125</v>
      </c>
      <c r="P315">
        <v>82.5</v>
      </c>
      <c r="Q315" t="s">
        <v>39</v>
      </c>
      <c r="R315" t="s">
        <v>40</v>
      </c>
      <c r="T315" t="s">
        <v>40</v>
      </c>
      <c r="U315" s="1">
        <v>45838</v>
      </c>
    </row>
    <row r="316" spans="1:21" x14ac:dyDescent="0.3">
      <c r="A316">
        <v>310</v>
      </c>
      <c r="B316">
        <v>104</v>
      </c>
      <c r="C316">
        <v>1</v>
      </c>
      <c r="D316" t="s">
        <v>19</v>
      </c>
      <c r="E316" t="s">
        <v>23</v>
      </c>
      <c r="F316">
        <v>25</v>
      </c>
      <c r="G316" t="s">
        <v>29</v>
      </c>
      <c r="I316" t="s">
        <v>33</v>
      </c>
      <c r="J316" s="1">
        <v>45677</v>
      </c>
      <c r="K316" t="s">
        <v>34</v>
      </c>
      <c r="L316" t="s">
        <v>35</v>
      </c>
      <c r="M316" t="s">
        <v>38</v>
      </c>
      <c r="N316">
        <v>4</v>
      </c>
      <c r="O316">
        <v>0.875</v>
      </c>
      <c r="P316">
        <v>72.5</v>
      </c>
      <c r="Q316" t="s">
        <v>40</v>
      </c>
      <c r="R316" t="s">
        <v>40</v>
      </c>
      <c r="T316" t="s">
        <v>40</v>
      </c>
      <c r="U316" s="1">
        <v>45838</v>
      </c>
    </row>
    <row r="317" spans="1:21" x14ac:dyDescent="0.3">
      <c r="A317">
        <v>311</v>
      </c>
      <c r="B317">
        <v>104</v>
      </c>
      <c r="C317">
        <v>2</v>
      </c>
      <c r="D317" t="s">
        <v>19</v>
      </c>
      <c r="E317" t="s">
        <v>23</v>
      </c>
      <c r="F317">
        <v>25</v>
      </c>
      <c r="G317" t="s">
        <v>29</v>
      </c>
      <c r="I317" t="s">
        <v>33</v>
      </c>
      <c r="J317" s="1">
        <v>45677</v>
      </c>
      <c r="K317" t="s">
        <v>34</v>
      </c>
      <c r="L317" t="s">
        <v>36</v>
      </c>
      <c r="M317" t="s">
        <v>38</v>
      </c>
      <c r="N317">
        <v>4</v>
      </c>
      <c r="O317">
        <v>0.77083333333333337</v>
      </c>
      <c r="P317">
        <v>64.5</v>
      </c>
      <c r="Q317" t="s">
        <v>40</v>
      </c>
      <c r="R317" t="s">
        <v>40</v>
      </c>
      <c r="T317" t="s">
        <v>40</v>
      </c>
      <c r="U317" s="1">
        <v>45838</v>
      </c>
    </row>
    <row r="318" spans="1:21" x14ac:dyDescent="0.3">
      <c r="A318">
        <v>312</v>
      </c>
      <c r="B318">
        <v>104</v>
      </c>
      <c r="C318">
        <v>3</v>
      </c>
      <c r="D318" t="s">
        <v>19</v>
      </c>
      <c r="E318" t="s">
        <v>23</v>
      </c>
      <c r="F318">
        <v>25</v>
      </c>
      <c r="G318" t="s">
        <v>29</v>
      </c>
      <c r="I318" t="s">
        <v>33</v>
      </c>
      <c r="J318" s="1">
        <v>45677</v>
      </c>
      <c r="K318" t="s">
        <v>34</v>
      </c>
      <c r="L318" t="s">
        <v>37</v>
      </c>
      <c r="M318" t="s">
        <v>38</v>
      </c>
      <c r="N318">
        <v>4</v>
      </c>
      <c r="O318">
        <v>0.85416666666666663</v>
      </c>
      <c r="P318">
        <v>52.5</v>
      </c>
      <c r="Q318" t="s">
        <v>40</v>
      </c>
      <c r="R318" t="s">
        <v>40</v>
      </c>
      <c r="T318" t="s">
        <v>40</v>
      </c>
      <c r="U318" s="1">
        <v>45838</v>
      </c>
    </row>
    <row r="319" spans="1:21" x14ac:dyDescent="0.3">
      <c r="A319">
        <v>313</v>
      </c>
      <c r="B319">
        <v>105</v>
      </c>
      <c r="C319">
        <v>1</v>
      </c>
      <c r="D319" t="s">
        <v>19</v>
      </c>
      <c r="E319" t="s">
        <v>23</v>
      </c>
      <c r="F319">
        <v>25</v>
      </c>
      <c r="G319" t="s">
        <v>29</v>
      </c>
      <c r="I319" t="s">
        <v>30</v>
      </c>
      <c r="J319" s="1">
        <v>45739</v>
      </c>
      <c r="K319" t="s">
        <v>34</v>
      </c>
      <c r="L319" t="s">
        <v>35</v>
      </c>
      <c r="M319" t="s">
        <v>38</v>
      </c>
      <c r="N319">
        <v>4</v>
      </c>
      <c r="O319">
        <v>0.83333333333333337</v>
      </c>
      <c r="P319">
        <v>76.5</v>
      </c>
      <c r="Q319" t="s">
        <v>39</v>
      </c>
      <c r="R319" t="s">
        <v>40</v>
      </c>
      <c r="T319" t="s">
        <v>40</v>
      </c>
      <c r="U319" s="1">
        <v>45838</v>
      </c>
    </row>
    <row r="320" spans="1:21" x14ac:dyDescent="0.3">
      <c r="A320">
        <v>314</v>
      </c>
      <c r="B320">
        <v>105</v>
      </c>
      <c r="C320">
        <v>2</v>
      </c>
      <c r="D320" t="s">
        <v>21</v>
      </c>
      <c r="E320" t="s">
        <v>23</v>
      </c>
      <c r="F320">
        <v>25</v>
      </c>
      <c r="G320" t="s">
        <v>29</v>
      </c>
      <c r="I320" t="s">
        <v>30</v>
      </c>
      <c r="J320" s="1">
        <v>45739</v>
      </c>
      <c r="K320" t="s">
        <v>34</v>
      </c>
      <c r="L320" t="s">
        <v>36</v>
      </c>
      <c r="M320" t="s">
        <v>38</v>
      </c>
      <c r="N320">
        <v>4</v>
      </c>
      <c r="O320">
        <v>0.75</v>
      </c>
      <c r="P320">
        <v>94</v>
      </c>
      <c r="Q320" t="s">
        <v>39</v>
      </c>
      <c r="R320" t="s">
        <v>40</v>
      </c>
      <c r="T320" t="s">
        <v>40</v>
      </c>
      <c r="U320" s="1">
        <v>45838</v>
      </c>
    </row>
    <row r="321" spans="1:21" x14ac:dyDescent="0.3">
      <c r="A321">
        <v>315</v>
      </c>
      <c r="B321">
        <v>105</v>
      </c>
      <c r="C321">
        <v>3</v>
      </c>
      <c r="D321" t="s">
        <v>19</v>
      </c>
      <c r="E321" t="s">
        <v>23</v>
      </c>
      <c r="F321">
        <v>25</v>
      </c>
      <c r="G321" t="s">
        <v>29</v>
      </c>
      <c r="I321" t="s">
        <v>30</v>
      </c>
      <c r="J321" s="1">
        <v>45739</v>
      </c>
      <c r="K321" t="s">
        <v>34</v>
      </c>
      <c r="L321" t="s">
        <v>37</v>
      </c>
      <c r="M321" t="s">
        <v>38</v>
      </c>
      <c r="N321">
        <v>4</v>
      </c>
      <c r="O321">
        <v>0.83333333333333337</v>
      </c>
      <c r="P321">
        <v>60.5</v>
      </c>
      <c r="Q321" t="s">
        <v>39</v>
      </c>
      <c r="R321" t="s">
        <v>40</v>
      </c>
      <c r="T321" t="s">
        <v>40</v>
      </c>
      <c r="U321" s="1">
        <v>45838</v>
      </c>
    </row>
    <row r="322" spans="1:21" x14ac:dyDescent="0.3">
      <c r="A322">
        <v>316</v>
      </c>
      <c r="B322">
        <v>106</v>
      </c>
      <c r="C322">
        <v>1</v>
      </c>
      <c r="D322" t="s">
        <v>19</v>
      </c>
      <c r="E322" t="s">
        <v>22</v>
      </c>
      <c r="F322">
        <v>22</v>
      </c>
      <c r="G322" t="s">
        <v>28</v>
      </c>
      <c r="I322" t="s">
        <v>32</v>
      </c>
      <c r="J322" s="1">
        <v>45756</v>
      </c>
      <c r="K322" t="s">
        <v>34</v>
      </c>
      <c r="L322" t="s">
        <v>35</v>
      </c>
      <c r="M322" t="s">
        <v>38</v>
      </c>
      <c r="N322">
        <v>4</v>
      </c>
      <c r="O322">
        <v>0.83333333333333337</v>
      </c>
      <c r="P322">
        <v>72.5</v>
      </c>
      <c r="Q322" t="s">
        <v>39</v>
      </c>
      <c r="R322" t="s">
        <v>40</v>
      </c>
      <c r="T322" t="s">
        <v>40</v>
      </c>
      <c r="U322" s="1">
        <v>45838</v>
      </c>
    </row>
    <row r="323" spans="1:21" x14ac:dyDescent="0.3">
      <c r="A323">
        <v>317</v>
      </c>
      <c r="B323">
        <v>106</v>
      </c>
      <c r="C323">
        <v>2</v>
      </c>
      <c r="D323" t="s">
        <v>21</v>
      </c>
      <c r="E323" t="s">
        <v>22</v>
      </c>
      <c r="F323">
        <v>22</v>
      </c>
      <c r="G323" t="s">
        <v>28</v>
      </c>
      <c r="I323" t="s">
        <v>32</v>
      </c>
      <c r="J323" s="1">
        <v>45756</v>
      </c>
      <c r="K323" t="s">
        <v>34</v>
      </c>
      <c r="L323" t="s">
        <v>36</v>
      </c>
      <c r="M323" t="s">
        <v>38</v>
      </c>
      <c r="N323">
        <v>4</v>
      </c>
      <c r="O323">
        <v>0.75</v>
      </c>
      <c r="P323">
        <v>71.5</v>
      </c>
      <c r="Q323" t="s">
        <v>39</v>
      </c>
      <c r="R323" t="s">
        <v>40</v>
      </c>
      <c r="T323" t="s">
        <v>40</v>
      </c>
      <c r="U323" s="1">
        <v>45838</v>
      </c>
    </row>
    <row r="324" spans="1:21" x14ac:dyDescent="0.3">
      <c r="A324">
        <v>318</v>
      </c>
      <c r="B324">
        <v>106</v>
      </c>
      <c r="C324">
        <v>3</v>
      </c>
      <c r="D324" t="s">
        <v>19</v>
      </c>
      <c r="E324" t="s">
        <v>22</v>
      </c>
      <c r="F324">
        <v>22</v>
      </c>
      <c r="G324" t="s">
        <v>28</v>
      </c>
      <c r="I324" t="s">
        <v>32</v>
      </c>
      <c r="J324" s="1">
        <v>45756</v>
      </c>
      <c r="K324" t="s">
        <v>34</v>
      </c>
      <c r="L324" t="s">
        <v>37</v>
      </c>
      <c r="M324" t="s">
        <v>38</v>
      </c>
      <c r="N324">
        <v>4</v>
      </c>
      <c r="O324">
        <v>0.79166666666666663</v>
      </c>
      <c r="P324">
        <v>53</v>
      </c>
      <c r="Q324" t="s">
        <v>39</v>
      </c>
      <c r="R324" t="s">
        <v>40</v>
      </c>
      <c r="T324" t="s">
        <v>40</v>
      </c>
      <c r="U324" s="1">
        <v>45838</v>
      </c>
    </row>
    <row r="325" spans="1:21" x14ac:dyDescent="0.3">
      <c r="A325">
        <v>319</v>
      </c>
      <c r="B325">
        <v>107</v>
      </c>
      <c r="C325">
        <v>1</v>
      </c>
      <c r="D325" t="s">
        <v>21</v>
      </c>
      <c r="E325" t="s">
        <v>22</v>
      </c>
      <c r="F325">
        <v>24</v>
      </c>
      <c r="G325" t="s">
        <v>25</v>
      </c>
      <c r="I325" t="s">
        <v>33</v>
      </c>
      <c r="J325" s="1">
        <v>45762</v>
      </c>
      <c r="K325" t="s">
        <v>34</v>
      </c>
      <c r="L325" t="s">
        <v>35</v>
      </c>
      <c r="M325" t="s">
        <v>38</v>
      </c>
      <c r="N325">
        <v>4</v>
      </c>
      <c r="O325">
        <v>0.89583333333333337</v>
      </c>
      <c r="P325">
        <v>56.5</v>
      </c>
      <c r="Q325" t="s">
        <v>40</v>
      </c>
      <c r="R325" t="s">
        <v>40</v>
      </c>
      <c r="T325" t="s">
        <v>40</v>
      </c>
      <c r="U325" s="1">
        <v>45838</v>
      </c>
    </row>
    <row r="326" spans="1:21" x14ac:dyDescent="0.3">
      <c r="A326">
        <v>320</v>
      </c>
      <c r="B326">
        <v>107</v>
      </c>
      <c r="C326">
        <v>2</v>
      </c>
      <c r="D326" t="s">
        <v>20</v>
      </c>
      <c r="E326" t="s">
        <v>22</v>
      </c>
      <c r="F326">
        <v>24</v>
      </c>
      <c r="G326" t="s">
        <v>25</v>
      </c>
      <c r="I326" t="s">
        <v>33</v>
      </c>
      <c r="J326" s="1">
        <v>45762</v>
      </c>
      <c r="K326" t="s">
        <v>34</v>
      </c>
      <c r="L326" t="s">
        <v>36</v>
      </c>
      <c r="M326" t="s">
        <v>38</v>
      </c>
      <c r="N326">
        <v>4</v>
      </c>
      <c r="O326">
        <v>0.79166666666666663</v>
      </c>
      <c r="P326">
        <v>88</v>
      </c>
      <c r="Q326" t="s">
        <v>40</v>
      </c>
      <c r="R326" t="s">
        <v>40</v>
      </c>
      <c r="T326" t="s">
        <v>40</v>
      </c>
      <c r="U326" s="1">
        <v>45838</v>
      </c>
    </row>
    <row r="327" spans="1:21" x14ac:dyDescent="0.3">
      <c r="A327">
        <v>321</v>
      </c>
      <c r="B327">
        <v>107</v>
      </c>
      <c r="C327">
        <v>3</v>
      </c>
      <c r="D327" t="s">
        <v>19</v>
      </c>
      <c r="E327" t="s">
        <v>22</v>
      </c>
      <c r="F327">
        <v>24</v>
      </c>
      <c r="G327" t="s">
        <v>25</v>
      </c>
      <c r="I327" t="s">
        <v>33</v>
      </c>
      <c r="J327" s="1">
        <v>45762</v>
      </c>
      <c r="K327" t="s">
        <v>34</v>
      </c>
      <c r="L327" t="s">
        <v>37</v>
      </c>
      <c r="M327" t="s">
        <v>38</v>
      </c>
      <c r="N327">
        <v>4</v>
      </c>
      <c r="O327">
        <v>0.8125</v>
      </c>
      <c r="P327">
        <v>48.5</v>
      </c>
      <c r="Q327" t="s">
        <v>40</v>
      </c>
      <c r="R327" t="s">
        <v>40</v>
      </c>
      <c r="T327" t="s">
        <v>40</v>
      </c>
      <c r="U327" s="1">
        <v>45838</v>
      </c>
    </row>
    <row r="328" spans="1:21" x14ac:dyDescent="0.3">
      <c r="A328">
        <v>322</v>
      </c>
      <c r="B328">
        <v>108</v>
      </c>
      <c r="C328">
        <v>1</v>
      </c>
      <c r="D328" t="s">
        <v>19</v>
      </c>
      <c r="E328" t="s">
        <v>23</v>
      </c>
      <c r="F328">
        <v>35</v>
      </c>
      <c r="G328" t="s">
        <v>27</v>
      </c>
      <c r="I328" t="s">
        <v>33</v>
      </c>
      <c r="J328" s="1">
        <v>45673</v>
      </c>
      <c r="K328" t="s">
        <v>34</v>
      </c>
      <c r="L328" t="s">
        <v>35</v>
      </c>
      <c r="M328" t="s">
        <v>38</v>
      </c>
      <c r="N328">
        <v>4</v>
      </c>
      <c r="O328">
        <v>0.75</v>
      </c>
      <c r="P328">
        <v>77.5</v>
      </c>
      <c r="Q328" t="s">
        <v>40</v>
      </c>
      <c r="R328" t="s">
        <v>40</v>
      </c>
      <c r="T328" t="s">
        <v>40</v>
      </c>
      <c r="U328" s="1">
        <v>45838</v>
      </c>
    </row>
    <row r="329" spans="1:21" x14ac:dyDescent="0.3">
      <c r="A329">
        <v>323</v>
      </c>
      <c r="B329">
        <v>108</v>
      </c>
      <c r="C329">
        <v>2</v>
      </c>
      <c r="D329" t="s">
        <v>19</v>
      </c>
      <c r="E329" t="s">
        <v>23</v>
      </c>
      <c r="F329">
        <v>35</v>
      </c>
      <c r="G329" t="s">
        <v>27</v>
      </c>
      <c r="I329" t="s">
        <v>33</v>
      </c>
      <c r="J329" s="1">
        <v>45673</v>
      </c>
      <c r="K329" t="s">
        <v>34</v>
      </c>
      <c r="L329" t="s">
        <v>36</v>
      </c>
      <c r="M329" t="s">
        <v>38</v>
      </c>
      <c r="N329">
        <v>4</v>
      </c>
      <c r="O329">
        <v>0.875</v>
      </c>
      <c r="P329">
        <v>59</v>
      </c>
      <c r="Q329" t="s">
        <v>40</v>
      </c>
      <c r="R329" t="s">
        <v>40</v>
      </c>
      <c r="T329" t="s">
        <v>40</v>
      </c>
      <c r="U329" s="1">
        <v>45838</v>
      </c>
    </row>
    <row r="330" spans="1:21" x14ac:dyDescent="0.3">
      <c r="A330">
        <v>324</v>
      </c>
      <c r="B330">
        <v>108</v>
      </c>
      <c r="C330">
        <v>3</v>
      </c>
      <c r="D330" t="s">
        <v>21</v>
      </c>
      <c r="E330" t="s">
        <v>23</v>
      </c>
      <c r="F330">
        <v>35</v>
      </c>
      <c r="G330" t="s">
        <v>27</v>
      </c>
      <c r="I330" t="s">
        <v>33</v>
      </c>
      <c r="J330" s="1">
        <v>45673</v>
      </c>
      <c r="K330" t="s">
        <v>34</v>
      </c>
      <c r="L330" t="s">
        <v>37</v>
      </c>
      <c r="M330" t="s">
        <v>38</v>
      </c>
      <c r="N330">
        <v>4</v>
      </c>
      <c r="O330">
        <v>0.875</v>
      </c>
      <c r="P330">
        <v>87.5</v>
      </c>
      <c r="Q330" t="s">
        <v>40</v>
      </c>
      <c r="R330" t="s">
        <v>40</v>
      </c>
      <c r="T330" t="s">
        <v>40</v>
      </c>
      <c r="U330" s="1">
        <v>45838</v>
      </c>
    </row>
    <row r="331" spans="1:21" x14ac:dyDescent="0.3">
      <c r="A331">
        <v>325</v>
      </c>
      <c r="B331">
        <v>109</v>
      </c>
      <c r="C331">
        <v>1</v>
      </c>
      <c r="D331" t="s">
        <v>19</v>
      </c>
      <c r="E331" t="s">
        <v>22</v>
      </c>
      <c r="F331">
        <v>31</v>
      </c>
      <c r="G331" t="s">
        <v>27</v>
      </c>
      <c r="I331" t="s">
        <v>31</v>
      </c>
      <c r="J331" s="1">
        <v>45805</v>
      </c>
      <c r="K331" t="s">
        <v>34</v>
      </c>
      <c r="L331" t="s">
        <v>35</v>
      </c>
      <c r="M331" t="s">
        <v>38</v>
      </c>
      <c r="N331">
        <v>4</v>
      </c>
      <c r="O331">
        <v>0.85416666666666663</v>
      </c>
      <c r="P331">
        <v>85.5</v>
      </c>
      <c r="Q331" t="s">
        <v>40</v>
      </c>
      <c r="R331" t="s">
        <v>40</v>
      </c>
      <c r="T331" t="s">
        <v>40</v>
      </c>
      <c r="U331" s="1">
        <v>45838</v>
      </c>
    </row>
    <row r="332" spans="1:21" x14ac:dyDescent="0.3">
      <c r="A332">
        <v>326</v>
      </c>
      <c r="B332">
        <v>109</v>
      </c>
      <c r="C332">
        <v>2</v>
      </c>
      <c r="D332" t="s">
        <v>21</v>
      </c>
      <c r="E332" t="s">
        <v>22</v>
      </c>
      <c r="F332">
        <v>31</v>
      </c>
      <c r="G332" t="s">
        <v>27</v>
      </c>
      <c r="I332" t="s">
        <v>31</v>
      </c>
      <c r="J332" s="1">
        <v>45805</v>
      </c>
      <c r="K332" t="s">
        <v>34</v>
      </c>
      <c r="L332" t="s">
        <v>36</v>
      </c>
      <c r="M332" t="s">
        <v>38</v>
      </c>
      <c r="N332">
        <v>4</v>
      </c>
      <c r="O332">
        <v>0.83333333333333337</v>
      </c>
      <c r="P332">
        <v>58</v>
      </c>
      <c r="Q332" t="s">
        <v>40</v>
      </c>
      <c r="R332" t="s">
        <v>40</v>
      </c>
      <c r="T332" t="s">
        <v>40</v>
      </c>
      <c r="U332" s="1">
        <v>45838</v>
      </c>
    </row>
    <row r="333" spans="1:21" x14ac:dyDescent="0.3">
      <c r="A333">
        <v>327</v>
      </c>
      <c r="B333">
        <v>109</v>
      </c>
      <c r="C333">
        <v>3</v>
      </c>
      <c r="D333" t="s">
        <v>19</v>
      </c>
      <c r="E333" t="s">
        <v>22</v>
      </c>
      <c r="F333">
        <v>31</v>
      </c>
      <c r="G333" t="s">
        <v>27</v>
      </c>
      <c r="I333" t="s">
        <v>31</v>
      </c>
      <c r="J333" s="1">
        <v>45805</v>
      </c>
      <c r="K333" t="s">
        <v>34</v>
      </c>
      <c r="L333" t="s">
        <v>37</v>
      </c>
      <c r="M333" t="s">
        <v>38</v>
      </c>
      <c r="N333">
        <v>4</v>
      </c>
      <c r="O333">
        <v>0.85416666666666663</v>
      </c>
      <c r="P333">
        <v>63</v>
      </c>
      <c r="Q333" t="s">
        <v>40</v>
      </c>
      <c r="R333" t="s">
        <v>40</v>
      </c>
      <c r="T333" t="s">
        <v>40</v>
      </c>
      <c r="U333" s="1">
        <v>45838</v>
      </c>
    </row>
    <row r="334" spans="1:21" x14ac:dyDescent="0.3">
      <c r="A334">
        <v>328</v>
      </c>
      <c r="B334">
        <v>110</v>
      </c>
      <c r="C334">
        <v>1</v>
      </c>
      <c r="D334" t="s">
        <v>20</v>
      </c>
      <c r="E334" t="s">
        <v>23</v>
      </c>
      <c r="F334">
        <v>33</v>
      </c>
      <c r="G334" t="s">
        <v>25</v>
      </c>
      <c r="I334" t="s">
        <v>30</v>
      </c>
      <c r="J334" s="1">
        <v>45734</v>
      </c>
      <c r="K334" t="s">
        <v>34</v>
      </c>
      <c r="L334" t="s">
        <v>35</v>
      </c>
      <c r="M334" t="s">
        <v>38</v>
      </c>
      <c r="N334">
        <v>4</v>
      </c>
      <c r="O334">
        <v>0.85416666666666663</v>
      </c>
      <c r="P334">
        <v>59</v>
      </c>
      <c r="Q334" t="s">
        <v>39</v>
      </c>
      <c r="R334" t="s">
        <v>39</v>
      </c>
      <c r="T334" t="s">
        <v>40</v>
      </c>
      <c r="U334" s="1">
        <v>45838</v>
      </c>
    </row>
    <row r="335" spans="1:21" x14ac:dyDescent="0.3">
      <c r="A335">
        <v>329</v>
      </c>
      <c r="B335">
        <v>110</v>
      </c>
      <c r="C335">
        <v>2</v>
      </c>
      <c r="D335" t="s">
        <v>19</v>
      </c>
      <c r="E335" t="s">
        <v>23</v>
      </c>
      <c r="F335">
        <v>33</v>
      </c>
      <c r="G335" t="s">
        <v>25</v>
      </c>
      <c r="I335" t="s">
        <v>30</v>
      </c>
      <c r="J335" s="1">
        <v>45734</v>
      </c>
      <c r="K335" t="s">
        <v>34</v>
      </c>
      <c r="L335" t="s">
        <v>36</v>
      </c>
      <c r="M335" t="s">
        <v>38</v>
      </c>
      <c r="N335">
        <v>4</v>
      </c>
      <c r="O335">
        <v>0.91666666666666663</v>
      </c>
      <c r="P335">
        <v>63</v>
      </c>
      <c r="Q335" t="s">
        <v>39</v>
      </c>
      <c r="R335" t="s">
        <v>39</v>
      </c>
      <c r="T335" t="s">
        <v>40</v>
      </c>
      <c r="U335" s="1">
        <v>45838</v>
      </c>
    </row>
    <row r="336" spans="1:21" x14ac:dyDescent="0.3">
      <c r="A336">
        <v>330</v>
      </c>
      <c r="B336">
        <v>110</v>
      </c>
      <c r="C336">
        <v>3</v>
      </c>
      <c r="D336" t="s">
        <v>19</v>
      </c>
      <c r="E336" t="s">
        <v>23</v>
      </c>
      <c r="F336">
        <v>33</v>
      </c>
      <c r="G336" t="s">
        <v>25</v>
      </c>
      <c r="I336" t="s">
        <v>30</v>
      </c>
      <c r="J336" s="1">
        <v>45734</v>
      </c>
      <c r="K336" t="s">
        <v>34</v>
      </c>
      <c r="L336" t="s">
        <v>37</v>
      </c>
      <c r="M336" t="s">
        <v>38</v>
      </c>
      <c r="N336">
        <v>4</v>
      </c>
      <c r="O336">
        <v>0.89583333333333337</v>
      </c>
      <c r="P336">
        <v>77.5</v>
      </c>
      <c r="Q336" t="s">
        <v>39</v>
      </c>
      <c r="R336" t="s">
        <v>39</v>
      </c>
      <c r="T336" t="s">
        <v>40</v>
      </c>
      <c r="U336" s="1">
        <v>45838</v>
      </c>
    </row>
    <row r="337" spans="1:21" x14ac:dyDescent="0.3">
      <c r="A337">
        <v>331</v>
      </c>
      <c r="B337">
        <v>111</v>
      </c>
      <c r="C337">
        <v>1</v>
      </c>
      <c r="D337" t="s">
        <v>19</v>
      </c>
      <c r="E337" t="s">
        <v>23</v>
      </c>
      <c r="F337">
        <v>31</v>
      </c>
      <c r="G337" t="s">
        <v>26</v>
      </c>
      <c r="I337" t="s">
        <v>32</v>
      </c>
      <c r="J337" s="1">
        <v>45782</v>
      </c>
      <c r="K337" t="s">
        <v>34</v>
      </c>
      <c r="L337" t="s">
        <v>35</v>
      </c>
      <c r="M337" t="s">
        <v>38</v>
      </c>
      <c r="N337">
        <v>4</v>
      </c>
      <c r="O337">
        <v>0.8125</v>
      </c>
      <c r="P337">
        <v>75.5</v>
      </c>
      <c r="Q337" t="s">
        <v>39</v>
      </c>
      <c r="R337" t="s">
        <v>40</v>
      </c>
      <c r="T337" t="s">
        <v>40</v>
      </c>
      <c r="U337" s="1">
        <v>45838</v>
      </c>
    </row>
    <row r="338" spans="1:21" x14ac:dyDescent="0.3">
      <c r="A338">
        <v>332</v>
      </c>
      <c r="B338">
        <v>111</v>
      </c>
      <c r="C338">
        <v>2</v>
      </c>
      <c r="D338" t="s">
        <v>19</v>
      </c>
      <c r="E338" t="s">
        <v>23</v>
      </c>
      <c r="F338">
        <v>31</v>
      </c>
      <c r="G338" t="s">
        <v>26</v>
      </c>
      <c r="I338" t="s">
        <v>32</v>
      </c>
      <c r="J338" s="1">
        <v>45782</v>
      </c>
      <c r="K338" t="s">
        <v>34</v>
      </c>
      <c r="L338" t="s">
        <v>36</v>
      </c>
      <c r="M338" t="s">
        <v>38</v>
      </c>
      <c r="N338">
        <v>4</v>
      </c>
      <c r="O338">
        <v>0.72916666666666663</v>
      </c>
      <c r="P338">
        <v>48</v>
      </c>
      <c r="Q338" t="s">
        <v>39</v>
      </c>
      <c r="R338" t="s">
        <v>40</v>
      </c>
      <c r="T338" t="s">
        <v>40</v>
      </c>
      <c r="U338" s="1">
        <v>45838</v>
      </c>
    </row>
    <row r="339" spans="1:21" x14ac:dyDescent="0.3">
      <c r="A339">
        <v>333</v>
      </c>
      <c r="B339">
        <v>111</v>
      </c>
      <c r="C339">
        <v>3</v>
      </c>
      <c r="D339" t="s">
        <v>21</v>
      </c>
      <c r="E339" t="s">
        <v>23</v>
      </c>
      <c r="F339">
        <v>31</v>
      </c>
      <c r="G339" t="s">
        <v>26</v>
      </c>
      <c r="I339" t="s">
        <v>32</v>
      </c>
      <c r="J339" s="1">
        <v>45782</v>
      </c>
      <c r="K339" t="s">
        <v>34</v>
      </c>
      <c r="L339" t="s">
        <v>37</v>
      </c>
      <c r="M339" t="s">
        <v>38</v>
      </c>
      <c r="N339">
        <v>4</v>
      </c>
      <c r="O339">
        <v>0.83333333333333337</v>
      </c>
      <c r="P339">
        <v>86.5</v>
      </c>
      <c r="Q339" t="s">
        <v>39</v>
      </c>
      <c r="R339" t="s">
        <v>40</v>
      </c>
      <c r="T339" t="s">
        <v>40</v>
      </c>
      <c r="U339" s="1">
        <v>45838</v>
      </c>
    </row>
    <row r="340" spans="1:21" x14ac:dyDescent="0.3">
      <c r="A340">
        <v>334</v>
      </c>
      <c r="B340">
        <v>112</v>
      </c>
      <c r="C340">
        <v>1</v>
      </c>
      <c r="D340" t="s">
        <v>20</v>
      </c>
      <c r="E340" t="s">
        <v>22</v>
      </c>
      <c r="F340">
        <v>26</v>
      </c>
      <c r="G340" t="s">
        <v>27</v>
      </c>
      <c r="I340" t="s">
        <v>33</v>
      </c>
      <c r="J340" s="1">
        <v>45665</v>
      </c>
      <c r="K340" t="s">
        <v>34</v>
      </c>
      <c r="L340" t="s">
        <v>35</v>
      </c>
      <c r="M340" t="s">
        <v>38</v>
      </c>
      <c r="N340">
        <v>4</v>
      </c>
      <c r="O340">
        <v>0.83333333333333337</v>
      </c>
      <c r="P340">
        <v>58</v>
      </c>
      <c r="Q340" t="s">
        <v>39</v>
      </c>
      <c r="R340" t="s">
        <v>39</v>
      </c>
      <c r="T340" t="s">
        <v>40</v>
      </c>
      <c r="U340" s="1">
        <v>45838</v>
      </c>
    </row>
    <row r="341" spans="1:21" x14ac:dyDescent="0.3">
      <c r="A341">
        <v>335</v>
      </c>
      <c r="B341">
        <v>112</v>
      </c>
      <c r="C341">
        <v>2</v>
      </c>
      <c r="D341" t="s">
        <v>19</v>
      </c>
      <c r="E341" t="s">
        <v>22</v>
      </c>
      <c r="F341">
        <v>26</v>
      </c>
      <c r="G341" t="s">
        <v>27</v>
      </c>
      <c r="I341" t="s">
        <v>33</v>
      </c>
      <c r="J341" s="1">
        <v>45665</v>
      </c>
      <c r="K341" t="s">
        <v>34</v>
      </c>
      <c r="L341" t="s">
        <v>36</v>
      </c>
      <c r="M341" t="s">
        <v>38</v>
      </c>
      <c r="N341">
        <v>4</v>
      </c>
      <c r="O341">
        <v>0.8125</v>
      </c>
      <c r="P341">
        <v>65.5</v>
      </c>
      <c r="Q341" t="s">
        <v>39</v>
      </c>
      <c r="R341" t="s">
        <v>39</v>
      </c>
      <c r="T341" t="s">
        <v>40</v>
      </c>
      <c r="U341" s="1">
        <v>45838</v>
      </c>
    </row>
    <row r="342" spans="1:21" x14ac:dyDescent="0.3">
      <c r="A342">
        <v>336</v>
      </c>
      <c r="B342">
        <v>112</v>
      </c>
      <c r="C342">
        <v>3</v>
      </c>
      <c r="D342" t="s">
        <v>21</v>
      </c>
      <c r="E342" t="s">
        <v>22</v>
      </c>
      <c r="F342">
        <v>26</v>
      </c>
      <c r="G342" t="s">
        <v>27</v>
      </c>
      <c r="I342" t="s">
        <v>33</v>
      </c>
      <c r="J342" s="1">
        <v>45665</v>
      </c>
      <c r="K342" t="s">
        <v>34</v>
      </c>
      <c r="L342" t="s">
        <v>37</v>
      </c>
      <c r="M342" t="s">
        <v>38</v>
      </c>
      <c r="N342">
        <v>4</v>
      </c>
      <c r="O342">
        <v>0.79166666666666663</v>
      </c>
      <c r="P342">
        <v>80.5</v>
      </c>
      <c r="Q342" t="s">
        <v>39</v>
      </c>
      <c r="R342" t="s">
        <v>39</v>
      </c>
      <c r="T342" t="s">
        <v>40</v>
      </c>
      <c r="U342" s="1">
        <v>45838</v>
      </c>
    </row>
    <row r="343" spans="1:21" x14ac:dyDescent="0.3">
      <c r="A343">
        <v>337</v>
      </c>
      <c r="B343">
        <v>113</v>
      </c>
      <c r="C343">
        <v>1</v>
      </c>
      <c r="D343" t="s">
        <v>19</v>
      </c>
      <c r="E343" t="s">
        <v>23</v>
      </c>
      <c r="F343">
        <v>28</v>
      </c>
      <c r="G343" t="s">
        <v>24</v>
      </c>
      <c r="I343" t="s">
        <v>33</v>
      </c>
      <c r="J343" s="1">
        <v>45700</v>
      </c>
      <c r="K343" t="s">
        <v>34</v>
      </c>
      <c r="L343" t="s">
        <v>35</v>
      </c>
      <c r="M343" t="s">
        <v>38</v>
      </c>
      <c r="N343">
        <v>4</v>
      </c>
      <c r="O343">
        <v>0.83333333333333337</v>
      </c>
      <c r="P343">
        <v>71.5</v>
      </c>
      <c r="Q343" t="s">
        <v>39</v>
      </c>
      <c r="R343" t="s">
        <v>39</v>
      </c>
      <c r="T343" t="s">
        <v>40</v>
      </c>
      <c r="U343" s="1">
        <v>45838</v>
      </c>
    </row>
    <row r="344" spans="1:21" x14ac:dyDescent="0.3">
      <c r="A344">
        <v>338</v>
      </c>
      <c r="B344">
        <v>113</v>
      </c>
      <c r="C344">
        <v>2</v>
      </c>
      <c r="D344" t="s">
        <v>21</v>
      </c>
      <c r="E344" t="s">
        <v>23</v>
      </c>
      <c r="F344">
        <v>28</v>
      </c>
      <c r="G344" t="s">
        <v>24</v>
      </c>
      <c r="I344" t="s">
        <v>33</v>
      </c>
      <c r="J344" s="1">
        <v>45700</v>
      </c>
      <c r="K344" t="s">
        <v>34</v>
      </c>
      <c r="L344" t="s">
        <v>36</v>
      </c>
      <c r="M344" t="s">
        <v>38</v>
      </c>
      <c r="N344">
        <v>4</v>
      </c>
      <c r="O344">
        <v>0.89583333333333337</v>
      </c>
      <c r="P344">
        <v>77.5</v>
      </c>
      <c r="Q344" t="s">
        <v>39</v>
      </c>
      <c r="R344" t="s">
        <v>39</v>
      </c>
      <c r="T344" t="s">
        <v>40</v>
      </c>
      <c r="U344" s="1">
        <v>45838</v>
      </c>
    </row>
    <row r="345" spans="1:21" x14ac:dyDescent="0.3">
      <c r="A345">
        <v>339</v>
      </c>
      <c r="B345">
        <v>113</v>
      </c>
      <c r="C345">
        <v>3</v>
      </c>
      <c r="D345" t="s">
        <v>19</v>
      </c>
      <c r="E345" t="s">
        <v>23</v>
      </c>
      <c r="F345">
        <v>28</v>
      </c>
      <c r="G345" t="s">
        <v>24</v>
      </c>
      <c r="I345" t="s">
        <v>33</v>
      </c>
      <c r="J345" s="1">
        <v>45700</v>
      </c>
      <c r="K345" t="s">
        <v>34</v>
      </c>
      <c r="L345" t="s">
        <v>37</v>
      </c>
      <c r="M345" t="s">
        <v>38</v>
      </c>
      <c r="N345">
        <v>4</v>
      </c>
      <c r="O345">
        <v>0.875</v>
      </c>
      <c r="P345">
        <v>96</v>
      </c>
      <c r="Q345" t="s">
        <v>39</v>
      </c>
      <c r="R345" t="s">
        <v>39</v>
      </c>
      <c r="T345" t="s">
        <v>40</v>
      </c>
      <c r="U345" s="1">
        <v>45838</v>
      </c>
    </row>
    <row r="346" spans="1:21" x14ac:dyDescent="0.3">
      <c r="A346">
        <v>340</v>
      </c>
      <c r="B346">
        <v>114</v>
      </c>
      <c r="C346">
        <v>1</v>
      </c>
      <c r="D346" t="s">
        <v>21</v>
      </c>
      <c r="E346" t="s">
        <v>23</v>
      </c>
      <c r="F346">
        <v>22</v>
      </c>
      <c r="G346" t="s">
        <v>26</v>
      </c>
      <c r="I346" t="s">
        <v>31</v>
      </c>
      <c r="J346" s="1">
        <v>45758</v>
      </c>
      <c r="K346" t="s">
        <v>34</v>
      </c>
      <c r="L346" t="s">
        <v>35</v>
      </c>
      <c r="M346" t="s">
        <v>38</v>
      </c>
      <c r="N346">
        <v>4</v>
      </c>
      <c r="O346">
        <v>0.875</v>
      </c>
      <c r="P346">
        <v>72</v>
      </c>
      <c r="Q346" t="s">
        <v>39</v>
      </c>
      <c r="R346" t="s">
        <v>40</v>
      </c>
      <c r="T346" t="s">
        <v>39</v>
      </c>
      <c r="U346" s="1">
        <v>45838</v>
      </c>
    </row>
    <row r="347" spans="1:21" x14ac:dyDescent="0.3">
      <c r="A347">
        <v>341</v>
      </c>
      <c r="B347">
        <v>114</v>
      </c>
      <c r="C347">
        <v>2</v>
      </c>
      <c r="D347" t="s">
        <v>19</v>
      </c>
      <c r="E347" t="s">
        <v>23</v>
      </c>
      <c r="F347">
        <v>22</v>
      </c>
      <c r="G347" t="s">
        <v>26</v>
      </c>
      <c r="I347" t="s">
        <v>31</v>
      </c>
      <c r="J347" s="1">
        <v>45758</v>
      </c>
      <c r="K347" t="s">
        <v>34</v>
      </c>
      <c r="L347" t="s">
        <v>36</v>
      </c>
      <c r="M347" t="s">
        <v>38</v>
      </c>
      <c r="N347">
        <v>4</v>
      </c>
      <c r="O347">
        <v>0.77083333333333337</v>
      </c>
      <c r="P347">
        <v>49</v>
      </c>
      <c r="Q347" t="s">
        <v>39</v>
      </c>
      <c r="R347" t="s">
        <v>40</v>
      </c>
      <c r="T347" t="s">
        <v>39</v>
      </c>
      <c r="U347" s="1">
        <v>45838</v>
      </c>
    </row>
    <row r="348" spans="1:21" x14ac:dyDescent="0.3">
      <c r="A348">
        <v>342</v>
      </c>
      <c r="B348">
        <v>114</v>
      </c>
      <c r="C348">
        <v>3</v>
      </c>
      <c r="D348" t="s">
        <v>19</v>
      </c>
      <c r="E348" t="s">
        <v>23</v>
      </c>
      <c r="F348">
        <v>22</v>
      </c>
      <c r="G348" t="s">
        <v>26</v>
      </c>
      <c r="I348" t="s">
        <v>31</v>
      </c>
      <c r="J348" s="1">
        <v>45758</v>
      </c>
      <c r="K348" t="s">
        <v>34</v>
      </c>
      <c r="L348" t="s">
        <v>37</v>
      </c>
      <c r="M348" t="s">
        <v>38</v>
      </c>
      <c r="N348">
        <v>4</v>
      </c>
      <c r="O348">
        <v>0.85416666666666663</v>
      </c>
      <c r="P348">
        <v>78</v>
      </c>
      <c r="Q348" t="s">
        <v>39</v>
      </c>
      <c r="R348" t="s">
        <v>40</v>
      </c>
      <c r="T348" t="s">
        <v>39</v>
      </c>
      <c r="U348" s="1">
        <v>45838</v>
      </c>
    </row>
    <row r="349" spans="1:21" x14ac:dyDescent="0.3">
      <c r="A349">
        <v>343</v>
      </c>
      <c r="B349">
        <v>115</v>
      </c>
      <c r="C349">
        <v>1</v>
      </c>
      <c r="D349" t="s">
        <v>19</v>
      </c>
      <c r="E349" t="s">
        <v>22</v>
      </c>
      <c r="F349">
        <v>20</v>
      </c>
      <c r="G349" t="s">
        <v>24</v>
      </c>
      <c r="I349" t="s">
        <v>33</v>
      </c>
      <c r="J349" s="1">
        <v>45692</v>
      </c>
      <c r="K349" t="s">
        <v>34</v>
      </c>
      <c r="L349" t="s">
        <v>35</v>
      </c>
      <c r="M349" t="s">
        <v>38</v>
      </c>
      <c r="N349">
        <v>4</v>
      </c>
      <c r="O349">
        <v>0.77083333333333337</v>
      </c>
      <c r="P349">
        <v>76</v>
      </c>
      <c r="Q349" t="s">
        <v>39</v>
      </c>
      <c r="R349" t="s">
        <v>40</v>
      </c>
      <c r="T349" t="s">
        <v>39</v>
      </c>
      <c r="U349" s="1">
        <v>45838</v>
      </c>
    </row>
    <row r="350" spans="1:21" x14ac:dyDescent="0.3">
      <c r="A350">
        <v>344</v>
      </c>
      <c r="B350">
        <v>115</v>
      </c>
      <c r="C350">
        <v>2</v>
      </c>
      <c r="D350" t="s">
        <v>19</v>
      </c>
      <c r="E350" t="s">
        <v>22</v>
      </c>
      <c r="F350">
        <v>20</v>
      </c>
      <c r="G350" t="s">
        <v>24</v>
      </c>
      <c r="I350" t="s">
        <v>33</v>
      </c>
      <c r="J350" s="1">
        <v>45692</v>
      </c>
      <c r="K350" t="s">
        <v>34</v>
      </c>
      <c r="L350" t="s">
        <v>36</v>
      </c>
      <c r="M350" t="s">
        <v>38</v>
      </c>
      <c r="N350">
        <v>4</v>
      </c>
      <c r="O350">
        <v>0.8125</v>
      </c>
      <c r="P350">
        <v>82.5</v>
      </c>
      <c r="Q350" t="s">
        <v>39</v>
      </c>
      <c r="R350" t="s">
        <v>40</v>
      </c>
      <c r="T350" t="s">
        <v>39</v>
      </c>
      <c r="U350" s="1">
        <v>45838</v>
      </c>
    </row>
    <row r="351" spans="1:21" x14ac:dyDescent="0.3">
      <c r="A351">
        <v>345</v>
      </c>
      <c r="B351">
        <v>115</v>
      </c>
      <c r="C351">
        <v>3</v>
      </c>
      <c r="D351" t="s">
        <v>19</v>
      </c>
      <c r="E351" t="s">
        <v>22</v>
      </c>
      <c r="F351">
        <v>20</v>
      </c>
      <c r="G351" t="s">
        <v>24</v>
      </c>
      <c r="I351" t="s">
        <v>33</v>
      </c>
      <c r="J351" s="1">
        <v>45692</v>
      </c>
      <c r="K351" t="s">
        <v>34</v>
      </c>
      <c r="L351" t="s">
        <v>37</v>
      </c>
      <c r="M351" t="s">
        <v>38</v>
      </c>
      <c r="N351">
        <v>4</v>
      </c>
      <c r="O351">
        <v>0.83333333333333337</v>
      </c>
      <c r="P351">
        <v>87.5</v>
      </c>
      <c r="Q351" t="s">
        <v>39</v>
      </c>
      <c r="R351" t="s">
        <v>40</v>
      </c>
      <c r="T351" t="s">
        <v>39</v>
      </c>
      <c r="U351" s="1">
        <v>45838</v>
      </c>
    </row>
    <row r="352" spans="1:21" x14ac:dyDescent="0.3">
      <c r="A352">
        <v>346</v>
      </c>
      <c r="B352">
        <v>116</v>
      </c>
      <c r="C352">
        <v>1</v>
      </c>
      <c r="D352" t="s">
        <v>19</v>
      </c>
      <c r="E352" t="s">
        <v>23</v>
      </c>
      <c r="F352">
        <v>23</v>
      </c>
      <c r="G352" t="s">
        <v>25</v>
      </c>
      <c r="I352" t="s">
        <v>30</v>
      </c>
      <c r="J352" s="1">
        <v>45755</v>
      </c>
      <c r="K352" t="s">
        <v>34</v>
      </c>
      <c r="L352" t="s">
        <v>35</v>
      </c>
      <c r="M352" t="s">
        <v>38</v>
      </c>
      <c r="N352">
        <v>4</v>
      </c>
      <c r="O352">
        <v>0.8125</v>
      </c>
      <c r="P352">
        <v>80</v>
      </c>
      <c r="Q352" t="s">
        <v>40</v>
      </c>
      <c r="R352" t="s">
        <v>40</v>
      </c>
      <c r="T352" t="s">
        <v>40</v>
      </c>
      <c r="U352" s="1">
        <v>45838</v>
      </c>
    </row>
    <row r="353" spans="1:21" x14ac:dyDescent="0.3">
      <c r="A353">
        <v>347</v>
      </c>
      <c r="B353">
        <v>116</v>
      </c>
      <c r="C353">
        <v>2</v>
      </c>
      <c r="D353" t="s">
        <v>19</v>
      </c>
      <c r="E353" t="s">
        <v>23</v>
      </c>
      <c r="F353">
        <v>23</v>
      </c>
      <c r="G353" t="s">
        <v>25</v>
      </c>
      <c r="I353" t="s">
        <v>30</v>
      </c>
      <c r="J353" s="1">
        <v>45755</v>
      </c>
      <c r="K353" t="s">
        <v>34</v>
      </c>
      <c r="L353" t="s">
        <v>36</v>
      </c>
      <c r="M353" t="s">
        <v>38</v>
      </c>
      <c r="N353">
        <v>4</v>
      </c>
      <c r="O353">
        <v>0.85416666666666663</v>
      </c>
      <c r="P353">
        <v>76</v>
      </c>
      <c r="Q353" t="s">
        <v>40</v>
      </c>
      <c r="R353" t="s">
        <v>40</v>
      </c>
      <c r="T353" t="s">
        <v>40</v>
      </c>
      <c r="U353" s="1">
        <v>45838</v>
      </c>
    </row>
    <row r="354" spans="1:21" x14ac:dyDescent="0.3">
      <c r="A354">
        <v>348</v>
      </c>
      <c r="B354">
        <v>116</v>
      </c>
      <c r="C354">
        <v>3</v>
      </c>
      <c r="D354" t="s">
        <v>19</v>
      </c>
      <c r="E354" t="s">
        <v>23</v>
      </c>
      <c r="F354">
        <v>23</v>
      </c>
      <c r="G354" t="s">
        <v>25</v>
      </c>
      <c r="I354" t="s">
        <v>30</v>
      </c>
      <c r="J354" s="1">
        <v>45755</v>
      </c>
      <c r="K354" t="s">
        <v>34</v>
      </c>
      <c r="L354" t="s">
        <v>37</v>
      </c>
      <c r="M354" t="s">
        <v>38</v>
      </c>
      <c r="N354">
        <v>4</v>
      </c>
      <c r="O354">
        <v>0.83333333333333337</v>
      </c>
      <c r="P354">
        <v>75.5</v>
      </c>
      <c r="Q354" t="s">
        <v>40</v>
      </c>
      <c r="R354" t="s">
        <v>40</v>
      </c>
      <c r="T354" t="s">
        <v>40</v>
      </c>
      <c r="U354" s="1">
        <v>45838</v>
      </c>
    </row>
    <row r="355" spans="1:21" x14ac:dyDescent="0.3">
      <c r="A355">
        <v>349</v>
      </c>
      <c r="B355">
        <v>117</v>
      </c>
      <c r="C355">
        <v>1</v>
      </c>
      <c r="D355" t="s">
        <v>19</v>
      </c>
      <c r="E355" t="s">
        <v>23</v>
      </c>
      <c r="F355">
        <v>24</v>
      </c>
      <c r="G355" t="s">
        <v>27</v>
      </c>
      <c r="I355" t="s">
        <v>30</v>
      </c>
      <c r="J355" s="1">
        <v>45744</v>
      </c>
      <c r="K355" t="s">
        <v>34</v>
      </c>
      <c r="L355" t="s">
        <v>35</v>
      </c>
      <c r="M355" t="s">
        <v>38</v>
      </c>
      <c r="N355">
        <v>4</v>
      </c>
      <c r="O355">
        <v>0.8125</v>
      </c>
      <c r="P355">
        <v>59</v>
      </c>
      <c r="Q355" t="s">
        <v>40</v>
      </c>
      <c r="R355" t="s">
        <v>40</v>
      </c>
      <c r="T355" t="s">
        <v>40</v>
      </c>
      <c r="U355" s="1">
        <v>45838</v>
      </c>
    </row>
    <row r="356" spans="1:21" x14ac:dyDescent="0.3">
      <c r="A356">
        <v>350</v>
      </c>
      <c r="B356">
        <v>117</v>
      </c>
      <c r="C356">
        <v>2</v>
      </c>
      <c r="D356" t="s">
        <v>19</v>
      </c>
      <c r="E356" t="s">
        <v>23</v>
      </c>
      <c r="F356">
        <v>24</v>
      </c>
      <c r="G356" t="s">
        <v>27</v>
      </c>
      <c r="I356" t="s">
        <v>30</v>
      </c>
      <c r="J356" s="1">
        <v>45744</v>
      </c>
      <c r="K356" t="s">
        <v>34</v>
      </c>
      <c r="L356" t="s">
        <v>36</v>
      </c>
      <c r="M356" t="s">
        <v>38</v>
      </c>
      <c r="N356">
        <v>4</v>
      </c>
      <c r="O356">
        <v>0.8125</v>
      </c>
      <c r="P356">
        <v>83.5</v>
      </c>
      <c r="Q356" t="s">
        <v>40</v>
      </c>
      <c r="R356" t="s">
        <v>40</v>
      </c>
      <c r="T356" t="s">
        <v>40</v>
      </c>
      <c r="U356" s="1">
        <v>45838</v>
      </c>
    </row>
    <row r="357" spans="1:21" x14ac:dyDescent="0.3">
      <c r="A357">
        <v>351</v>
      </c>
      <c r="B357">
        <v>117</v>
      </c>
      <c r="C357">
        <v>3</v>
      </c>
      <c r="D357" t="s">
        <v>19</v>
      </c>
      <c r="E357" t="s">
        <v>23</v>
      </c>
      <c r="F357">
        <v>24</v>
      </c>
      <c r="G357" t="s">
        <v>27</v>
      </c>
      <c r="I357" t="s">
        <v>30</v>
      </c>
      <c r="J357" s="1">
        <v>45744</v>
      </c>
      <c r="K357" t="s">
        <v>34</v>
      </c>
      <c r="L357" t="s">
        <v>37</v>
      </c>
      <c r="M357" t="s">
        <v>38</v>
      </c>
      <c r="N357">
        <v>4</v>
      </c>
      <c r="O357">
        <v>0.75</v>
      </c>
      <c r="P357">
        <v>65</v>
      </c>
      <c r="Q357" t="s">
        <v>40</v>
      </c>
      <c r="R357" t="s">
        <v>40</v>
      </c>
      <c r="T357" t="s">
        <v>40</v>
      </c>
      <c r="U357" s="1">
        <v>45838</v>
      </c>
    </row>
    <row r="358" spans="1:21" x14ac:dyDescent="0.3">
      <c r="A358">
        <v>352</v>
      </c>
      <c r="B358">
        <v>118</v>
      </c>
      <c r="C358">
        <v>1</v>
      </c>
      <c r="D358" t="s">
        <v>19</v>
      </c>
      <c r="E358" t="s">
        <v>23</v>
      </c>
      <c r="F358">
        <v>26</v>
      </c>
      <c r="G358" t="s">
        <v>27</v>
      </c>
      <c r="I358" t="s">
        <v>30</v>
      </c>
      <c r="J358" s="1">
        <v>45678</v>
      </c>
      <c r="K358" t="s">
        <v>34</v>
      </c>
      <c r="L358" t="s">
        <v>35</v>
      </c>
      <c r="M358" t="s">
        <v>38</v>
      </c>
      <c r="N358">
        <v>4</v>
      </c>
      <c r="O358">
        <v>0.79166666666666663</v>
      </c>
      <c r="P358">
        <v>62.5</v>
      </c>
      <c r="Q358" t="s">
        <v>40</v>
      </c>
      <c r="R358" t="s">
        <v>40</v>
      </c>
      <c r="T358" t="s">
        <v>40</v>
      </c>
      <c r="U358" s="1">
        <v>45838</v>
      </c>
    </row>
    <row r="359" spans="1:21" x14ac:dyDescent="0.3">
      <c r="A359">
        <v>353</v>
      </c>
      <c r="B359">
        <v>118</v>
      </c>
      <c r="C359">
        <v>2</v>
      </c>
      <c r="D359" t="s">
        <v>19</v>
      </c>
      <c r="E359" t="s">
        <v>23</v>
      </c>
      <c r="F359">
        <v>26</v>
      </c>
      <c r="G359" t="s">
        <v>27</v>
      </c>
      <c r="I359" t="s">
        <v>30</v>
      </c>
      <c r="J359" s="1">
        <v>45678</v>
      </c>
      <c r="K359" t="s">
        <v>34</v>
      </c>
      <c r="L359" t="s">
        <v>36</v>
      </c>
      <c r="M359" t="s">
        <v>38</v>
      </c>
      <c r="N359">
        <v>4</v>
      </c>
      <c r="O359">
        <v>0.91666666666666663</v>
      </c>
      <c r="P359">
        <v>67</v>
      </c>
      <c r="Q359" t="s">
        <v>40</v>
      </c>
      <c r="R359" t="s">
        <v>40</v>
      </c>
      <c r="T359" t="s">
        <v>40</v>
      </c>
      <c r="U359" s="1">
        <v>45838</v>
      </c>
    </row>
    <row r="360" spans="1:21" x14ac:dyDescent="0.3">
      <c r="A360">
        <v>354</v>
      </c>
      <c r="B360">
        <v>118</v>
      </c>
      <c r="C360">
        <v>3</v>
      </c>
      <c r="D360" t="s">
        <v>20</v>
      </c>
      <c r="E360" t="s">
        <v>23</v>
      </c>
      <c r="F360">
        <v>26</v>
      </c>
      <c r="G360" t="s">
        <v>27</v>
      </c>
      <c r="I360" t="s">
        <v>30</v>
      </c>
      <c r="J360" s="1">
        <v>45678</v>
      </c>
      <c r="K360" t="s">
        <v>34</v>
      </c>
      <c r="L360" t="s">
        <v>37</v>
      </c>
      <c r="M360" t="s">
        <v>38</v>
      </c>
      <c r="N360">
        <v>4</v>
      </c>
      <c r="O360">
        <v>0.875</v>
      </c>
      <c r="P360">
        <v>73.5</v>
      </c>
      <c r="Q360" t="s">
        <v>40</v>
      </c>
      <c r="R360" t="s">
        <v>40</v>
      </c>
      <c r="T360" t="s">
        <v>40</v>
      </c>
      <c r="U360" s="1">
        <v>45838</v>
      </c>
    </row>
    <row r="361" spans="1:21" x14ac:dyDescent="0.3">
      <c r="A361">
        <v>355</v>
      </c>
      <c r="B361">
        <v>119</v>
      </c>
      <c r="C361">
        <v>1</v>
      </c>
      <c r="D361" t="s">
        <v>19</v>
      </c>
      <c r="E361" t="s">
        <v>23</v>
      </c>
      <c r="F361">
        <v>18</v>
      </c>
      <c r="G361" t="s">
        <v>24</v>
      </c>
      <c r="I361" t="s">
        <v>31</v>
      </c>
      <c r="J361" s="1">
        <v>45747</v>
      </c>
      <c r="K361" t="s">
        <v>34</v>
      </c>
      <c r="L361" t="s">
        <v>35</v>
      </c>
      <c r="M361" t="s">
        <v>38</v>
      </c>
      <c r="N361">
        <v>4</v>
      </c>
      <c r="O361">
        <v>0.85416666666666663</v>
      </c>
      <c r="P361">
        <v>98</v>
      </c>
      <c r="Q361" t="s">
        <v>39</v>
      </c>
      <c r="R361" t="s">
        <v>39</v>
      </c>
      <c r="T361" t="s">
        <v>40</v>
      </c>
      <c r="U361" s="1">
        <v>45838</v>
      </c>
    </row>
    <row r="362" spans="1:21" x14ac:dyDescent="0.3">
      <c r="A362">
        <v>356</v>
      </c>
      <c r="B362">
        <v>119</v>
      </c>
      <c r="C362">
        <v>2</v>
      </c>
      <c r="D362" t="s">
        <v>21</v>
      </c>
      <c r="E362" t="s">
        <v>23</v>
      </c>
      <c r="F362">
        <v>18</v>
      </c>
      <c r="G362" t="s">
        <v>24</v>
      </c>
      <c r="I362" t="s">
        <v>31</v>
      </c>
      <c r="J362" s="1">
        <v>45747</v>
      </c>
      <c r="K362" t="s">
        <v>34</v>
      </c>
      <c r="L362" t="s">
        <v>36</v>
      </c>
      <c r="M362" t="s">
        <v>38</v>
      </c>
      <c r="N362">
        <v>4</v>
      </c>
      <c r="O362">
        <v>0.79166666666666663</v>
      </c>
      <c r="P362">
        <v>60.5</v>
      </c>
      <c r="Q362" t="s">
        <v>39</v>
      </c>
      <c r="R362" t="s">
        <v>39</v>
      </c>
      <c r="T362" t="s">
        <v>40</v>
      </c>
      <c r="U362" s="1">
        <v>45838</v>
      </c>
    </row>
    <row r="363" spans="1:21" x14ac:dyDescent="0.3">
      <c r="A363">
        <v>357</v>
      </c>
      <c r="B363">
        <v>119</v>
      </c>
      <c r="C363">
        <v>3</v>
      </c>
      <c r="D363" t="s">
        <v>19</v>
      </c>
      <c r="E363" t="s">
        <v>23</v>
      </c>
      <c r="F363">
        <v>18</v>
      </c>
      <c r="G363" t="s">
        <v>24</v>
      </c>
      <c r="I363" t="s">
        <v>31</v>
      </c>
      <c r="J363" s="1">
        <v>45747</v>
      </c>
      <c r="K363" t="s">
        <v>34</v>
      </c>
      <c r="L363" t="s">
        <v>37</v>
      </c>
      <c r="M363" t="s">
        <v>38</v>
      </c>
      <c r="N363">
        <v>4</v>
      </c>
      <c r="O363">
        <v>0.72916666666666663</v>
      </c>
      <c r="P363">
        <v>52.5</v>
      </c>
      <c r="Q363" t="s">
        <v>39</v>
      </c>
      <c r="R363" t="s">
        <v>39</v>
      </c>
      <c r="T363" t="s">
        <v>40</v>
      </c>
      <c r="U363" s="1">
        <v>45838</v>
      </c>
    </row>
    <row r="364" spans="1:21" x14ac:dyDescent="0.3">
      <c r="A364">
        <v>358</v>
      </c>
      <c r="B364">
        <v>120</v>
      </c>
      <c r="C364">
        <v>1</v>
      </c>
      <c r="D364" t="s">
        <v>21</v>
      </c>
      <c r="E364" t="s">
        <v>22</v>
      </c>
      <c r="F364">
        <v>20</v>
      </c>
      <c r="G364" t="s">
        <v>24</v>
      </c>
      <c r="I364" t="s">
        <v>31</v>
      </c>
      <c r="J364" s="1">
        <v>45665</v>
      </c>
      <c r="K364" t="s">
        <v>34</v>
      </c>
      <c r="L364" t="s">
        <v>35</v>
      </c>
      <c r="M364" t="s">
        <v>38</v>
      </c>
      <c r="N364">
        <v>4</v>
      </c>
      <c r="O364">
        <v>0.77083333333333337</v>
      </c>
      <c r="P364">
        <v>77</v>
      </c>
      <c r="Q364" t="s">
        <v>39</v>
      </c>
      <c r="R364" t="s">
        <v>40</v>
      </c>
      <c r="T364" t="s">
        <v>40</v>
      </c>
      <c r="U364" s="1">
        <v>45838</v>
      </c>
    </row>
    <row r="365" spans="1:21" x14ac:dyDescent="0.3">
      <c r="A365">
        <v>359</v>
      </c>
      <c r="B365">
        <v>120</v>
      </c>
      <c r="C365">
        <v>2</v>
      </c>
      <c r="D365" t="s">
        <v>20</v>
      </c>
      <c r="E365" t="s">
        <v>22</v>
      </c>
      <c r="F365">
        <v>20</v>
      </c>
      <c r="G365" t="s">
        <v>24</v>
      </c>
      <c r="I365" t="s">
        <v>31</v>
      </c>
      <c r="J365" s="1">
        <v>45665</v>
      </c>
      <c r="K365" t="s">
        <v>34</v>
      </c>
      <c r="L365" t="s">
        <v>36</v>
      </c>
      <c r="M365" t="s">
        <v>38</v>
      </c>
      <c r="N365">
        <v>4</v>
      </c>
      <c r="O365">
        <v>0.875</v>
      </c>
      <c r="P365">
        <v>62.5</v>
      </c>
      <c r="Q365" t="s">
        <v>39</v>
      </c>
      <c r="R365" t="s">
        <v>40</v>
      </c>
      <c r="T365" t="s">
        <v>40</v>
      </c>
      <c r="U365" s="1">
        <v>45838</v>
      </c>
    </row>
    <row r="366" spans="1:21" x14ac:dyDescent="0.3">
      <c r="A366">
        <v>360</v>
      </c>
      <c r="B366">
        <v>120</v>
      </c>
      <c r="C366">
        <v>3</v>
      </c>
      <c r="D366" t="s">
        <v>19</v>
      </c>
      <c r="E366" t="s">
        <v>22</v>
      </c>
      <c r="F366">
        <v>20</v>
      </c>
      <c r="G366" t="s">
        <v>24</v>
      </c>
      <c r="I366" t="s">
        <v>31</v>
      </c>
      <c r="J366" s="1">
        <v>45665</v>
      </c>
      <c r="K366" t="s">
        <v>34</v>
      </c>
      <c r="L366" t="s">
        <v>37</v>
      </c>
      <c r="M366" t="s">
        <v>38</v>
      </c>
      <c r="N366">
        <v>4</v>
      </c>
      <c r="O366">
        <v>0.75</v>
      </c>
      <c r="P366">
        <v>48.5</v>
      </c>
      <c r="Q366" t="s">
        <v>39</v>
      </c>
      <c r="R366" t="s">
        <v>40</v>
      </c>
      <c r="T366" t="s">
        <v>40</v>
      </c>
      <c r="U366" s="1">
        <v>45838</v>
      </c>
    </row>
    <row r="367" spans="1:21" x14ac:dyDescent="0.3">
      <c r="A367">
        <v>361</v>
      </c>
      <c r="B367">
        <v>121</v>
      </c>
      <c r="C367">
        <v>1</v>
      </c>
      <c r="D367" t="s">
        <v>19</v>
      </c>
      <c r="E367" t="s">
        <v>22</v>
      </c>
      <c r="F367">
        <v>24</v>
      </c>
      <c r="G367" t="s">
        <v>25</v>
      </c>
      <c r="I367" t="s">
        <v>32</v>
      </c>
      <c r="J367" s="1">
        <v>45719</v>
      </c>
      <c r="K367" t="s">
        <v>34</v>
      </c>
      <c r="L367" t="s">
        <v>35</v>
      </c>
      <c r="M367" t="s">
        <v>38</v>
      </c>
      <c r="N367">
        <v>4</v>
      </c>
      <c r="O367">
        <v>0.83333333333333337</v>
      </c>
      <c r="P367">
        <v>74</v>
      </c>
      <c r="Q367" t="s">
        <v>39</v>
      </c>
      <c r="R367" t="s">
        <v>40</v>
      </c>
      <c r="T367" t="s">
        <v>40</v>
      </c>
      <c r="U367" s="1">
        <v>45838</v>
      </c>
    </row>
    <row r="368" spans="1:21" x14ac:dyDescent="0.3">
      <c r="A368">
        <v>362</v>
      </c>
      <c r="B368">
        <v>121</v>
      </c>
      <c r="C368">
        <v>2</v>
      </c>
      <c r="D368" t="s">
        <v>19</v>
      </c>
      <c r="E368" t="s">
        <v>22</v>
      </c>
      <c r="F368">
        <v>24</v>
      </c>
      <c r="G368" t="s">
        <v>25</v>
      </c>
      <c r="I368" t="s">
        <v>32</v>
      </c>
      <c r="J368" s="1">
        <v>45719</v>
      </c>
      <c r="K368" t="s">
        <v>34</v>
      </c>
      <c r="L368" t="s">
        <v>36</v>
      </c>
      <c r="M368" t="s">
        <v>38</v>
      </c>
      <c r="N368">
        <v>4</v>
      </c>
      <c r="O368">
        <v>0.89583333333333337</v>
      </c>
      <c r="P368">
        <v>69.5</v>
      </c>
      <c r="Q368" t="s">
        <v>39</v>
      </c>
      <c r="R368" t="s">
        <v>40</v>
      </c>
      <c r="T368" t="s">
        <v>40</v>
      </c>
      <c r="U368" s="1">
        <v>45838</v>
      </c>
    </row>
    <row r="369" spans="1:21" x14ac:dyDescent="0.3">
      <c r="A369">
        <v>363</v>
      </c>
      <c r="B369">
        <v>121</v>
      </c>
      <c r="C369">
        <v>3</v>
      </c>
      <c r="D369" t="s">
        <v>19</v>
      </c>
      <c r="E369" t="s">
        <v>22</v>
      </c>
      <c r="F369">
        <v>24</v>
      </c>
      <c r="G369" t="s">
        <v>25</v>
      </c>
      <c r="I369" t="s">
        <v>32</v>
      </c>
      <c r="J369" s="1">
        <v>45719</v>
      </c>
      <c r="K369" t="s">
        <v>34</v>
      </c>
      <c r="L369" t="s">
        <v>37</v>
      </c>
      <c r="M369" t="s">
        <v>38</v>
      </c>
      <c r="N369">
        <v>4</v>
      </c>
      <c r="O369">
        <v>0.8125</v>
      </c>
      <c r="P369">
        <v>76</v>
      </c>
      <c r="Q369" t="s">
        <v>39</v>
      </c>
      <c r="R369" t="s">
        <v>40</v>
      </c>
      <c r="T369" t="s">
        <v>40</v>
      </c>
      <c r="U369" s="1">
        <v>45838</v>
      </c>
    </row>
    <row r="370" spans="1:21" x14ac:dyDescent="0.3">
      <c r="A370">
        <v>364</v>
      </c>
      <c r="B370">
        <v>122</v>
      </c>
      <c r="C370">
        <v>1</v>
      </c>
      <c r="D370" t="s">
        <v>19</v>
      </c>
      <c r="E370" t="s">
        <v>22</v>
      </c>
      <c r="F370">
        <v>33</v>
      </c>
      <c r="G370" t="s">
        <v>24</v>
      </c>
      <c r="I370" t="s">
        <v>31</v>
      </c>
      <c r="J370" s="1">
        <v>45802</v>
      </c>
      <c r="K370" t="s">
        <v>34</v>
      </c>
      <c r="L370" t="s">
        <v>35</v>
      </c>
      <c r="M370" t="s">
        <v>38</v>
      </c>
      <c r="N370">
        <v>4</v>
      </c>
      <c r="O370">
        <v>0.79166666666666663</v>
      </c>
      <c r="P370">
        <v>74</v>
      </c>
      <c r="Q370" t="s">
        <v>39</v>
      </c>
      <c r="R370" t="s">
        <v>39</v>
      </c>
      <c r="T370" t="s">
        <v>40</v>
      </c>
      <c r="U370" s="1">
        <v>45838</v>
      </c>
    </row>
    <row r="371" spans="1:21" x14ac:dyDescent="0.3">
      <c r="A371">
        <v>365</v>
      </c>
      <c r="B371">
        <v>122</v>
      </c>
      <c r="C371">
        <v>2</v>
      </c>
      <c r="D371" t="s">
        <v>21</v>
      </c>
      <c r="E371" t="s">
        <v>22</v>
      </c>
      <c r="F371">
        <v>33</v>
      </c>
      <c r="G371" t="s">
        <v>24</v>
      </c>
      <c r="I371" t="s">
        <v>31</v>
      </c>
      <c r="J371" s="1">
        <v>45802</v>
      </c>
      <c r="K371" t="s">
        <v>34</v>
      </c>
      <c r="L371" t="s">
        <v>36</v>
      </c>
      <c r="M371" t="s">
        <v>38</v>
      </c>
      <c r="N371">
        <v>4</v>
      </c>
      <c r="O371">
        <v>0.83333333333333337</v>
      </c>
      <c r="P371">
        <v>81</v>
      </c>
      <c r="Q371" t="s">
        <v>39</v>
      </c>
      <c r="R371" t="s">
        <v>39</v>
      </c>
      <c r="T371" t="s">
        <v>40</v>
      </c>
      <c r="U371" s="1">
        <v>45838</v>
      </c>
    </row>
    <row r="372" spans="1:21" x14ac:dyDescent="0.3">
      <c r="A372">
        <v>366</v>
      </c>
      <c r="B372">
        <v>122</v>
      </c>
      <c r="C372">
        <v>3</v>
      </c>
      <c r="D372" t="s">
        <v>19</v>
      </c>
      <c r="E372" t="s">
        <v>22</v>
      </c>
      <c r="F372">
        <v>33</v>
      </c>
      <c r="G372" t="s">
        <v>24</v>
      </c>
      <c r="I372" t="s">
        <v>31</v>
      </c>
      <c r="J372" s="1">
        <v>45802</v>
      </c>
      <c r="K372" t="s">
        <v>34</v>
      </c>
      <c r="L372" t="s">
        <v>37</v>
      </c>
      <c r="M372" t="s">
        <v>38</v>
      </c>
      <c r="N372">
        <v>4</v>
      </c>
      <c r="O372">
        <v>0.85416666666666663</v>
      </c>
      <c r="P372">
        <v>53</v>
      </c>
      <c r="Q372" t="s">
        <v>39</v>
      </c>
      <c r="R372" t="s">
        <v>39</v>
      </c>
      <c r="T372" t="s">
        <v>40</v>
      </c>
      <c r="U372" s="1">
        <v>45838</v>
      </c>
    </row>
    <row r="373" spans="1:21" x14ac:dyDescent="0.3">
      <c r="A373">
        <v>367</v>
      </c>
      <c r="B373">
        <v>123</v>
      </c>
      <c r="C373">
        <v>1</v>
      </c>
      <c r="D373" t="s">
        <v>19</v>
      </c>
      <c r="E373" t="s">
        <v>22</v>
      </c>
      <c r="F373">
        <v>32</v>
      </c>
      <c r="G373" t="s">
        <v>24</v>
      </c>
      <c r="I373" t="s">
        <v>30</v>
      </c>
      <c r="J373" s="1">
        <v>45752</v>
      </c>
      <c r="K373" t="s">
        <v>34</v>
      </c>
      <c r="L373" t="s">
        <v>35</v>
      </c>
      <c r="M373" t="s">
        <v>38</v>
      </c>
      <c r="N373">
        <v>4</v>
      </c>
      <c r="O373">
        <v>0.79166666666666663</v>
      </c>
      <c r="P373">
        <v>59</v>
      </c>
      <c r="Q373" t="s">
        <v>40</v>
      </c>
      <c r="R373" t="s">
        <v>40</v>
      </c>
      <c r="T373" t="s">
        <v>40</v>
      </c>
      <c r="U373" s="1">
        <v>45838</v>
      </c>
    </row>
    <row r="374" spans="1:21" x14ac:dyDescent="0.3">
      <c r="A374">
        <v>368</v>
      </c>
      <c r="B374">
        <v>123</v>
      </c>
      <c r="C374">
        <v>2</v>
      </c>
      <c r="D374" t="s">
        <v>19</v>
      </c>
      <c r="E374" t="s">
        <v>22</v>
      </c>
      <c r="F374">
        <v>32</v>
      </c>
      <c r="G374" t="s">
        <v>24</v>
      </c>
      <c r="I374" t="s">
        <v>30</v>
      </c>
      <c r="J374" s="1">
        <v>45752</v>
      </c>
      <c r="K374" t="s">
        <v>34</v>
      </c>
      <c r="L374" t="s">
        <v>36</v>
      </c>
      <c r="M374" t="s">
        <v>38</v>
      </c>
      <c r="N374">
        <v>4</v>
      </c>
      <c r="O374">
        <v>0.875</v>
      </c>
      <c r="P374">
        <v>59</v>
      </c>
      <c r="Q374" t="s">
        <v>40</v>
      </c>
      <c r="R374" t="s">
        <v>40</v>
      </c>
      <c r="T374" t="s">
        <v>40</v>
      </c>
      <c r="U374" s="1">
        <v>45838</v>
      </c>
    </row>
    <row r="375" spans="1:21" x14ac:dyDescent="0.3">
      <c r="A375">
        <v>369</v>
      </c>
      <c r="B375">
        <v>123</v>
      </c>
      <c r="C375">
        <v>3</v>
      </c>
      <c r="D375" t="s">
        <v>19</v>
      </c>
      <c r="E375" t="s">
        <v>22</v>
      </c>
      <c r="F375">
        <v>32</v>
      </c>
      <c r="G375" t="s">
        <v>24</v>
      </c>
      <c r="I375" t="s">
        <v>30</v>
      </c>
      <c r="J375" s="1">
        <v>45752</v>
      </c>
      <c r="K375" t="s">
        <v>34</v>
      </c>
      <c r="L375" t="s">
        <v>37</v>
      </c>
      <c r="M375" t="s">
        <v>38</v>
      </c>
      <c r="N375">
        <v>4</v>
      </c>
      <c r="O375">
        <v>0.91666666666666663</v>
      </c>
      <c r="P375">
        <v>72.5</v>
      </c>
      <c r="Q375" t="s">
        <v>40</v>
      </c>
      <c r="R375" t="s">
        <v>40</v>
      </c>
      <c r="T375" t="s">
        <v>40</v>
      </c>
      <c r="U375" s="1">
        <v>45838</v>
      </c>
    </row>
    <row r="376" spans="1:21" x14ac:dyDescent="0.3">
      <c r="A376">
        <v>370</v>
      </c>
      <c r="B376">
        <v>124</v>
      </c>
      <c r="C376">
        <v>1</v>
      </c>
      <c r="D376" t="s">
        <v>19</v>
      </c>
      <c r="E376" t="s">
        <v>22</v>
      </c>
      <c r="F376">
        <v>21</v>
      </c>
      <c r="G376" t="s">
        <v>28</v>
      </c>
      <c r="I376" t="s">
        <v>30</v>
      </c>
      <c r="J376" s="1">
        <v>45685</v>
      </c>
      <c r="K376" t="s">
        <v>34</v>
      </c>
      <c r="L376" t="s">
        <v>35</v>
      </c>
      <c r="M376" t="s">
        <v>38</v>
      </c>
      <c r="N376">
        <v>4</v>
      </c>
      <c r="O376">
        <v>0.85416666666666663</v>
      </c>
      <c r="P376">
        <v>52</v>
      </c>
      <c r="Q376" t="s">
        <v>39</v>
      </c>
      <c r="R376" t="s">
        <v>39</v>
      </c>
      <c r="T376" t="s">
        <v>40</v>
      </c>
      <c r="U376" s="1">
        <v>45838</v>
      </c>
    </row>
    <row r="377" spans="1:21" x14ac:dyDescent="0.3">
      <c r="A377">
        <v>371</v>
      </c>
      <c r="B377">
        <v>124</v>
      </c>
      <c r="C377">
        <v>2</v>
      </c>
      <c r="D377" t="s">
        <v>20</v>
      </c>
      <c r="E377" t="s">
        <v>22</v>
      </c>
      <c r="F377">
        <v>21</v>
      </c>
      <c r="G377" t="s">
        <v>28</v>
      </c>
      <c r="I377" t="s">
        <v>30</v>
      </c>
      <c r="J377" s="1">
        <v>45685</v>
      </c>
      <c r="K377" t="s">
        <v>34</v>
      </c>
      <c r="L377" t="s">
        <v>36</v>
      </c>
      <c r="M377" t="s">
        <v>38</v>
      </c>
      <c r="N377">
        <v>4</v>
      </c>
      <c r="O377">
        <v>0.72916666666666663</v>
      </c>
      <c r="P377">
        <v>61</v>
      </c>
      <c r="Q377" t="s">
        <v>39</v>
      </c>
      <c r="R377" t="s">
        <v>39</v>
      </c>
      <c r="T377" t="s">
        <v>40</v>
      </c>
      <c r="U377" s="1">
        <v>45838</v>
      </c>
    </row>
    <row r="378" spans="1:21" x14ac:dyDescent="0.3">
      <c r="A378">
        <v>372</v>
      </c>
      <c r="B378">
        <v>124</v>
      </c>
      <c r="C378">
        <v>3</v>
      </c>
      <c r="D378" t="s">
        <v>19</v>
      </c>
      <c r="E378" t="s">
        <v>22</v>
      </c>
      <c r="F378">
        <v>21</v>
      </c>
      <c r="G378" t="s">
        <v>28</v>
      </c>
      <c r="I378" t="s">
        <v>30</v>
      </c>
      <c r="J378" s="1">
        <v>45685</v>
      </c>
      <c r="K378" t="s">
        <v>34</v>
      </c>
      <c r="L378" t="s">
        <v>37</v>
      </c>
      <c r="M378" t="s">
        <v>38</v>
      </c>
      <c r="N378">
        <v>4</v>
      </c>
      <c r="O378">
        <v>0.91666666666666663</v>
      </c>
      <c r="P378">
        <v>61</v>
      </c>
      <c r="Q378" t="s">
        <v>39</v>
      </c>
      <c r="R378" t="s">
        <v>39</v>
      </c>
      <c r="T378" t="s">
        <v>40</v>
      </c>
      <c r="U378" s="1">
        <v>45838</v>
      </c>
    </row>
    <row r="379" spans="1:21" x14ac:dyDescent="0.3">
      <c r="A379">
        <v>373</v>
      </c>
      <c r="B379">
        <v>125</v>
      </c>
      <c r="C379">
        <v>1</v>
      </c>
      <c r="D379" t="s">
        <v>21</v>
      </c>
      <c r="E379" t="s">
        <v>22</v>
      </c>
      <c r="F379">
        <v>27</v>
      </c>
      <c r="G379" t="s">
        <v>26</v>
      </c>
      <c r="I379" t="s">
        <v>33</v>
      </c>
      <c r="J379" s="1">
        <v>45759</v>
      </c>
      <c r="K379" t="s">
        <v>34</v>
      </c>
      <c r="L379" t="s">
        <v>35</v>
      </c>
      <c r="M379" t="s">
        <v>38</v>
      </c>
      <c r="N379">
        <v>4</v>
      </c>
      <c r="O379">
        <v>0.8125</v>
      </c>
      <c r="P379">
        <v>66.5</v>
      </c>
      <c r="Q379" t="s">
        <v>39</v>
      </c>
      <c r="R379" t="s">
        <v>39</v>
      </c>
      <c r="T379" t="s">
        <v>40</v>
      </c>
      <c r="U379" s="1">
        <v>45838</v>
      </c>
    </row>
    <row r="380" spans="1:21" x14ac:dyDescent="0.3">
      <c r="A380">
        <v>374</v>
      </c>
      <c r="B380">
        <v>125</v>
      </c>
      <c r="C380">
        <v>2</v>
      </c>
      <c r="D380" t="s">
        <v>21</v>
      </c>
      <c r="E380" t="s">
        <v>22</v>
      </c>
      <c r="F380">
        <v>27</v>
      </c>
      <c r="G380" t="s">
        <v>26</v>
      </c>
      <c r="I380" t="s">
        <v>33</v>
      </c>
      <c r="J380" s="1">
        <v>45759</v>
      </c>
      <c r="K380" t="s">
        <v>34</v>
      </c>
      <c r="L380" t="s">
        <v>36</v>
      </c>
      <c r="M380" t="s">
        <v>38</v>
      </c>
      <c r="N380">
        <v>4</v>
      </c>
      <c r="O380">
        <v>0.72916666666666663</v>
      </c>
      <c r="P380">
        <v>67.5</v>
      </c>
      <c r="Q380" t="s">
        <v>39</v>
      </c>
      <c r="R380" t="s">
        <v>39</v>
      </c>
      <c r="T380" t="s">
        <v>40</v>
      </c>
      <c r="U380" s="1">
        <v>45838</v>
      </c>
    </row>
    <row r="381" spans="1:21" x14ac:dyDescent="0.3">
      <c r="A381">
        <v>375</v>
      </c>
      <c r="B381">
        <v>125</v>
      </c>
      <c r="C381">
        <v>3</v>
      </c>
      <c r="D381" t="s">
        <v>19</v>
      </c>
      <c r="E381" t="s">
        <v>22</v>
      </c>
      <c r="F381">
        <v>27</v>
      </c>
      <c r="G381" t="s">
        <v>26</v>
      </c>
      <c r="I381" t="s">
        <v>33</v>
      </c>
      <c r="J381" s="1">
        <v>45759</v>
      </c>
      <c r="K381" t="s">
        <v>34</v>
      </c>
      <c r="L381" t="s">
        <v>37</v>
      </c>
      <c r="M381" t="s">
        <v>38</v>
      </c>
      <c r="N381">
        <v>4</v>
      </c>
      <c r="O381">
        <v>0.8125</v>
      </c>
      <c r="P381">
        <v>62</v>
      </c>
      <c r="Q381" t="s">
        <v>39</v>
      </c>
      <c r="R381" t="s">
        <v>39</v>
      </c>
      <c r="T381" t="s">
        <v>40</v>
      </c>
      <c r="U381" s="1">
        <v>45838</v>
      </c>
    </row>
    <row r="382" spans="1:21" x14ac:dyDescent="0.3">
      <c r="A382">
        <v>376</v>
      </c>
      <c r="B382">
        <v>126</v>
      </c>
      <c r="C382">
        <v>1</v>
      </c>
      <c r="D382" t="s">
        <v>21</v>
      </c>
      <c r="E382" t="s">
        <v>22</v>
      </c>
      <c r="F382">
        <v>20</v>
      </c>
      <c r="G382" t="s">
        <v>26</v>
      </c>
      <c r="I382" t="s">
        <v>32</v>
      </c>
      <c r="J382" s="1">
        <v>45684</v>
      </c>
      <c r="K382" t="s">
        <v>34</v>
      </c>
      <c r="L382" t="s">
        <v>35</v>
      </c>
      <c r="M382" t="s">
        <v>38</v>
      </c>
      <c r="N382">
        <v>4</v>
      </c>
      <c r="O382">
        <v>0.72916666666666663</v>
      </c>
      <c r="P382">
        <v>85.5</v>
      </c>
      <c r="Q382" t="s">
        <v>39</v>
      </c>
      <c r="R382" t="s">
        <v>39</v>
      </c>
      <c r="T382" t="s">
        <v>39</v>
      </c>
      <c r="U382" s="1">
        <v>45838</v>
      </c>
    </row>
    <row r="383" spans="1:21" x14ac:dyDescent="0.3">
      <c r="A383">
        <v>377</v>
      </c>
      <c r="B383">
        <v>126</v>
      </c>
      <c r="C383">
        <v>2</v>
      </c>
      <c r="D383" t="s">
        <v>21</v>
      </c>
      <c r="E383" t="s">
        <v>22</v>
      </c>
      <c r="F383">
        <v>20</v>
      </c>
      <c r="G383" t="s">
        <v>26</v>
      </c>
      <c r="I383" t="s">
        <v>32</v>
      </c>
      <c r="J383" s="1">
        <v>45684</v>
      </c>
      <c r="K383" t="s">
        <v>34</v>
      </c>
      <c r="L383" t="s">
        <v>36</v>
      </c>
      <c r="M383" t="s">
        <v>38</v>
      </c>
      <c r="N383">
        <v>4</v>
      </c>
      <c r="O383">
        <v>0.85416666666666663</v>
      </c>
      <c r="P383">
        <v>60</v>
      </c>
      <c r="Q383" t="s">
        <v>39</v>
      </c>
      <c r="R383" t="s">
        <v>39</v>
      </c>
      <c r="T383" t="s">
        <v>39</v>
      </c>
      <c r="U383" s="1">
        <v>45838</v>
      </c>
    </row>
    <row r="384" spans="1:21" x14ac:dyDescent="0.3">
      <c r="A384">
        <v>378</v>
      </c>
      <c r="B384">
        <v>126</v>
      </c>
      <c r="C384">
        <v>3</v>
      </c>
      <c r="D384" t="s">
        <v>19</v>
      </c>
      <c r="E384" t="s">
        <v>22</v>
      </c>
      <c r="F384">
        <v>20</v>
      </c>
      <c r="G384" t="s">
        <v>26</v>
      </c>
      <c r="I384" t="s">
        <v>32</v>
      </c>
      <c r="J384" s="1">
        <v>45684</v>
      </c>
      <c r="K384" t="s">
        <v>34</v>
      </c>
      <c r="L384" t="s">
        <v>37</v>
      </c>
      <c r="M384" t="s">
        <v>38</v>
      </c>
      <c r="N384">
        <v>4</v>
      </c>
      <c r="O384">
        <v>0.77083333333333337</v>
      </c>
      <c r="P384">
        <v>60.5</v>
      </c>
      <c r="Q384" t="s">
        <v>39</v>
      </c>
      <c r="R384" t="s">
        <v>39</v>
      </c>
      <c r="T384" t="s">
        <v>39</v>
      </c>
      <c r="U384" s="1">
        <v>45838</v>
      </c>
    </row>
    <row r="385" spans="1:21" x14ac:dyDescent="0.3">
      <c r="A385">
        <v>379</v>
      </c>
      <c r="B385">
        <v>127</v>
      </c>
      <c r="C385">
        <v>1</v>
      </c>
      <c r="D385" t="s">
        <v>19</v>
      </c>
      <c r="E385" t="s">
        <v>23</v>
      </c>
      <c r="F385">
        <v>21</v>
      </c>
      <c r="G385" t="s">
        <v>26</v>
      </c>
      <c r="I385" t="s">
        <v>31</v>
      </c>
      <c r="J385" s="1">
        <v>45746</v>
      </c>
      <c r="K385" t="s">
        <v>34</v>
      </c>
      <c r="L385" t="s">
        <v>35</v>
      </c>
      <c r="M385" t="s">
        <v>38</v>
      </c>
      <c r="N385">
        <v>4</v>
      </c>
      <c r="O385">
        <v>0.91666666666666663</v>
      </c>
      <c r="P385">
        <v>60</v>
      </c>
      <c r="Q385" t="s">
        <v>40</v>
      </c>
      <c r="R385" t="s">
        <v>40</v>
      </c>
      <c r="T385" t="s">
        <v>40</v>
      </c>
      <c r="U385" s="1">
        <v>45838</v>
      </c>
    </row>
    <row r="386" spans="1:21" x14ac:dyDescent="0.3">
      <c r="A386">
        <v>380</v>
      </c>
      <c r="B386">
        <v>127</v>
      </c>
      <c r="C386">
        <v>2</v>
      </c>
      <c r="D386" t="s">
        <v>19</v>
      </c>
      <c r="E386" t="s">
        <v>23</v>
      </c>
      <c r="F386">
        <v>21</v>
      </c>
      <c r="G386" t="s">
        <v>26</v>
      </c>
      <c r="I386" t="s">
        <v>31</v>
      </c>
      <c r="J386" s="1">
        <v>45746</v>
      </c>
      <c r="K386" t="s">
        <v>34</v>
      </c>
      <c r="L386" t="s">
        <v>36</v>
      </c>
      <c r="M386" t="s">
        <v>38</v>
      </c>
      <c r="N386">
        <v>4</v>
      </c>
      <c r="O386">
        <v>0.83333333333333337</v>
      </c>
      <c r="P386">
        <v>93</v>
      </c>
      <c r="Q386" t="s">
        <v>40</v>
      </c>
      <c r="R386" t="s">
        <v>40</v>
      </c>
      <c r="T386" t="s">
        <v>40</v>
      </c>
      <c r="U386" s="1">
        <v>45838</v>
      </c>
    </row>
    <row r="387" spans="1:21" x14ac:dyDescent="0.3">
      <c r="A387">
        <v>381</v>
      </c>
      <c r="B387">
        <v>127</v>
      </c>
      <c r="C387">
        <v>3</v>
      </c>
      <c r="D387" t="s">
        <v>19</v>
      </c>
      <c r="E387" t="s">
        <v>23</v>
      </c>
      <c r="F387">
        <v>21</v>
      </c>
      <c r="G387" t="s">
        <v>26</v>
      </c>
      <c r="I387" t="s">
        <v>31</v>
      </c>
      <c r="J387" s="1">
        <v>45746</v>
      </c>
      <c r="K387" t="s">
        <v>34</v>
      </c>
      <c r="L387" t="s">
        <v>37</v>
      </c>
      <c r="M387" t="s">
        <v>38</v>
      </c>
      <c r="N387">
        <v>4</v>
      </c>
      <c r="O387">
        <v>0.85416666666666663</v>
      </c>
      <c r="P387">
        <v>68</v>
      </c>
      <c r="Q387" t="s">
        <v>40</v>
      </c>
      <c r="R387" t="s">
        <v>40</v>
      </c>
      <c r="T387" t="s">
        <v>40</v>
      </c>
      <c r="U387" s="1">
        <v>45838</v>
      </c>
    </row>
    <row r="388" spans="1:21" x14ac:dyDescent="0.3">
      <c r="A388">
        <v>382</v>
      </c>
      <c r="B388">
        <v>128</v>
      </c>
      <c r="C388">
        <v>1</v>
      </c>
      <c r="D388" t="s">
        <v>19</v>
      </c>
      <c r="E388" t="s">
        <v>23</v>
      </c>
      <c r="F388">
        <v>29</v>
      </c>
      <c r="G388" t="s">
        <v>25</v>
      </c>
      <c r="I388" t="s">
        <v>30</v>
      </c>
      <c r="J388" s="1">
        <v>45661</v>
      </c>
      <c r="K388" t="s">
        <v>34</v>
      </c>
      <c r="L388" t="s">
        <v>35</v>
      </c>
      <c r="M388" t="s">
        <v>38</v>
      </c>
      <c r="N388">
        <v>4</v>
      </c>
      <c r="O388">
        <v>0.89583333333333337</v>
      </c>
      <c r="P388">
        <v>58</v>
      </c>
      <c r="Q388" t="s">
        <v>40</v>
      </c>
      <c r="R388" t="s">
        <v>40</v>
      </c>
      <c r="T388" t="s">
        <v>40</v>
      </c>
      <c r="U388" s="1">
        <v>45838</v>
      </c>
    </row>
    <row r="389" spans="1:21" x14ac:dyDescent="0.3">
      <c r="A389">
        <v>383</v>
      </c>
      <c r="B389">
        <v>128</v>
      </c>
      <c r="C389">
        <v>2</v>
      </c>
      <c r="D389" t="s">
        <v>19</v>
      </c>
      <c r="E389" t="s">
        <v>23</v>
      </c>
      <c r="F389">
        <v>29</v>
      </c>
      <c r="G389" t="s">
        <v>25</v>
      </c>
      <c r="I389" t="s">
        <v>30</v>
      </c>
      <c r="J389" s="1">
        <v>45661</v>
      </c>
      <c r="K389" t="s">
        <v>34</v>
      </c>
      <c r="L389" t="s">
        <v>36</v>
      </c>
      <c r="M389" t="s">
        <v>38</v>
      </c>
      <c r="N389">
        <v>4</v>
      </c>
      <c r="O389">
        <v>0.83333333333333337</v>
      </c>
      <c r="P389">
        <v>75</v>
      </c>
      <c r="Q389" t="s">
        <v>40</v>
      </c>
      <c r="R389" t="s">
        <v>40</v>
      </c>
      <c r="T389" t="s">
        <v>40</v>
      </c>
      <c r="U389" s="1">
        <v>45838</v>
      </c>
    </row>
    <row r="390" spans="1:21" x14ac:dyDescent="0.3">
      <c r="A390">
        <v>384</v>
      </c>
      <c r="B390">
        <v>128</v>
      </c>
      <c r="C390">
        <v>3</v>
      </c>
      <c r="D390" t="s">
        <v>19</v>
      </c>
      <c r="E390" t="s">
        <v>23</v>
      </c>
      <c r="F390">
        <v>29</v>
      </c>
      <c r="G390" t="s">
        <v>25</v>
      </c>
      <c r="I390" t="s">
        <v>30</v>
      </c>
      <c r="J390" s="1">
        <v>45661</v>
      </c>
      <c r="K390" t="s">
        <v>34</v>
      </c>
      <c r="L390" t="s">
        <v>37</v>
      </c>
      <c r="M390" t="s">
        <v>38</v>
      </c>
      <c r="N390">
        <v>4</v>
      </c>
      <c r="O390">
        <v>0.85416666666666663</v>
      </c>
      <c r="P390">
        <v>54.5</v>
      </c>
      <c r="Q390" t="s">
        <v>40</v>
      </c>
      <c r="R390" t="s">
        <v>40</v>
      </c>
      <c r="T390" t="s">
        <v>40</v>
      </c>
      <c r="U390" s="1">
        <v>45838</v>
      </c>
    </row>
    <row r="391" spans="1:21" x14ac:dyDescent="0.3">
      <c r="A391">
        <v>385</v>
      </c>
      <c r="B391">
        <v>129</v>
      </c>
      <c r="C391">
        <v>1</v>
      </c>
      <c r="D391" t="s">
        <v>19</v>
      </c>
      <c r="E391" t="s">
        <v>23</v>
      </c>
      <c r="F391">
        <v>33</v>
      </c>
      <c r="G391" t="s">
        <v>25</v>
      </c>
      <c r="I391" t="s">
        <v>33</v>
      </c>
      <c r="J391" s="1">
        <v>45750</v>
      </c>
      <c r="K391" t="s">
        <v>34</v>
      </c>
      <c r="L391" t="s">
        <v>35</v>
      </c>
      <c r="M391" t="s">
        <v>38</v>
      </c>
      <c r="N391">
        <v>4</v>
      </c>
      <c r="O391">
        <v>0.89583333333333337</v>
      </c>
      <c r="P391">
        <v>87</v>
      </c>
      <c r="Q391" t="s">
        <v>39</v>
      </c>
      <c r="R391" t="s">
        <v>40</v>
      </c>
      <c r="T391" t="s">
        <v>39</v>
      </c>
      <c r="U391" s="1">
        <v>45838</v>
      </c>
    </row>
    <row r="392" spans="1:21" x14ac:dyDescent="0.3">
      <c r="A392">
        <v>386</v>
      </c>
      <c r="B392">
        <v>129</v>
      </c>
      <c r="C392">
        <v>2</v>
      </c>
      <c r="D392" t="s">
        <v>21</v>
      </c>
      <c r="E392" t="s">
        <v>23</v>
      </c>
      <c r="F392">
        <v>33</v>
      </c>
      <c r="G392" t="s">
        <v>25</v>
      </c>
      <c r="I392" t="s">
        <v>33</v>
      </c>
      <c r="J392" s="1">
        <v>45750</v>
      </c>
      <c r="K392" t="s">
        <v>34</v>
      </c>
      <c r="L392" t="s">
        <v>36</v>
      </c>
      <c r="M392" t="s">
        <v>38</v>
      </c>
      <c r="N392">
        <v>4</v>
      </c>
      <c r="O392">
        <v>0.8125</v>
      </c>
      <c r="P392">
        <v>55</v>
      </c>
      <c r="Q392" t="s">
        <v>39</v>
      </c>
      <c r="R392" t="s">
        <v>40</v>
      </c>
      <c r="T392" t="s">
        <v>39</v>
      </c>
      <c r="U392" s="1">
        <v>45838</v>
      </c>
    </row>
    <row r="393" spans="1:21" x14ac:dyDescent="0.3">
      <c r="A393">
        <v>387</v>
      </c>
      <c r="B393">
        <v>129</v>
      </c>
      <c r="C393">
        <v>3</v>
      </c>
      <c r="D393" t="s">
        <v>19</v>
      </c>
      <c r="E393" t="s">
        <v>23</v>
      </c>
      <c r="F393">
        <v>33</v>
      </c>
      <c r="G393" t="s">
        <v>25</v>
      </c>
      <c r="I393" t="s">
        <v>33</v>
      </c>
      <c r="J393" s="1">
        <v>45750</v>
      </c>
      <c r="K393" t="s">
        <v>34</v>
      </c>
      <c r="L393" t="s">
        <v>37</v>
      </c>
      <c r="M393" t="s">
        <v>38</v>
      </c>
      <c r="N393">
        <v>4</v>
      </c>
      <c r="O393">
        <v>0.83333333333333337</v>
      </c>
      <c r="P393">
        <v>81.5</v>
      </c>
      <c r="Q393" t="s">
        <v>39</v>
      </c>
      <c r="R393" t="s">
        <v>40</v>
      </c>
      <c r="T393" t="s">
        <v>39</v>
      </c>
      <c r="U393" s="1">
        <v>45838</v>
      </c>
    </row>
    <row r="394" spans="1:21" x14ac:dyDescent="0.3">
      <c r="A394">
        <v>388</v>
      </c>
      <c r="B394">
        <v>130</v>
      </c>
      <c r="C394">
        <v>1</v>
      </c>
      <c r="D394" t="s">
        <v>21</v>
      </c>
      <c r="E394" t="s">
        <v>23</v>
      </c>
      <c r="F394">
        <v>22</v>
      </c>
      <c r="G394" t="s">
        <v>27</v>
      </c>
      <c r="I394" t="s">
        <v>32</v>
      </c>
      <c r="J394" s="1">
        <v>45791</v>
      </c>
      <c r="K394" t="s">
        <v>34</v>
      </c>
      <c r="L394" t="s">
        <v>35</v>
      </c>
      <c r="M394" t="s">
        <v>38</v>
      </c>
      <c r="N394">
        <v>4</v>
      </c>
      <c r="O394">
        <v>0.875</v>
      </c>
      <c r="P394">
        <v>66</v>
      </c>
      <c r="Q394" t="s">
        <v>40</v>
      </c>
      <c r="R394" t="s">
        <v>40</v>
      </c>
      <c r="T394" t="s">
        <v>40</v>
      </c>
      <c r="U394" s="1">
        <v>45838</v>
      </c>
    </row>
    <row r="395" spans="1:21" x14ac:dyDescent="0.3">
      <c r="A395">
        <v>389</v>
      </c>
      <c r="B395">
        <v>130</v>
      </c>
      <c r="C395">
        <v>2</v>
      </c>
      <c r="D395" t="s">
        <v>19</v>
      </c>
      <c r="E395" t="s">
        <v>23</v>
      </c>
      <c r="F395">
        <v>22</v>
      </c>
      <c r="G395" t="s">
        <v>27</v>
      </c>
      <c r="I395" t="s">
        <v>32</v>
      </c>
      <c r="J395" s="1">
        <v>45791</v>
      </c>
      <c r="K395" t="s">
        <v>34</v>
      </c>
      <c r="L395" t="s">
        <v>36</v>
      </c>
      <c r="M395" t="s">
        <v>38</v>
      </c>
      <c r="N395">
        <v>4</v>
      </c>
      <c r="O395">
        <v>0.77083333333333337</v>
      </c>
      <c r="P395">
        <v>76</v>
      </c>
      <c r="Q395" t="s">
        <v>40</v>
      </c>
      <c r="R395" t="s">
        <v>40</v>
      </c>
      <c r="T395" t="s">
        <v>40</v>
      </c>
      <c r="U395" s="1">
        <v>45838</v>
      </c>
    </row>
    <row r="396" spans="1:21" x14ac:dyDescent="0.3">
      <c r="A396">
        <v>390</v>
      </c>
      <c r="B396">
        <v>130</v>
      </c>
      <c r="C396">
        <v>3</v>
      </c>
      <c r="D396" t="s">
        <v>19</v>
      </c>
      <c r="E396" t="s">
        <v>23</v>
      </c>
      <c r="F396">
        <v>22</v>
      </c>
      <c r="G396" t="s">
        <v>27</v>
      </c>
      <c r="I396" t="s">
        <v>32</v>
      </c>
      <c r="J396" s="1">
        <v>45791</v>
      </c>
      <c r="K396" t="s">
        <v>34</v>
      </c>
      <c r="L396" t="s">
        <v>37</v>
      </c>
      <c r="M396" t="s">
        <v>38</v>
      </c>
      <c r="N396">
        <v>4</v>
      </c>
      <c r="O396">
        <v>0.83333333333333337</v>
      </c>
      <c r="P396">
        <v>51.5</v>
      </c>
      <c r="Q396" t="s">
        <v>40</v>
      </c>
      <c r="R396" t="s">
        <v>40</v>
      </c>
      <c r="T396" t="s">
        <v>40</v>
      </c>
      <c r="U396" s="1">
        <v>45838</v>
      </c>
    </row>
    <row r="397" spans="1:21" x14ac:dyDescent="0.3">
      <c r="A397">
        <v>391</v>
      </c>
      <c r="B397">
        <v>131</v>
      </c>
      <c r="C397">
        <v>1</v>
      </c>
      <c r="D397" t="s">
        <v>19</v>
      </c>
      <c r="E397" t="s">
        <v>23</v>
      </c>
      <c r="F397">
        <v>35</v>
      </c>
      <c r="G397" t="s">
        <v>27</v>
      </c>
      <c r="I397" t="s">
        <v>33</v>
      </c>
      <c r="J397" s="1">
        <v>45769</v>
      </c>
      <c r="K397" t="s">
        <v>34</v>
      </c>
      <c r="L397" t="s">
        <v>35</v>
      </c>
      <c r="M397" t="s">
        <v>38</v>
      </c>
      <c r="N397">
        <v>4</v>
      </c>
      <c r="O397">
        <v>0.79166666666666663</v>
      </c>
      <c r="P397">
        <v>82</v>
      </c>
      <c r="Q397" t="s">
        <v>39</v>
      </c>
      <c r="R397" t="s">
        <v>39</v>
      </c>
      <c r="T397" t="s">
        <v>40</v>
      </c>
      <c r="U397" s="1">
        <v>45838</v>
      </c>
    </row>
    <row r="398" spans="1:21" x14ac:dyDescent="0.3">
      <c r="A398">
        <v>392</v>
      </c>
      <c r="B398">
        <v>131</v>
      </c>
      <c r="C398">
        <v>2</v>
      </c>
      <c r="D398" t="s">
        <v>19</v>
      </c>
      <c r="E398" t="s">
        <v>23</v>
      </c>
      <c r="F398">
        <v>35</v>
      </c>
      <c r="G398" t="s">
        <v>27</v>
      </c>
      <c r="I398" t="s">
        <v>33</v>
      </c>
      <c r="J398" s="1">
        <v>45769</v>
      </c>
      <c r="K398" t="s">
        <v>34</v>
      </c>
      <c r="L398" t="s">
        <v>36</v>
      </c>
      <c r="M398" t="s">
        <v>38</v>
      </c>
      <c r="N398">
        <v>4</v>
      </c>
      <c r="O398">
        <v>0.91666666666666663</v>
      </c>
      <c r="P398">
        <v>90</v>
      </c>
      <c r="Q398" t="s">
        <v>39</v>
      </c>
      <c r="R398" t="s">
        <v>39</v>
      </c>
      <c r="T398" t="s">
        <v>40</v>
      </c>
      <c r="U398" s="1">
        <v>45838</v>
      </c>
    </row>
    <row r="399" spans="1:21" x14ac:dyDescent="0.3">
      <c r="A399">
        <v>393</v>
      </c>
      <c r="B399">
        <v>131</v>
      </c>
      <c r="C399">
        <v>3</v>
      </c>
      <c r="D399" t="s">
        <v>21</v>
      </c>
      <c r="E399" t="s">
        <v>23</v>
      </c>
      <c r="F399">
        <v>35</v>
      </c>
      <c r="G399" t="s">
        <v>27</v>
      </c>
      <c r="I399" t="s">
        <v>33</v>
      </c>
      <c r="J399" s="1">
        <v>45769</v>
      </c>
      <c r="K399" t="s">
        <v>34</v>
      </c>
      <c r="L399" t="s">
        <v>37</v>
      </c>
      <c r="M399" t="s">
        <v>38</v>
      </c>
      <c r="N399">
        <v>4</v>
      </c>
      <c r="O399">
        <v>0.875</v>
      </c>
      <c r="P399">
        <v>74</v>
      </c>
      <c r="Q399" t="s">
        <v>39</v>
      </c>
      <c r="R399" t="s">
        <v>39</v>
      </c>
      <c r="T399" t="s">
        <v>40</v>
      </c>
      <c r="U399" s="1">
        <v>45838</v>
      </c>
    </row>
    <row r="400" spans="1:21" x14ac:dyDescent="0.3">
      <c r="A400">
        <v>394</v>
      </c>
      <c r="B400">
        <v>132</v>
      </c>
      <c r="C400">
        <v>1</v>
      </c>
      <c r="D400" t="s">
        <v>20</v>
      </c>
      <c r="E400" t="s">
        <v>23</v>
      </c>
      <c r="F400">
        <v>28</v>
      </c>
      <c r="G400" t="s">
        <v>28</v>
      </c>
      <c r="I400" t="s">
        <v>31</v>
      </c>
      <c r="J400" s="1">
        <v>45729</v>
      </c>
      <c r="K400" t="s">
        <v>34</v>
      </c>
      <c r="L400" t="s">
        <v>35</v>
      </c>
      <c r="M400" t="s">
        <v>38</v>
      </c>
      <c r="N400">
        <v>4</v>
      </c>
      <c r="O400">
        <v>0.875</v>
      </c>
      <c r="P400">
        <v>69</v>
      </c>
      <c r="Q400" t="s">
        <v>39</v>
      </c>
      <c r="R400" t="s">
        <v>39</v>
      </c>
      <c r="T400" t="s">
        <v>39</v>
      </c>
      <c r="U400" s="1">
        <v>45838</v>
      </c>
    </row>
    <row r="401" spans="1:21" x14ac:dyDescent="0.3">
      <c r="A401">
        <v>395</v>
      </c>
      <c r="B401">
        <v>132</v>
      </c>
      <c r="C401">
        <v>2</v>
      </c>
      <c r="D401" t="s">
        <v>19</v>
      </c>
      <c r="E401" t="s">
        <v>23</v>
      </c>
      <c r="F401">
        <v>28</v>
      </c>
      <c r="G401" t="s">
        <v>28</v>
      </c>
      <c r="I401" t="s">
        <v>31</v>
      </c>
      <c r="J401" s="1">
        <v>45729</v>
      </c>
      <c r="K401" t="s">
        <v>34</v>
      </c>
      <c r="L401" t="s">
        <v>36</v>
      </c>
      <c r="M401" t="s">
        <v>38</v>
      </c>
      <c r="N401">
        <v>4</v>
      </c>
      <c r="O401">
        <v>0.875</v>
      </c>
      <c r="P401">
        <v>60</v>
      </c>
      <c r="Q401" t="s">
        <v>39</v>
      </c>
      <c r="R401" t="s">
        <v>39</v>
      </c>
      <c r="T401" t="s">
        <v>39</v>
      </c>
      <c r="U401" s="1">
        <v>45838</v>
      </c>
    </row>
    <row r="402" spans="1:21" x14ac:dyDescent="0.3">
      <c r="A402">
        <v>396</v>
      </c>
      <c r="B402">
        <v>132</v>
      </c>
      <c r="C402">
        <v>3</v>
      </c>
      <c r="D402" t="s">
        <v>19</v>
      </c>
      <c r="E402" t="s">
        <v>23</v>
      </c>
      <c r="F402">
        <v>28</v>
      </c>
      <c r="G402" t="s">
        <v>28</v>
      </c>
      <c r="I402" t="s">
        <v>31</v>
      </c>
      <c r="J402" s="1">
        <v>45729</v>
      </c>
      <c r="K402" t="s">
        <v>34</v>
      </c>
      <c r="L402" t="s">
        <v>37</v>
      </c>
      <c r="M402" t="s">
        <v>38</v>
      </c>
      <c r="N402">
        <v>4</v>
      </c>
      <c r="O402">
        <v>0.85416666666666663</v>
      </c>
      <c r="P402">
        <v>77</v>
      </c>
      <c r="Q402" t="s">
        <v>39</v>
      </c>
      <c r="R402" t="s">
        <v>39</v>
      </c>
      <c r="T402" t="s">
        <v>39</v>
      </c>
      <c r="U402" s="1">
        <v>45838</v>
      </c>
    </row>
    <row r="403" spans="1:21" x14ac:dyDescent="0.3">
      <c r="A403">
        <v>397</v>
      </c>
      <c r="B403">
        <v>133</v>
      </c>
      <c r="C403">
        <v>1</v>
      </c>
      <c r="D403" t="s">
        <v>19</v>
      </c>
      <c r="E403" t="s">
        <v>23</v>
      </c>
      <c r="F403">
        <v>25</v>
      </c>
      <c r="G403" t="s">
        <v>27</v>
      </c>
      <c r="I403" t="s">
        <v>33</v>
      </c>
      <c r="J403" s="1">
        <v>45744</v>
      </c>
      <c r="K403" t="s">
        <v>34</v>
      </c>
      <c r="L403" t="s">
        <v>35</v>
      </c>
      <c r="M403" t="s">
        <v>38</v>
      </c>
      <c r="N403">
        <v>4</v>
      </c>
      <c r="O403">
        <v>0.83333333333333337</v>
      </c>
      <c r="P403">
        <v>80.5</v>
      </c>
      <c r="Q403" t="s">
        <v>39</v>
      </c>
      <c r="R403" t="s">
        <v>39</v>
      </c>
      <c r="T403" t="s">
        <v>40</v>
      </c>
      <c r="U403" s="1">
        <v>45838</v>
      </c>
    </row>
    <row r="404" spans="1:21" x14ac:dyDescent="0.3">
      <c r="A404">
        <v>398</v>
      </c>
      <c r="B404">
        <v>133</v>
      </c>
      <c r="C404">
        <v>2</v>
      </c>
      <c r="D404" t="s">
        <v>20</v>
      </c>
      <c r="E404" t="s">
        <v>23</v>
      </c>
      <c r="F404">
        <v>25</v>
      </c>
      <c r="G404" t="s">
        <v>27</v>
      </c>
      <c r="I404" t="s">
        <v>33</v>
      </c>
      <c r="J404" s="1">
        <v>45744</v>
      </c>
      <c r="K404" t="s">
        <v>34</v>
      </c>
      <c r="L404" t="s">
        <v>36</v>
      </c>
      <c r="M404" t="s">
        <v>38</v>
      </c>
      <c r="N404">
        <v>4</v>
      </c>
      <c r="O404">
        <v>0.75</v>
      </c>
      <c r="P404">
        <v>77</v>
      </c>
      <c r="Q404" t="s">
        <v>39</v>
      </c>
      <c r="R404" t="s">
        <v>39</v>
      </c>
      <c r="T404" t="s">
        <v>40</v>
      </c>
      <c r="U404" s="1">
        <v>45838</v>
      </c>
    </row>
    <row r="405" spans="1:21" x14ac:dyDescent="0.3">
      <c r="A405">
        <v>399</v>
      </c>
      <c r="B405">
        <v>133</v>
      </c>
      <c r="C405">
        <v>3</v>
      </c>
      <c r="D405" t="s">
        <v>20</v>
      </c>
      <c r="E405" t="s">
        <v>23</v>
      </c>
      <c r="F405">
        <v>25</v>
      </c>
      <c r="G405" t="s">
        <v>27</v>
      </c>
      <c r="I405" t="s">
        <v>33</v>
      </c>
      <c r="J405" s="1">
        <v>45744</v>
      </c>
      <c r="K405" t="s">
        <v>34</v>
      </c>
      <c r="L405" t="s">
        <v>37</v>
      </c>
      <c r="M405" t="s">
        <v>38</v>
      </c>
      <c r="N405">
        <v>4</v>
      </c>
      <c r="O405">
        <v>0.85416666666666663</v>
      </c>
      <c r="P405">
        <v>60.5</v>
      </c>
      <c r="Q405" t="s">
        <v>39</v>
      </c>
      <c r="R405" t="s">
        <v>39</v>
      </c>
      <c r="T405" t="s">
        <v>40</v>
      </c>
      <c r="U405" s="1">
        <v>45838</v>
      </c>
    </row>
    <row r="406" spans="1:21" x14ac:dyDescent="0.3">
      <c r="A406">
        <v>400</v>
      </c>
      <c r="B406">
        <v>134</v>
      </c>
      <c r="C406">
        <v>1</v>
      </c>
      <c r="D406" t="s">
        <v>19</v>
      </c>
      <c r="E406" t="s">
        <v>22</v>
      </c>
      <c r="F406">
        <v>33</v>
      </c>
      <c r="G406" t="s">
        <v>29</v>
      </c>
      <c r="I406" t="s">
        <v>32</v>
      </c>
      <c r="J406" s="1">
        <v>45782</v>
      </c>
      <c r="K406" t="s">
        <v>34</v>
      </c>
      <c r="L406" t="s">
        <v>35</v>
      </c>
      <c r="M406" t="s">
        <v>38</v>
      </c>
      <c r="N406">
        <v>4</v>
      </c>
      <c r="O406">
        <v>0.79166666666666663</v>
      </c>
      <c r="P406">
        <v>64</v>
      </c>
      <c r="Q406" t="s">
        <v>39</v>
      </c>
      <c r="R406" t="s">
        <v>40</v>
      </c>
      <c r="T406" t="s">
        <v>40</v>
      </c>
      <c r="U406" s="1">
        <v>45838</v>
      </c>
    </row>
    <row r="407" spans="1:21" x14ac:dyDescent="0.3">
      <c r="A407">
        <v>401</v>
      </c>
      <c r="B407">
        <v>134</v>
      </c>
      <c r="C407">
        <v>2</v>
      </c>
      <c r="D407" t="s">
        <v>19</v>
      </c>
      <c r="E407" t="s">
        <v>22</v>
      </c>
      <c r="F407">
        <v>33</v>
      </c>
      <c r="G407" t="s">
        <v>29</v>
      </c>
      <c r="I407" t="s">
        <v>32</v>
      </c>
      <c r="J407" s="1">
        <v>45782</v>
      </c>
      <c r="K407" t="s">
        <v>34</v>
      </c>
      <c r="L407" t="s">
        <v>36</v>
      </c>
      <c r="M407" t="s">
        <v>38</v>
      </c>
      <c r="N407">
        <v>4</v>
      </c>
      <c r="O407">
        <v>0.77083333333333337</v>
      </c>
      <c r="P407">
        <v>63.5</v>
      </c>
      <c r="Q407" t="s">
        <v>39</v>
      </c>
      <c r="R407" t="s">
        <v>40</v>
      </c>
      <c r="T407" t="s">
        <v>40</v>
      </c>
      <c r="U407" s="1">
        <v>45838</v>
      </c>
    </row>
    <row r="408" spans="1:21" x14ac:dyDescent="0.3">
      <c r="A408">
        <v>402</v>
      </c>
      <c r="B408">
        <v>134</v>
      </c>
      <c r="C408">
        <v>3</v>
      </c>
      <c r="D408" t="s">
        <v>20</v>
      </c>
      <c r="E408" t="s">
        <v>22</v>
      </c>
      <c r="F408">
        <v>33</v>
      </c>
      <c r="G408" t="s">
        <v>29</v>
      </c>
      <c r="I408" t="s">
        <v>32</v>
      </c>
      <c r="J408" s="1">
        <v>45782</v>
      </c>
      <c r="K408" t="s">
        <v>34</v>
      </c>
      <c r="L408" t="s">
        <v>37</v>
      </c>
      <c r="M408" t="s">
        <v>38</v>
      </c>
      <c r="N408">
        <v>4</v>
      </c>
      <c r="O408">
        <v>0.83333333333333337</v>
      </c>
      <c r="P408">
        <v>66</v>
      </c>
      <c r="Q408" t="s">
        <v>39</v>
      </c>
      <c r="R408" t="s">
        <v>40</v>
      </c>
      <c r="T408" t="s">
        <v>40</v>
      </c>
      <c r="U408" s="1">
        <v>45838</v>
      </c>
    </row>
    <row r="409" spans="1:21" x14ac:dyDescent="0.3">
      <c r="A409">
        <v>403</v>
      </c>
      <c r="B409">
        <v>135</v>
      </c>
      <c r="C409">
        <v>1</v>
      </c>
      <c r="D409" t="s">
        <v>19</v>
      </c>
      <c r="E409" t="s">
        <v>22</v>
      </c>
      <c r="F409">
        <v>29</v>
      </c>
      <c r="G409" t="s">
        <v>29</v>
      </c>
      <c r="I409" t="s">
        <v>30</v>
      </c>
      <c r="J409" s="1">
        <v>45729</v>
      </c>
      <c r="K409" t="s">
        <v>34</v>
      </c>
      <c r="L409" t="s">
        <v>35</v>
      </c>
      <c r="M409" t="s">
        <v>38</v>
      </c>
      <c r="N409">
        <v>4</v>
      </c>
      <c r="O409">
        <v>0.9375</v>
      </c>
      <c r="P409">
        <v>59</v>
      </c>
      <c r="Q409" t="s">
        <v>39</v>
      </c>
      <c r="R409" t="s">
        <v>39</v>
      </c>
      <c r="T409" t="s">
        <v>40</v>
      </c>
      <c r="U409" s="1">
        <v>45838</v>
      </c>
    </row>
    <row r="410" spans="1:21" x14ac:dyDescent="0.3">
      <c r="A410">
        <v>404</v>
      </c>
      <c r="B410">
        <v>135</v>
      </c>
      <c r="C410">
        <v>2</v>
      </c>
      <c r="D410" t="s">
        <v>20</v>
      </c>
      <c r="E410" t="s">
        <v>22</v>
      </c>
      <c r="F410">
        <v>29</v>
      </c>
      <c r="G410" t="s">
        <v>29</v>
      </c>
      <c r="I410" t="s">
        <v>30</v>
      </c>
      <c r="J410" s="1">
        <v>45729</v>
      </c>
      <c r="K410" t="s">
        <v>34</v>
      </c>
      <c r="L410" t="s">
        <v>36</v>
      </c>
      <c r="M410" t="s">
        <v>38</v>
      </c>
      <c r="N410">
        <v>4</v>
      </c>
      <c r="O410">
        <v>0.83333333333333337</v>
      </c>
      <c r="P410">
        <v>70</v>
      </c>
      <c r="Q410" t="s">
        <v>39</v>
      </c>
      <c r="R410" t="s">
        <v>39</v>
      </c>
      <c r="T410" t="s">
        <v>40</v>
      </c>
      <c r="U410" s="1">
        <v>45838</v>
      </c>
    </row>
    <row r="411" spans="1:21" x14ac:dyDescent="0.3">
      <c r="A411">
        <v>405</v>
      </c>
      <c r="B411">
        <v>135</v>
      </c>
      <c r="C411">
        <v>3</v>
      </c>
      <c r="D411" t="s">
        <v>19</v>
      </c>
      <c r="E411" t="s">
        <v>22</v>
      </c>
      <c r="F411">
        <v>29</v>
      </c>
      <c r="G411" t="s">
        <v>29</v>
      </c>
      <c r="I411" t="s">
        <v>30</v>
      </c>
      <c r="J411" s="1">
        <v>45729</v>
      </c>
      <c r="K411" t="s">
        <v>34</v>
      </c>
      <c r="L411" t="s">
        <v>37</v>
      </c>
      <c r="M411" t="s">
        <v>38</v>
      </c>
      <c r="N411">
        <v>4</v>
      </c>
      <c r="O411">
        <v>0.91666666666666663</v>
      </c>
      <c r="P411">
        <v>54.5</v>
      </c>
      <c r="Q411" t="s">
        <v>39</v>
      </c>
      <c r="R411" t="s">
        <v>39</v>
      </c>
      <c r="T411" t="s">
        <v>40</v>
      </c>
      <c r="U411" s="1">
        <v>45838</v>
      </c>
    </row>
    <row r="412" spans="1:21" x14ac:dyDescent="0.3">
      <c r="A412">
        <v>406</v>
      </c>
      <c r="B412">
        <v>136</v>
      </c>
      <c r="C412">
        <v>1</v>
      </c>
      <c r="D412" t="s">
        <v>21</v>
      </c>
      <c r="E412" t="s">
        <v>23</v>
      </c>
      <c r="F412">
        <v>35</v>
      </c>
      <c r="G412" t="s">
        <v>25</v>
      </c>
      <c r="I412" t="s">
        <v>32</v>
      </c>
      <c r="J412" s="1">
        <v>45679</v>
      </c>
      <c r="K412" t="s">
        <v>34</v>
      </c>
      <c r="L412" t="s">
        <v>35</v>
      </c>
      <c r="M412" t="s">
        <v>38</v>
      </c>
      <c r="N412">
        <v>4</v>
      </c>
      <c r="O412">
        <v>0.83333333333333337</v>
      </c>
      <c r="P412">
        <v>73</v>
      </c>
      <c r="Q412" t="s">
        <v>40</v>
      </c>
      <c r="R412" t="s">
        <v>40</v>
      </c>
      <c r="T412" t="s">
        <v>40</v>
      </c>
      <c r="U412" s="1">
        <v>45838</v>
      </c>
    </row>
    <row r="413" spans="1:21" x14ac:dyDescent="0.3">
      <c r="A413">
        <v>407</v>
      </c>
      <c r="B413">
        <v>136</v>
      </c>
      <c r="C413">
        <v>2</v>
      </c>
      <c r="D413" t="s">
        <v>21</v>
      </c>
      <c r="E413" t="s">
        <v>23</v>
      </c>
      <c r="F413">
        <v>35</v>
      </c>
      <c r="G413" t="s">
        <v>25</v>
      </c>
      <c r="I413" t="s">
        <v>32</v>
      </c>
      <c r="J413" s="1">
        <v>45679</v>
      </c>
      <c r="K413" t="s">
        <v>34</v>
      </c>
      <c r="L413" t="s">
        <v>36</v>
      </c>
      <c r="M413" t="s">
        <v>38</v>
      </c>
      <c r="N413">
        <v>4</v>
      </c>
      <c r="O413">
        <v>0.83333333333333337</v>
      </c>
      <c r="P413">
        <v>70</v>
      </c>
      <c r="Q413" t="s">
        <v>40</v>
      </c>
      <c r="R413" t="s">
        <v>40</v>
      </c>
      <c r="T413" t="s">
        <v>40</v>
      </c>
      <c r="U413" s="1">
        <v>45838</v>
      </c>
    </row>
    <row r="414" spans="1:21" x14ac:dyDescent="0.3">
      <c r="A414">
        <v>408</v>
      </c>
      <c r="B414">
        <v>136</v>
      </c>
      <c r="C414">
        <v>3</v>
      </c>
      <c r="D414" t="s">
        <v>19</v>
      </c>
      <c r="E414" t="s">
        <v>23</v>
      </c>
      <c r="F414">
        <v>35</v>
      </c>
      <c r="G414" t="s">
        <v>25</v>
      </c>
      <c r="I414" t="s">
        <v>32</v>
      </c>
      <c r="J414" s="1">
        <v>45679</v>
      </c>
      <c r="K414" t="s">
        <v>34</v>
      </c>
      <c r="L414" t="s">
        <v>37</v>
      </c>
      <c r="M414" t="s">
        <v>38</v>
      </c>
      <c r="N414">
        <v>4</v>
      </c>
      <c r="O414">
        <v>0.8125</v>
      </c>
      <c r="P414">
        <v>51</v>
      </c>
      <c r="Q414" t="s">
        <v>40</v>
      </c>
      <c r="R414" t="s">
        <v>40</v>
      </c>
      <c r="T414" t="s">
        <v>40</v>
      </c>
      <c r="U414" s="1">
        <v>45838</v>
      </c>
    </row>
    <row r="415" spans="1:21" x14ac:dyDescent="0.3">
      <c r="A415">
        <v>409</v>
      </c>
      <c r="B415">
        <v>137</v>
      </c>
      <c r="C415">
        <v>1</v>
      </c>
      <c r="D415" t="s">
        <v>19</v>
      </c>
      <c r="E415" t="s">
        <v>22</v>
      </c>
      <c r="F415">
        <v>31</v>
      </c>
      <c r="G415" t="s">
        <v>27</v>
      </c>
      <c r="I415" t="s">
        <v>32</v>
      </c>
      <c r="J415" s="1">
        <v>45779</v>
      </c>
      <c r="K415" t="s">
        <v>34</v>
      </c>
      <c r="L415" t="s">
        <v>35</v>
      </c>
      <c r="M415" t="s">
        <v>38</v>
      </c>
      <c r="N415">
        <v>4</v>
      </c>
      <c r="O415">
        <v>0.89583333333333337</v>
      </c>
      <c r="P415">
        <v>64</v>
      </c>
      <c r="Q415" t="s">
        <v>39</v>
      </c>
      <c r="R415" t="s">
        <v>40</v>
      </c>
      <c r="T415" t="s">
        <v>40</v>
      </c>
      <c r="U415" s="1">
        <v>45838</v>
      </c>
    </row>
    <row r="416" spans="1:21" x14ac:dyDescent="0.3">
      <c r="A416">
        <v>410</v>
      </c>
      <c r="B416">
        <v>137</v>
      </c>
      <c r="C416">
        <v>2</v>
      </c>
      <c r="D416" t="s">
        <v>19</v>
      </c>
      <c r="E416" t="s">
        <v>22</v>
      </c>
      <c r="F416">
        <v>31</v>
      </c>
      <c r="G416" t="s">
        <v>27</v>
      </c>
      <c r="I416" t="s">
        <v>32</v>
      </c>
      <c r="J416" s="1">
        <v>45779</v>
      </c>
      <c r="K416" t="s">
        <v>34</v>
      </c>
      <c r="L416" t="s">
        <v>36</v>
      </c>
      <c r="M416" t="s">
        <v>38</v>
      </c>
      <c r="N416">
        <v>4</v>
      </c>
      <c r="O416">
        <v>0.75</v>
      </c>
      <c r="P416">
        <v>74</v>
      </c>
      <c r="Q416" t="s">
        <v>39</v>
      </c>
      <c r="R416" t="s">
        <v>40</v>
      </c>
      <c r="T416" t="s">
        <v>40</v>
      </c>
      <c r="U416" s="1">
        <v>45838</v>
      </c>
    </row>
    <row r="417" spans="1:21" x14ac:dyDescent="0.3">
      <c r="A417">
        <v>411</v>
      </c>
      <c r="B417">
        <v>137</v>
      </c>
      <c r="C417">
        <v>3</v>
      </c>
      <c r="D417" t="s">
        <v>19</v>
      </c>
      <c r="E417" t="s">
        <v>22</v>
      </c>
      <c r="F417">
        <v>31</v>
      </c>
      <c r="G417" t="s">
        <v>27</v>
      </c>
      <c r="I417" t="s">
        <v>32</v>
      </c>
      <c r="J417" s="1">
        <v>45779</v>
      </c>
      <c r="K417" t="s">
        <v>34</v>
      </c>
      <c r="L417" t="s">
        <v>37</v>
      </c>
      <c r="M417" t="s">
        <v>38</v>
      </c>
      <c r="N417">
        <v>4</v>
      </c>
      <c r="O417">
        <v>0.8125</v>
      </c>
      <c r="P417">
        <v>61</v>
      </c>
      <c r="Q417" t="s">
        <v>39</v>
      </c>
      <c r="R417" t="s">
        <v>40</v>
      </c>
      <c r="T417" t="s">
        <v>40</v>
      </c>
      <c r="U417" s="1">
        <v>45838</v>
      </c>
    </row>
    <row r="418" spans="1:21" x14ac:dyDescent="0.3">
      <c r="A418">
        <v>412</v>
      </c>
      <c r="B418">
        <v>138</v>
      </c>
      <c r="C418">
        <v>1</v>
      </c>
      <c r="D418" t="s">
        <v>21</v>
      </c>
      <c r="E418" t="s">
        <v>23</v>
      </c>
      <c r="F418">
        <v>32</v>
      </c>
      <c r="G418" t="s">
        <v>25</v>
      </c>
      <c r="I418" t="s">
        <v>31</v>
      </c>
      <c r="J418" s="1">
        <v>45733</v>
      </c>
      <c r="K418" t="s">
        <v>34</v>
      </c>
      <c r="L418" t="s">
        <v>35</v>
      </c>
      <c r="M418" t="s">
        <v>38</v>
      </c>
      <c r="N418">
        <v>4</v>
      </c>
      <c r="O418">
        <v>0.83333333333333337</v>
      </c>
      <c r="P418">
        <v>77.5</v>
      </c>
      <c r="Q418" t="s">
        <v>40</v>
      </c>
      <c r="R418" t="s">
        <v>40</v>
      </c>
      <c r="T418" t="s">
        <v>40</v>
      </c>
      <c r="U418" s="1">
        <v>45838</v>
      </c>
    </row>
    <row r="419" spans="1:21" x14ac:dyDescent="0.3">
      <c r="A419">
        <v>413</v>
      </c>
      <c r="B419">
        <v>138</v>
      </c>
      <c r="C419">
        <v>2</v>
      </c>
      <c r="D419" t="s">
        <v>19</v>
      </c>
      <c r="E419" t="s">
        <v>23</v>
      </c>
      <c r="F419">
        <v>32</v>
      </c>
      <c r="G419" t="s">
        <v>25</v>
      </c>
      <c r="I419" t="s">
        <v>31</v>
      </c>
      <c r="J419" s="1">
        <v>45733</v>
      </c>
      <c r="K419" t="s">
        <v>34</v>
      </c>
      <c r="L419" t="s">
        <v>36</v>
      </c>
      <c r="M419" t="s">
        <v>38</v>
      </c>
      <c r="N419">
        <v>4</v>
      </c>
      <c r="O419">
        <v>0.77083333333333337</v>
      </c>
      <c r="P419">
        <v>59</v>
      </c>
      <c r="Q419" t="s">
        <v>40</v>
      </c>
      <c r="R419" t="s">
        <v>40</v>
      </c>
      <c r="T419" t="s">
        <v>40</v>
      </c>
      <c r="U419" s="1">
        <v>45838</v>
      </c>
    </row>
    <row r="420" spans="1:21" x14ac:dyDescent="0.3">
      <c r="A420">
        <v>414</v>
      </c>
      <c r="B420">
        <v>138</v>
      </c>
      <c r="C420">
        <v>3</v>
      </c>
      <c r="D420" t="s">
        <v>20</v>
      </c>
      <c r="E420" t="s">
        <v>23</v>
      </c>
      <c r="F420">
        <v>32</v>
      </c>
      <c r="G420" t="s">
        <v>25</v>
      </c>
      <c r="I420" t="s">
        <v>31</v>
      </c>
      <c r="J420" s="1">
        <v>45733</v>
      </c>
      <c r="K420" t="s">
        <v>34</v>
      </c>
      <c r="L420" t="s">
        <v>37</v>
      </c>
      <c r="M420" t="s">
        <v>38</v>
      </c>
      <c r="N420">
        <v>4</v>
      </c>
      <c r="O420">
        <v>0.83333333333333337</v>
      </c>
      <c r="P420">
        <v>69.5</v>
      </c>
      <c r="Q420" t="s">
        <v>40</v>
      </c>
      <c r="R420" t="s">
        <v>40</v>
      </c>
      <c r="T420" t="s">
        <v>40</v>
      </c>
      <c r="U420" s="1">
        <v>45838</v>
      </c>
    </row>
    <row r="421" spans="1:21" x14ac:dyDescent="0.3">
      <c r="A421">
        <v>415</v>
      </c>
      <c r="B421">
        <v>139</v>
      </c>
      <c r="C421">
        <v>1</v>
      </c>
      <c r="D421" t="s">
        <v>19</v>
      </c>
      <c r="E421" t="s">
        <v>22</v>
      </c>
      <c r="F421">
        <v>30</v>
      </c>
      <c r="G421" t="s">
        <v>24</v>
      </c>
      <c r="I421" t="s">
        <v>32</v>
      </c>
      <c r="J421" s="1">
        <v>45736</v>
      </c>
      <c r="K421" t="s">
        <v>34</v>
      </c>
      <c r="L421" t="s">
        <v>35</v>
      </c>
      <c r="M421" t="s">
        <v>38</v>
      </c>
      <c r="N421">
        <v>4</v>
      </c>
      <c r="O421">
        <v>0.83333333333333337</v>
      </c>
      <c r="P421">
        <v>86</v>
      </c>
      <c r="Q421" t="s">
        <v>39</v>
      </c>
      <c r="R421" t="s">
        <v>40</v>
      </c>
      <c r="T421" t="s">
        <v>40</v>
      </c>
      <c r="U421" s="1">
        <v>45838</v>
      </c>
    </row>
    <row r="422" spans="1:21" x14ac:dyDescent="0.3">
      <c r="A422">
        <v>416</v>
      </c>
      <c r="B422">
        <v>139</v>
      </c>
      <c r="C422">
        <v>2</v>
      </c>
      <c r="D422" t="s">
        <v>21</v>
      </c>
      <c r="E422" t="s">
        <v>22</v>
      </c>
      <c r="F422">
        <v>30</v>
      </c>
      <c r="G422" t="s">
        <v>24</v>
      </c>
      <c r="I422" t="s">
        <v>32</v>
      </c>
      <c r="J422" s="1">
        <v>45736</v>
      </c>
      <c r="K422" t="s">
        <v>34</v>
      </c>
      <c r="L422" t="s">
        <v>36</v>
      </c>
      <c r="M422" t="s">
        <v>38</v>
      </c>
      <c r="N422">
        <v>4</v>
      </c>
      <c r="O422">
        <v>0.89583333333333337</v>
      </c>
      <c r="P422">
        <v>73</v>
      </c>
      <c r="Q422" t="s">
        <v>39</v>
      </c>
      <c r="R422" t="s">
        <v>40</v>
      </c>
      <c r="T422" t="s">
        <v>40</v>
      </c>
      <c r="U422" s="1">
        <v>45838</v>
      </c>
    </row>
    <row r="423" spans="1:21" x14ac:dyDescent="0.3">
      <c r="A423">
        <v>417</v>
      </c>
      <c r="B423">
        <v>139</v>
      </c>
      <c r="C423">
        <v>3</v>
      </c>
      <c r="D423" t="s">
        <v>19</v>
      </c>
      <c r="E423" t="s">
        <v>22</v>
      </c>
      <c r="F423">
        <v>30</v>
      </c>
      <c r="G423" t="s">
        <v>24</v>
      </c>
      <c r="I423" t="s">
        <v>32</v>
      </c>
      <c r="J423" s="1">
        <v>45736</v>
      </c>
      <c r="K423" t="s">
        <v>34</v>
      </c>
      <c r="L423" t="s">
        <v>37</v>
      </c>
      <c r="M423" t="s">
        <v>38</v>
      </c>
      <c r="N423">
        <v>4</v>
      </c>
      <c r="O423">
        <v>0.83333333333333337</v>
      </c>
      <c r="P423">
        <v>64.5</v>
      </c>
      <c r="Q423" t="s">
        <v>39</v>
      </c>
      <c r="R423" t="s">
        <v>40</v>
      </c>
      <c r="T423" t="s">
        <v>40</v>
      </c>
      <c r="U423" s="1">
        <v>45838</v>
      </c>
    </row>
    <row r="424" spans="1:21" x14ac:dyDescent="0.3">
      <c r="A424">
        <v>418</v>
      </c>
      <c r="B424">
        <v>140</v>
      </c>
      <c r="C424">
        <v>1</v>
      </c>
      <c r="D424" t="s">
        <v>20</v>
      </c>
      <c r="E424" t="s">
        <v>23</v>
      </c>
      <c r="F424">
        <v>33</v>
      </c>
      <c r="G424" t="s">
        <v>26</v>
      </c>
      <c r="I424" t="s">
        <v>30</v>
      </c>
      <c r="J424" s="1">
        <v>45766</v>
      </c>
      <c r="K424" t="s">
        <v>34</v>
      </c>
      <c r="L424" t="s">
        <v>35</v>
      </c>
      <c r="M424" t="s">
        <v>38</v>
      </c>
      <c r="N424">
        <v>4</v>
      </c>
      <c r="O424">
        <v>0.89583333333333337</v>
      </c>
      <c r="P424">
        <v>79.5</v>
      </c>
      <c r="Q424" t="s">
        <v>39</v>
      </c>
      <c r="R424" t="s">
        <v>39</v>
      </c>
      <c r="T424" t="s">
        <v>39</v>
      </c>
      <c r="U424" s="1">
        <v>45838</v>
      </c>
    </row>
    <row r="425" spans="1:21" x14ac:dyDescent="0.3">
      <c r="A425">
        <v>419</v>
      </c>
      <c r="B425">
        <v>140</v>
      </c>
      <c r="C425">
        <v>2</v>
      </c>
      <c r="D425" t="s">
        <v>21</v>
      </c>
      <c r="E425" t="s">
        <v>23</v>
      </c>
      <c r="F425">
        <v>33</v>
      </c>
      <c r="G425" t="s">
        <v>26</v>
      </c>
      <c r="I425" t="s">
        <v>30</v>
      </c>
      <c r="J425" s="1">
        <v>45766</v>
      </c>
      <c r="K425" t="s">
        <v>34</v>
      </c>
      <c r="L425" t="s">
        <v>36</v>
      </c>
      <c r="M425" t="s">
        <v>38</v>
      </c>
      <c r="N425">
        <v>4</v>
      </c>
      <c r="O425">
        <v>0.875</v>
      </c>
      <c r="P425">
        <v>68.5</v>
      </c>
      <c r="Q425" t="s">
        <v>39</v>
      </c>
      <c r="R425" t="s">
        <v>39</v>
      </c>
      <c r="T425" t="s">
        <v>39</v>
      </c>
      <c r="U425" s="1">
        <v>45838</v>
      </c>
    </row>
    <row r="426" spans="1:21" x14ac:dyDescent="0.3">
      <c r="A426">
        <v>420</v>
      </c>
      <c r="B426">
        <v>140</v>
      </c>
      <c r="C426">
        <v>3</v>
      </c>
      <c r="D426" t="s">
        <v>19</v>
      </c>
      <c r="E426" t="s">
        <v>23</v>
      </c>
      <c r="F426">
        <v>33</v>
      </c>
      <c r="G426" t="s">
        <v>26</v>
      </c>
      <c r="I426" t="s">
        <v>30</v>
      </c>
      <c r="J426" s="1">
        <v>45766</v>
      </c>
      <c r="K426" t="s">
        <v>34</v>
      </c>
      <c r="L426" t="s">
        <v>37</v>
      </c>
      <c r="M426" t="s">
        <v>38</v>
      </c>
      <c r="N426">
        <v>4</v>
      </c>
      <c r="O426">
        <v>0.875</v>
      </c>
      <c r="P426">
        <v>88</v>
      </c>
      <c r="Q426" t="s">
        <v>39</v>
      </c>
      <c r="R426" t="s">
        <v>39</v>
      </c>
      <c r="T426" t="s">
        <v>39</v>
      </c>
      <c r="U426" s="1">
        <v>45838</v>
      </c>
    </row>
    <row r="427" spans="1:21" x14ac:dyDescent="0.3">
      <c r="A427">
        <v>421</v>
      </c>
      <c r="B427">
        <v>141</v>
      </c>
      <c r="C427">
        <v>1</v>
      </c>
      <c r="D427" t="s">
        <v>20</v>
      </c>
      <c r="E427" t="s">
        <v>23</v>
      </c>
      <c r="F427">
        <v>29</v>
      </c>
      <c r="G427" t="s">
        <v>24</v>
      </c>
      <c r="I427" t="s">
        <v>33</v>
      </c>
      <c r="J427" s="1">
        <v>45727</v>
      </c>
      <c r="K427" t="s">
        <v>34</v>
      </c>
      <c r="L427" t="s">
        <v>35</v>
      </c>
      <c r="M427" t="s">
        <v>38</v>
      </c>
      <c r="N427">
        <v>4</v>
      </c>
      <c r="O427">
        <v>0.89583333333333337</v>
      </c>
      <c r="P427">
        <v>80.5</v>
      </c>
      <c r="Q427" t="s">
        <v>39</v>
      </c>
      <c r="R427" t="s">
        <v>40</v>
      </c>
      <c r="T427" t="s">
        <v>40</v>
      </c>
      <c r="U427" s="1">
        <v>45838</v>
      </c>
    </row>
    <row r="428" spans="1:21" x14ac:dyDescent="0.3">
      <c r="A428">
        <v>422</v>
      </c>
      <c r="B428">
        <v>141</v>
      </c>
      <c r="C428">
        <v>2</v>
      </c>
      <c r="D428" t="s">
        <v>19</v>
      </c>
      <c r="E428" t="s">
        <v>23</v>
      </c>
      <c r="F428">
        <v>29</v>
      </c>
      <c r="G428" t="s">
        <v>24</v>
      </c>
      <c r="I428" t="s">
        <v>33</v>
      </c>
      <c r="J428" s="1">
        <v>45727</v>
      </c>
      <c r="K428" t="s">
        <v>34</v>
      </c>
      <c r="L428" t="s">
        <v>36</v>
      </c>
      <c r="M428" t="s">
        <v>38</v>
      </c>
      <c r="N428">
        <v>4</v>
      </c>
      <c r="O428">
        <v>0.79166666666666663</v>
      </c>
      <c r="P428">
        <v>59.5</v>
      </c>
      <c r="Q428" t="s">
        <v>39</v>
      </c>
      <c r="R428" t="s">
        <v>40</v>
      </c>
      <c r="T428" t="s">
        <v>40</v>
      </c>
      <c r="U428" s="1">
        <v>45838</v>
      </c>
    </row>
    <row r="429" spans="1:21" x14ac:dyDescent="0.3">
      <c r="A429">
        <v>423</v>
      </c>
      <c r="B429">
        <v>141</v>
      </c>
      <c r="C429">
        <v>3</v>
      </c>
      <c r="D429" t="s">
        <v>19</v>
      </c>
      <c r="E429" t="s">
        <v>23</v>
      </c>
      <c r="F429">
        <v>29</v>
      </c>
      <c r="G429" t="s">
        <v>24</v>
      </c>
      <c r="I429" t="s">
        <v>33</v>
      </c>
      <c r="J429" s="1">
        <v>45727</v>
      </c>
      <c r="K429" t="s">
        <v>34</v>
      </c>
      <c r="L429" t="s">
        <v>37</v>
      </c>
      <c r="M429" t="s">
        <v>38</v>
      </c>
      <c r="N429">
        <v>4</v>
      </c>
      <c r="O429">
        <v>0.75</v>
      </c>
      <c r="P429">
        <v>88</v>
      </c>
      <c r="Q429" t="s">
        <v>39</v>
      </c>
      <c r="R429" t="s">
        <v>40</v>
      </c>
      <c r="T429" t="s">
        <v>40</v>
      </c>
      <c r="U429" s="1">
        <v>45838</v>
      </c>
    </row>
    <row r="430" spans="1:21" x14ac:dyDescent="0.3">
      <c r="A430">
        <v>424</v>
      </c>
      <c r="B430">
        <v>142</v>
      </c>
      <c r="C430">
        <v>1</v>
      </c>
      <c r="D430" t="s">
        <v>21</v>
      </c>
      <c r="E430" t="s">
        <v>23</v>
      </c>
      <c r="F430">
        <v>26</v>
      </c>
      <c r="G430" t="s">
        <v>28</v>
      </c>
      <c r="I430" t="s">
        <v>31</v>
      </c>
      <c r="J430" s="1">
        <v>45707</v>
      </c>
      <c r="K430" t="s">
        <v>34</v>
      </c>
      <c r="L430" t="s">
        <v>35</v>
      </c>
      <c r="M430" t="s">
        <v>38</v>
      </c>
      <c r="N430">
        <v>4</v>
      </c>
      <c r="O430">
        <v>0.89583333333333337</v>
      </c>
      <c r="P430">
        <v>77.5</v>
      </c>
      <c r="Q430" t="s">
        <v>39</v>
      </c>
      <c r="R430" t="s">
        <v>40</v>
      </c>
      <c r="T430" t="s">
        <v>40</v>
      </c>
      <c r="U430" s="1">
        <v>45838</v>
      </c>
    </row>
    <row r="431" spans="1:21" x14ac:dyDescent="0.3">
      <c r="A431">
        <v>425</v>
      </c>
      <c r="B431">
        <v>142</v>
      </c>
      <c r="C431">
        <v>2</v>
      </c>
      <c r="D431" t="s">
        <v>19</v>
      </c>
      <c r="E431" t="s">
        <v>23</v>
      </c>
      <c r="F431">
        <v>26</v>
      </c>
      <c r="G431" t="s">
        <v>28</v>
      </c>
      <c r="I431" t="s">
        <v>31</v>
      </c>
      <c r="J431" s="1">
        <v>45707</v>
      </c>
      <c r="K431" t="s">
        <v>34</v>
      </c>
      <c r="L431" t="s">
        <v>36</v>
      </c>
      <c r="M431" t="s">
        <v>38</v>
      </c>
      <c r="N431">
        <v>4</v>
      </c>
      <c r="O431">
        <v>0.8125</v>
      </c>
      <c r="P431">
        <v>61.5</v>
      </c>
      <c r="Q431" t="s">
        <v>39</v>
      </c>
      <c r="R431" t="s">
        <v>40</v>
      </c>
      <c r="T431" t="s">
        <v>40</v>
      </c>
      <c r="U431" s="1">
        <v>45838</v>
      </c>
    </row>
    <row r="432" spans="1:21" x14ac:dyDescent="0.3">
      <c r="A432">
        <v>426</v>
      </c>
      <c r="B432">
        <v>142</v>
      </c>
      <c r="C432">
        <v>3</v>
      </c>
      <c r="D432" t="s">
        <v>21</v>
      </c>
      <c r="E432" t="s">
        <v>23</v>
      </c>
      <c r="F432">
        <v>26</v>
      </c>
      <c r="G432" t="s">
        <v>28</v>
      </c>
      <c r="I432" t="s">
        <v>31</v>
      </c>
      <c r="J432" s="1">
        <v>45707</v>
      </c>
      <c r="K432" t="s">
        <v>34</v>
      </c>
      <c r="L432" t="s">
        <v>37</v>
      </c>
      <c r="M432" t="s">
        <v>38</v>
      </c>
      <c r="N432">
        <v>4</v>
      </c>
      <c r="O432">
        <v>0.85416666666666663</v>
      </c>
      <c r="P432">
        <v>79.5</v>
      </c>
      <c r="Q432" t="s">
        <v>39</v>
      </c>
      <c r="R432" t="s">
        <v>40</v>
      </c>
      <c r="T432" t="s">
        <v>40</v>
      </c>
      <c r="U432" s="1">
        <v>45838</v>
      </c>
    </row>
    <row r="433" spans="1:21" x14ac:dyDescent="0.3">
      <c r="A433">
        <v>427</v>
      </c>
      <c r="B433">
        <v>143</v>
      </c>
      <c r="C433">
        <v>1</v>
      </c>
      <c r="D433" t="s">
        <v>20</v>
      </c>
      <c r="E433" t="s">
        <v>23</v>
      </c>
      <c r="F433">
        <v>21</v>
      </c>
      <c r="G433" t="s">
        <v>24</v>
      </c>
      <c r="I433" t="s">
        <v>32</v>
      </c>
      <c r="J433" s="1">
        <v>45707</v>
      </c>
      <c r="K433" t="s">
        <v>34</v>
      </c>
      <c r="L433" t="s">
        <v>35</v>
      </c>
      <c r="M433" t="s">
        <v>38</v>
      </c>
      <c r="N433">
        <v>4</v>
      </c>
      <c r="O433">
        <v>0.91666666666666663</v>
      </c>
      <c r="P433">
        <v>71.5</v>
      </c>
      <c r="Q433" t="s">
        <v>40</v>
      </c>
      <c r="R433" t="s">
        <v>40</v>
      </c>
      <c r="T433" t="s">
        <v>40</v>
      </c>
      <c r="U433" s="1">
        <v>45838</v>
      </c>
    </row>
    <row r="434" spans="1:21" x14ac:dyDescent="0.3">
      <c r="A434">
        <v>428</v>
      </c>
      <c r="B434">
        <v>143</v>
      </c>
      <c r="C434">
        <v>2</v>
      </c>
      <c r="D434" t="s">
        <v>19</v>
      </c>
      <c r="E434" t="s">
        <v>23</v>
      </c>
      <c r="F434">
        <v>21</v>
      </c>
      <c r="G434" t="s">
        <v>24</v>
      </c>
      <c r="I434" t="s">
        <v>32</v>
      </c>
      <c r="J434" s="1">
        <v>45707</v>
      </c>
      <c r="K434" t="s">
        <v>34</v>
      </c>
      <c r="L434" t="s">
        <v>36</v>
      </c>
      <c r="M434" t="s">
        <v>38</v>
      </c>
      <c r="N434">
        <v>4</v>
      </c>
      <c r="O434">
        <v>0.77083333333333337</v>
      </c>
      <c r="P434">
        <v>63.5</v>
      </c>
      <c r="Q434" t="s">
        <v>40</v>
      </c>
      <c r="R434" t="s">
        <v>40</v>
      </c>
      <c r="T434" t="s">
        <v>40</v>
      </c>
      <c r="U434" s="1">
        <v>45838</v>
      </c>
    </row>
    <row r="435" spans="1:21" x14ac:dyDescent="0.3">
      <c r="A435">
        <v>429</v>
      </c>
      <c r="B435">
        <v>143</v>
      </c>
      <c r="C435">
        <v>3</v>
      </c>
      <c r="D435" t="s">
        <v>21</v>
      </c>
      <c r="E435" t="s">
        <v>23</v>
      </c>
      <c r="F435">
        <v>21</v>
      </c>
      <c r="G435" t="s">
        <v>24</v>
      </c>
      <c r="I435" t="s">
        <v>32</v>
      </c>
      <c r="J435" s="1">
        <v>45707</v>
      </c>
      <c r="K435" t="s">
        <v>34</v>
      </c>
      <c r="L435" t="s">
        <v>37</v>
      </c>
      <c r="M435" t="s">
        <v>38</v>
      </c>
      <c r="N435">
        <v>4</v>
      </c>
      <c r="O435">
        <v>0.85416666666666663</v>
      </c>
      <c r="P435">
        <v>51</v>
      </c>
      <c r="Q435" t="s">
        <v>40</v>
      </c>
      <c r="R435" t="s">
        <v>40</v>
      </c>
      <c r="T435" t="s">
        <v>40</v>
      </c>
      <c r="U435" s="1">
        <v>45838</v>
      </c>
    </row>
    <row r="436" spans="1:21" x14ac:dyDescent="0.3">
      <c r="A436">
        <v>430</v>
      </c>
      <c r="B436">
        <v>144</v>
      </c>
      <c r="C436">
        <v>1</v>
      </c>
      <c r="D436" t="s">
        <v>19</v>
      </c>
      <c r="E436" t="s">
        <v>22</v>
      </c>
      <c r="F436">
        <v>33</v>
      </c>
      <c r="G436" t="s">
        <v>29</v>
      </c>
      <c r="I436" t="s">
        <v>30</v>
      </c>
      <c r="J436" s="1">
        <v>45683</v>
      </c>
      <c r="K436" t="s">
        <v>34</v>
      </c>
      <c r="L436" t="s">
        <v>35</v>
      </c>
      <c r="M436" t="s">
        <v>38</v>
      </c>
      <c r="N436">
        <v>4</v>
      </c>
      <c r="O436">
        <v>0.8125</v>
      </c>
      <c r="P436">
        <v>53.5</v>
      </c>
      <c r="Q436" t="s">
        <v>39</v>
      </c>
      <c r="R436" t="s">
        <v>39</v>
      </c>
      <c r="T436" t="s">
        <v>39</v>
      </c>
      <c r="U436" s="1">
        <v>45838</v>
      </c>
    </row>
    <row r="437" spans="1:21" x14ac:dyDescent="0.3">
      <c r="A437">
        <v>431</v>
      </c>
      <c r="B437">
        <v>144</v>
      </c>
      <c r="C437">
        <v>2</v>
      </c>
      <c r="D437" t="s">
        <v>19</v>
      </c>
      <c r="E437" t="s">
        <v>22</v>
      </c>
      <c r="F437">
        <v>33</v>
      </c>
      <c r="G437" t="s">
        <v>29</v>
      </c>
      <c r="I437" t="s">
        <v>30</v>
      </c>
      <c r="J437" s="1">
        <v>45683</v>
      </c>
      <c r="K437" t="s">
        <v>34</v>
      </c>
      <c r="L437" t="s">
        <v>36</v>
      </c>
      <c r="M437" t="s">
        <v>38</v>
      </c>
      <c r="N437">
        <v>4</v>
      </c>
      <c r="O437">
        <v>0.8125</v>
      </c>
      <c r="P437">
        <v>63</v>
      </c>
      <c r="Q437" t="s">
        <v>39</v>
      </c>
      <c r="R437" t="s">
        <v>39</v>
      </c>
      <c r="T437" t="s">
        <v>39</v>
      </c>
      <c r="U437" s="1">
        <v>45838</v>
      </c>
    </row>
    <row r="438" spans="1:21" x14ac:dyDescent="0.3">
      <c r="A438">
        <v>432</v>
      </c>
      <c r="B438">
        <v>144</v>
      </c>
      <c r="C438">
        <v>3</v>
      </c>
      <c r="D438" t="s">
        <v>20</v>
      </c>
      <c r="E438" t="s">
        <v>22</v>
      </c>
      <c r="F438">
        <v>33</v>
      </c>
      <c r="G438" t="s">
        <v>29</v>
      </c>
      <c r="I438" t="s">
        <v>30</v>
      </c>
      <c r="J438" s="1">
        <v>45683</v>
      </c>
      <c r="K438" t="s">
        <v>34</v>
      </c>
      <c r="L438" t="s">
        <v>37</v>
      </c>
      <c r="M438" t="s">
        <v>38</v>
      </c>
      <c r="N438">
        <v>4</v>
      </c>
      <c r="O438">
        <v>0.79166666666666663</v>
      </c>
      <c r="P438">
        <v>79</v>
      </c>
      <c r="Q438" t="s">
        <v>39</v>
      </c>
      <c r="R438" t="s">
        <v>39</v>
      </c>
      <c r="T438" t="s">
        <v>39</v>
      </c>
      <c r="U438" s="1">
        <v>45838</v>
      </c>
    </row>
    <row r="439" spans="1:21" x14ac:dyDescent="0.3">
      <c r="A439">
        <v>433</v>
      </c>
      <c r="B439">
        <v>145</v>
      </c>
      <c r="C439">
        <v>1</v>
      </c>
      <c r="D439" t="s">
        <v>19</v>
      </c>
      <c r="E439" t="s">
        <v>22</v>
      </c>
      <c r="F439">
        <v>27</v>
      </c>
      <c r="G439" t="s">
        <v>28</v>
      </c>
      <c r="I439" t="s">
        <v>30</v>
      </c>
      <c r="J439" s="1">
        <v>45703</v>
      </c>
      <c r="K439" t="s">
        <v>34</v>
      </c>
      <c r="L439" t="s">
        <v>35</v>
      </c>
      <c r="M439" t="s">
        <v>38</v>
      </c>
      <c r="N439">
        <v>4</v>
      </c>
      <c r="O439">
        <v>0.85416666666666663</v>
      </c>
      <c r="P439">
        <v>65</v>
      </c>
      <c r="Q439" t="s">
        <v>39</v>
      </c>
      <c r="R439" t="s">
        <v>39</v>
      </c>
      <c r="T439" t="s">
        <v>39</v>
      </c>
      <c r="U439" s="1">
        <v>45838</v>
      </c>
    </row>
    <row r="440" spans="1:21" x14ac:dyDescent="0.3">
      <c r="A440">
        <v>434</v>
      </c>
      <c r="B440">
        <v>145</v>
      </c>
      <c r="C440">
        <v>2</v>
      </c>
      <c r="D440" t="s">
        <v>19</v>
      </c>
      <c r="E440" t="s">
        <v>22</v>
      </c>
      <c r="F440">
        <v>27</v>
      </c>
      <c r="G440" t="s">
        <v>28</v>
      </c>
      <c r="I440" t="s">
        <v>30</v>
      </c>
      <c r="J440" s="1">
        <v>45703</v>
      </c>
      <c r="K440" t="s">
        <v>34</v>
      </c>
      <c r="L440" t="s">
        <v>36</v>
      </c>
      <c r="M440" t="s">
        <v>38</v>
      </c>
      <c r="N440">
        <v>4</v>
      </c>
      <c r="O440">
        <v>0.89583333333333337</v>
      </c>
      <c r="P440">
        <v>48.5</v>
      </c>
      <c r="Q440" t="s">
        <v>39</v>
      </c>
      <c r="R440" t="s">
        <v>39</v>
      </c>
      <c r="T440" t="s">
        <v>39</v>
      </c>
      <c r="U440" s="1">
        <v>45838</v>
      </c>
    </row>
    <row r="441" spans="1:21" x14ac:dyDescent="0.3">
      <c r="A441">
        <v>435</v>
      </c>
      <c r="B441">
        <v>145</v>
      </c>
      <c r="C441">
        <v>3</v>
      </c>
      <c r="D441" t="s">
        <v>20</v>
      </c>
      <c r="E441" t="s">
        <v>22</v>
      </c>
      <c r="F441">
        <v>27</v>
      </c>
      <c r="G441" t="s">
        <v>28</v>
      </c>
      <c r="I441" t="s">
        <v>30</v>
      </c>
      <c r="J441" s="1">
        <v>45703</v>
      </c>
      <c r="K441" t="s">
        <v>34</v>
      </c>
      <c r="L441" t="s">
        <v>37</v>
      </c>
      <c r="M441" t="s">
        <v>38</v>
      </c>
      <c r="N441">
        <v>4</v>
      </c>
      <c r="O441">
        <v>0.72916666666666663</v>
      </c>
      <c r="P441">
        <v>57</v>
      </c>
      <c r="Q441" t="s">
        <v>39</v>
      </c>
      <c r="R441" t="s">
        <v>39</v>
      </c>
      <c r="T441" t="s">
        <v>39</v>
      </c>
      <c r="U441" s="1">
        <v>45838</v>
      </c>
    </row>
    <row r="442" spans="1:21" x14ac:dyDescent="0.3">
      <c r="A442">
        <v>436</v>
      </c>
      <c r="B442">
        <v>146</v>
      </c>
      <c r="C442">
        <v>1</v>
      </c>
      <c r="D442" t="s">
        <v>19</v>
      </c>
      <c r="E442" t="s">
        <v>23</v>
      </c>
      <c r="F442">
        <v>18</v>
      </c>
      <c r="G442" t="s">
        <v>24</v>
      </c>
      <c r="I442" t="s">
        <v>32</v>
      </c>
      <c r="J442" s="1">
        <v>45728</v>
      </c>
      <c r="K442" t="s">
        <v>34</v>
      </c>
      <c r="L442" t="s">
        <v>35</v>
      </c>
      <c r="M442" t="s">
        <v>38</v>
      </c>
      <c r="N442">
        <v>4</v>
      </c>
      <c r="O442">
        <v>0.83333333333333337</v>
      </c>
      <c r="P442">
        <v>73.5</v>
      </c>
      <c r="Q442" t="s">
        <v>39</v>
      </c>
      <c r="R442" t="s">
        <v>40</v>
      </c>
      <c r="T442" t="s">
        <v>40</v>
      </c>
      <c r="U442" s="1">
        <v>45838</v>
      </c>
    </row>
    <row r="443" spans="1:21" x14ac:dyDescent="0.3">
      <c r="A443">
        <v>437</v>
      </c>
      <c r="B443">
        <v>146</v>
      </c>
      <c r="C443">
        <v>2</v>
      </c>
      <c r="D443" t="s">
        <v>19</v>
      </c>
      <c r="E443" t="s">
        <v>23</v>
      </c>
      <c r="F443">
        <v>18</v>
      </c>
      <c r="G443" t="s">
        <v>24</v>
      </c>
      <c r="I443" t="s">
        <v>32</v>
      </c>
      <c r="J443" s="1">
        <v>45728</v>
      </c>
      <c r="K443" t="s">
        <v>34</v>
      </c>
      <c r="L443" t="s">
        <v>36</v>
      </c>
      <c r="M443" t="s">
        <v>38</v>
      </c>
      <c r="N443">
        <v>4</v>
      </c>
      <c r="O443">
        <v>0.85416666666666663</v>
      </c>
      <c r="P443">
        <v>71.5</v>
      </c>
      <c r="Q443" t="s">
        <v>39</v>
      </c>
      <c r="R443" t="s">
        <v>40</v>
      </c>
      <c r="T443" t="s">
        <v>40</v>
      </c>
      <c r="U443" s="1">
        <v>45838</v>
      </c>
    </row>
    <row r="444" spans="1:21" x14ac:dyDescent="0.3">
      <c r="A444">
        <v>438</v>
      </c>
      <c r="B444">
        <v>146</v>
      </c>
      <c r="C444">
        <v>3</v>
      </c>
      <c r="D444" t="s">
        <v>19</v>
      </c>
      <c r="E444" t="s">
        <v>23</v>
      </c>
      <c r="F444">
        <v>18</v>
      </c>
      <c r="G444" t="s">
        <v>24</v>
      </c>
      <c r="I444" t="s">
        <v>32</v>
      </c>
      <c r="J444" s="1">
        <v>45728</v>
      </c>
      <c r="K444" t="s">
        <v>34</v>
      </c>
      <c r="L444" t="s">
        <v>37</v>
      </c>
      <c r="M444" t="s">
        <v>38</v>
      </c>
      <c r="N444">
        <v>4</v>
      </c>
      <c r="O444">
        <v>0.85416666666666663</v>
      </c>
      <c r="P444">
        <v>65</v>
      </c>
      <c r="Q444" t="s">
        <v>39</v>
      </c>
      <c r="R444" t="s">
        <v>40</v>
      </c>
      <c r="T444" t="s">
        <v>40</v>
      </c>
      <c r="U444" s="1">
        <v>45838</v>
      </c>
    </row>
    <row r="445" spans="1:21" x14ac:dyDescent="0.3">
      <c r="A445">
        <v>439</v>
      </c>
      <c r="B445">
        <v>147</v>
      </c>
      <c r="C445">
        <v>1</v>
      </c>
      <c r="D445" t="s">
        <v>19</v>
      </c>
      <c r="E445" t="s">
        <v>22</v>
      </c>
      <c r="F445">
        <v>19</v>
      </c>
      <c r="G445" t="s">
        <v>26</v>
      </c>
      <c r="I445" t="s">
        <v>30</v>
      </c>
      <c r="J445" s="1">
        <v>45690</v>
      </c>
      <c r="K445" t="s">
        <v>34</v>
      </c>
      <c r="L445" t="s">
        <v>35</v>
      </c>
      <c r="M445" t="s">
        <v>38</v>
      </c>
      <c r="N445">
        <v>4</v>
      </c>
      <c r="O445">
        <v>0.875</v>
      </c>
      <c r="P445">
        <v>54.5</v>
      </c>
      <c r="Q445" t="s">
        <v>39</v>
      </c>
      <c r="R445" t="s">
        <v>39</v>
      </c>
      <c r="T445" t="s">
        <v>40</v>
      </c>
      <c r="U445" s="1">
        <v>45838</v>
      </c>
    </row>
    <row r="446" spans="1:21" x14ac:dyDescent="0.3">
      <c r="A446">
        <v>440</v>
      </c>
      <c r="B446">
        <v>147</v>
      </c>
      <c r="C446">
        <v>2</v>
      </c>
      <c r="D446" t="s">
        <v>19</v>
      </c>
      <c r="E446" t="s">
        <v>22</v>
      </c>
      <c r="F446">
        <v>19</v>
      </c>
      <c r="G446" t="s">
        <v>26</v>
      </c>
      <c r="I446" t="s">
        <v>30</v>
      </c>
      <c r="J446" s="1">
        <v>45690</v>
      </c>
      <c r="K446" t="s">
        <v>34</v>
      </c>
      <c r="L446" t="s">
        <v>36</v>
      </c>
      <c r="M446" t="s">
        <v>38</v>
      </c>
      <c r="N446">
        <v>4</v>
      </c>
      <c r="O446">
        <v>0.85416666666666663</v>
      </c>
      <c r="P446">
        <v>80.5</v>
      </c>
      <c r="Q446" t="s">
        <v>39</v>
      </c>
      <c r="R446" t="s">
        <v>39</v>
      </c>
      <c r="T446" t="s">
        <v>40</v>
      </c>
      <c r="U446" s="1">
        <v>45838</v>
      </c>
    </row>
    <row r="447" spans="1:21" x14ac:dyDescent="0.3">
      <c r="A447">
        <v>441</v>
      </c>
      <c r="B447">
        <v>147</v>
      </c>
      <c r="C447">
        <v>3</v>
      </c>
      <c r="D447" t="s">
        <v>21</v>
      </c>
      <c r="E447" t="s">
        <v>22</v>
      </c>
      <c r="F447">
        <v>19</v>
      </c>
      <c r="G447" t="s">
        <v>26</v>
      </c>
      <c r="I447" t="s">
        <v>30</v>
      </c>
      <c r="J447" s="1">
        <v>45690</v>
      </c>
      <c r="K447" t="s">
        <v>34</v>
      </c>
      <c r="L447" t="s">
        <v>37</v>
      </c>
      <c r="M447" t="s">
        <v>38</v>
      </c>
      <c r="N447">
        <v>4</v>
      </c>
      <c r="O447">
        <v>0.83333333333333337</v>
      </c>
      <c r="P447">
        <v>73.5</v>
      </c>
      <c r="Q447" t="s">
        <v>39</v>
      </c>
      <c r="R447" t="s">
        <v>39</v>
      </c>
      <c r="T447" t="s">
        <v>40</v>
      </c>
      <c r="U447" s="1">
        <v>45838</v>
      </c>
    </row>
    <row r="448" spans="1:21" x14ac:dyDescent="0.3">
      <c r="A448">
        <v>442</v>
      </c>
      <c r="B448">
        <v>148</v>
      </c>
      <c r="C448">
        <v>1</v>
      </c>
      <c r="D448" t="s">
        <v>21</v>
      </c>
      <c r="E448" t="s">
        <v>23</v>
      </c>
      <c r="F448">
        <v>21</v>
      </c>
      <c r="G448" t="s">
        <v>25</v>
      </c>
      <c r="I448" t="s">
        <v>30</v>
      </c>
      <c r="J448" s="1">
        <v>45778</v>
      </c>
      <c r="K448" t="s">
        <v>34</v>
      </c>
      <c r="L448" t="s">
        <v>35</v>
      </c>
      <c r="M448" t="s">
        <v>38</v>
      </c>
      <c r="N448">
        <v>4</v>
      </c>
      <c r="O448">
        <v>0.85416666666666663</v>
      </c>
      <c r="P448">
        <v>68.5</v>
      </c>
      <c r="Q448" t="s">
        <v>39</v>
      </c>
      <c r="R448" t="s">
        <v>40</v>
      </c>
      <c r="T448" t="s">
        <v>39</v>
      </c>
      <c r="U448" s="1">
        <v>45838</v>
      </c>
    </row>
    <row r="449" spans="1:21" x14ac:dyDescent="0.3">
      <c r="A449">
        <v>443</v>
      </c>
      <c r="B449">
        <v>148</v>
      </c>
      <c r="C449">
        <v>2</v>
      </c>
      <c r="D449" t="s">
        <v>19</v>
      </c>
      <c r="E449" t="s">
        <v>23</v>
      </c>
      <c r="F449">
        <v>21</v>
      </c>
      <c r="G449" t="s">
        <v>25</v>
      </c>
      <c r="I449" t="s">
        <v>30</v>
      </c>
      <c r="J449" s="1">
        <v>45778</v>
      </c>
      <c r="K449" t="s">
        <v>34</v>
      </c>
      <c r="L449" t="s">
        <v>36</v>
      </c>
      <c r="M449" t="s">
        <v>38</v>
      </c>
      <c r="N449">
        <v>4</v>
      </c>
      <c r="O449">
        <v>0.95833333333333337</v>
      </c>
      <c r="P449">
        <v>84</v>
      </c>
      <c r="Q449" t="s">
        <v>39</v>
      </c>
      <c r="R449" t="s">
        <v>40</v>
      </c>
      <c r="T449" t="s">
        <v>39</v>
      </c>
      <c r="U449" s="1">
        <v>45838</v>
      </c>
    </row>
    <row r="450" spans="1:21" x14ac:dyDescent="0.3">
      <c r="A450">
        <v>444</v>
      </c>
      <c r="B450">
        <v>148</v>
      </c>
      <c r="C450">
        <v>3</v>
      </c>
      <c r="D450" t="s">
        <v>19</v>
      </c>
      <c r="E450" t="s">
        <v>23</v>
      </c>
      <c r="F450">
        <v>21</v>
      </c>
      <c r="G450" t="s">
        <v>25</v>
      </c>
      <c r="I450" t="s">
        <v>30</v>
      </c>
      <c r="J450" s="1">
        <v>45778</v>
      </c>
      <c r="K450" t="s">
        <v>34</v>
      </c>
      <c r="L450" t="s">
        <v>37</v>
      </c>
      <c r="M450" t="s">
        <v>38</v>
      </c>
      <c r="N450">
        <v>4</v>
      </c>
      <c r="O450">
        <v>0.9375</v>
      </c>
      <c r="P450">
        <v>74</v>
      </c>
      <c r="Q450" t="s">
        <v>39</v>
      </c>
      <c r="R450" t="s">
        <v>40</v>
      </c>
      <c r="T450" t="s">
        <v>39</v>
      </c>
      <c r="U450" s="1">
        <v>45838</v>
      </c>
    </row>
    <row r="451" spans="1:21" x14ac:dyDescent="0.3">
      <c r="A451">
        <v>445</v>
      </c>
      <c r="B451">
        <v>149</v>
      </c>
      <c r="C451">
        <v>1</v>
      </c>
      <c r="D451" t="s">
        <v>21</v>
      </c>
      <c r="E451" t="s">
        <v>23</v>
      </c>
      <c r="F451">
        <v>32</v>
      </c>
      <c r="G451" t="s">
        <v>29</v>
      </c>
      <c r="I451" t="s">
        <v>32</v>
      </c>
      <c r="J451" s="1">
        <v>45671</v>
      </c>
      <c r="K451" t="s">
        <v>34</v>
      </c>
      <c r="L451" t="s">
        <v>35</v>
      </c>
      <c r="M451" t="s">
        <v>38</v>
      </c>
      <c r="N451">
        <v>4</v>
      </c>
      <c r="O451">
        <v>0.9375</v>
      </c>
      <c r="P451">
        <v>54.5</v>
      </c>
      <c r="Q451" t="s">
        <v>40</v>
      </c>
      <c r="R451" t="s">
        <v>40</v>
      </c>
      <c r="T451" t="s">
        <v>40</v>
      </c>
      <c r="U451" s="1">
        <v>45838</v>
      </c>
    </row>
    <row r="452" spans="1:21" x14ac:dyDescent="0.3">
      <c r="A452">
        <v>446</v>
      </c>
      <c r="B452">
        <v>149</v>
      </c>
      <c r="C452">
        <v>2</v>
      </c>
      <c r="D452" t="s">
        <v>19</v>
      </c>
      <c r="E452" t="s">
        <v>23</v>
      </c>
      <c r="F452">
        <v>32</v>
      </c>
      <c r="G452" t="s">
        <v>29</v>
      </c>
      <c r="I452" t="s">
        <v>32</v>
      </c>
      <c r="J452" s="1">
        <v>45671</v>
      </c>
      <c r="K452" t="s">
        <v>34</v>
      </c>
      <c r="L452" t="s">
        <v>36</v>
      </c>
      <c r="M452" t="s">
        <v>38</v>
      </c>
      <c r="N452">
        <v>4</v>
      </c>
      <c r="O452">
        <v>0.89583333333333337</v>
      </c>
      <c r="P452">
        <v>81</v>
      </c>
      <c r="Q452" t="s">
        <v>40</v>
      </c>
      <c r="R452" t="s">
        <v>40</v>
      </c>
      <c r="T452" t="s">
        <v>40</v>
      </c>
      <c r="U452" s="1">
        <v>45838</v>
      </c>
    </row>
    <row r="453" spans="1:21" x14ac:dyDescent="0.3">
      <c r="A453">
        <v>447</v>
      </c>
      <c r="B453">
        <v>149</v>
      </c>
      <c r="C453">
        <v>3</v>
      </c>
      <c r="D453" t="s">
        <v>21</v>
      </c>
      <c r="E453" t="s">
        <v>23</v>
      </c>
      <c r="F453">
        <v>32</v>
      </c>
      <c r="G453" t="s">
        <v>29</v>
      </c>
      <c r="I453" t="s">
        <v>32</v>
      </c>
      <c r="J453" s="1">
        <v>45671</v>
      </c>
      <c r="K453" t="s">
        <v>34</v>
      </c>
      <c r="L453" t="s">
        <v>37</v>
      </c>
      <c r="M453" t="s">
        <v>38</v>
      </c>
      <c r="N453">
        <v>4</v>
      </c>
      <c r="O453">
        <v>0.85416666666666663</v>
      </c>
      <c r="P453">
        <v>68.5</v>
      </c>
      <c r="Q453" t="s">
        <v>40</v>
      </c>
      <c r="R453" t="s">
        <v>40</v>
      </c>
      <c r="T453" t="s">
        <v>40</v>
      </c>
      <c r="U453" s="1">
        <v>45838</v>
      </c>
    </row>
    <row r="454" spans="1:21" x14ac:dyDescent="0.3">
      <c r="A454">
        <v>448</v>
      </c>
      <c r="B454">
        <v>150</v>
      </c>
      <c r="C454">
        <v>1</v>
      </c>
      <c r="D454" t="s">
        <v>19</v>
      </c>
      <c r="E454" t="s">
        <v>23</v>
      </c>
      <c r="F454">
        <v>33</v>
      </c>
      <c r="G454" t="s">
        <v>25</v>
      </c>
      <c r="I454" t="s">
        <v>31</v>
      </c>
      <c r="J454" s="1">
        <v>45760</v>
      </c>
      <c r="K454" t="s">
        <v>34</v>
      </c>
      <c r="L454" t="s">
        <v>35</v>
      </c>
      <c r="M454" t="s">
        <v>38</v>
      </c>
      <c r="N454">
        <v>4</v>
      </c>
      <c r="O454">
        <v>0.8125</v>
      </c>
      <c r="P454">
        <v>64</v>
      </c>
      <c r="Q454" t="s">
        <v>40</v>
      </c>
      <c r="R454" t="s">
        <v>40</v>
      </c>
      <c r="T454" t="s">
        <v>40</v>
      </c>
      <c r="U454" s="1">
        <v>45838</v>
      </c>
    </row>
    <row r="455" spans="1:21" x14ac:dyDescent="0.3">
      <c r="A455">
        <v>449</v>
      </c>
      <c r="B455">
        <v>150</v>
      </c>
      <c r="C455">
        <v>2</v>
      </c>
      <c r="D455" t="s">
        <v>19</v>
      </c>
      <c r="E455" t="s">
        <v>23</v>
      </c>
      <c r="F455">
        <v>33</v>
      </c>
      <c r="G455" t="s">
        <v>25</v>
      </c>
      <c r="I455" t="s">
        <v>31</v>
      </c>
      <c r="J455" s="1">
        <v>45760</v>
      </c>
      <c r="K455" t="s">
        <v>34</v>
      </c>
      <c r="L455" t="s">
        <v>36</v>
      </c>
      <c r="M455" t="s">
        <v>38</v>
      </c>
      <c r="N455">
        <v>4</v>
      </c>
      <c r="O455">
        <v>0.83333333333333337</v>
      </c>
      <c r="P455">
        <v>78</v>
      </c>
      <c r="Q455" t="s">
        <v>40</v>
      </c>
      <c r="R455" t="s">
        <v>40</v>
      </c>
      <c r="T455" t="s">
        <v>40</v>
      </c>
      <c r="U455" s="1">
        <v>45838</v>
      </c>
    </row>
    <row r="456" spans="1:21" x14ac:dyDescent="0.3">
      <c r="A456">
        <v>450</v>
      </c>
      <c r="B456">
        <v>150</v>
      </c>
      <c r="C456">
        <v>3</v>
      </c>
      <c r="D456" t="s">
        <v>19</v>
      </c>
      <c r="E456" t="s">
        <v>23</v>
      </c>
      <c r="F456">
        <v>33</v>
      </c>
      <c r="G456" t="s">
        <v>25</v>
      </c>
      <c r="I456" t="s">
        <v>31</v>
      </c>
      <c r="J456" s="1">
        <v>45760</v>
      </c>
      <c r="K456" t="s">
        <v>34</v>
      </c>
      <c r="L456" t="s">
        <v>37</v>
      </c>
      <c r="M456" t="s">
        <v>38</v>
      </c>
      <c r="N456">
        <v>4</v>
      </c>
      <c r="O456">
        <v>0.83333333333333337</v>
      </c>
      <c r="P456">
        <v>78.5</v>
      </c>
      <c r="Q456" t="s">
        <v>40</v>
      </c>
      <c r="R456" t="s">
        <v>40</v>
      </c>
      <c r="T456" t="s">
        <v>40</v>
      </c>
      <c r="U456" s="1">
        <v>45838</v>
      </c>
    </row>
    <row r="457" spans="1:21" x14ac:dyDescent="0.3">
      <c r="A457">
        <v>451</v>
      </c>
      <c r="B457">
        <v>151</v>
      </c>
      <c r="C457">
        <v>1</v>
      </c>
      <c r="D457" t="s">
        <v>19</v>
      </c>
      <c r="E457" t="s">
        <v>23</v>
      </c>
      <c r="F457">
        <v>20</v>
      </c>
      <c r="G457" t="s">
        <v>26</v>
      </c>
      <c r="I457" t="s">
        <v>31</v>
      </c>
      <c r="J457" s="1">
        <v>45696</v>
      </c>
      <c r="K457" t="s">
        <v>34</v>
      </c>
      <c r="L457" t="s">
        <v>35</v>
      </c>
      <c r="M457" t="s">
        <v>38</v>
      </c>
      <c r="N457">
        <v>4</v>
      </c>
      <c r="O457">
        <v>0.79166666666666663</v>
      </c>
      <c r="P457">
        <v>62.5</v>
      </c>
      <c r="Q457" t="s">
        <v>39</v>
      </c>
      <c r="R457" t="s">
        <v>39</v>
      </c>
      <c r="T457" t="s">
        <v>40</v>
      </c>
      <c r="U457" s="1">
        <v>45838</v>
      </c>
    </row>
    <row r="458" spans="1:21" x14ac:dyDescent="0.3">
      <c r="A458">
        <v>452</v>
      </c>
      <c r="B458">
        <v>151</v>
      </c>
      <c r="C458">
        <v>2</v>
      </c>
      <c r="D458" t="s">
        <v>19</v>
      </c>
      <c r="E458" t="s">
        <v>23</v>
      </c>
      <c r="F458">
        <v>20</v>
      </c>
      <c r="G458" t="s">
        <v>26</v>
      </c>
      <c r="I458" t="s">
        <v>31</v>
      </c>
      <c r="J458" s="1">
        <v>45696</v>
      </c>
      <c r="K458" t="s">
        <v>34</v>
      </c>
      <c r="L458" t="s">
        <v>36</v>
      </c>
      <c r="M458" t="s">
        <v>38</v>
      </c>
      <c r="N458">
        <v>4</v>
      </c>
      <c r="O458">
        <v>0.79166666666666663</v>
      </c>
      <c r="P458">
        <v>55.5</v>
      </c>
      <c r="Q458" t="s">
        <v>39</v>
      </c>
      <c r="R458" t="s">
        <v>39</v>
      </c>
      <c r="T458" t="s">
        <v>40</v>
      </c>
      <c r="U458" s="1">
        <v>45838</v>
      </c>
    </row>
    <row r="459" spans="1:21" x14ac:dyDescent="0.3">
      <c r="A459">
        <v>453</v>
      </c>
      <c r="B459">
        <v>151</v>
      </c>
      <c r="C459">
        <v>3</v>
      </c>
      <c r="D459" t="s">
        <v>19</v>
      </c>
      <c r="E459" t="s">
        <v>23</v>
      </c>
      <c r="F459">
        <v>20</v>
      </c>
      <c r="G459" t="s">
        <v>26</v>
      </c>
      <c r="I459" t="s">
        <v>31</v>
      </c>
      <c r="J459" s="1">
        <v>45696</v>
      </c>
      <c r="K459" t="s">
        <v>34</v>
      </c>
      <c r="L459" t="s">
        <v>37</v>
      </c>
      <c r="M459" t="s">
        <v>38</v>
      </c>
      <c r="N459">
        <v>4</v>
      </c>
      <c r="O459">
        <v>0.8125</v>
      </c>
      <c r="P459">
        <v>58.5</v>
      </c>
      <c r="Q459" t="s">
        <v>39</v>
      </c>
      <c r="R459" t="s">
        <v>39</v>
      </c>
      <c r="T459" t="s">
        <v>40</v>
      </c>
      <c r="U459" s="1">
        <v>45838</v>
      </c>
    </row>
    <row r="460" spans="1:21" x14ac:dyDescent="0.3">
      <c r="A460">
        <v>454</v>
      </c>
      <c r="B460">
        <v>152</v>
      </c>
      <c r="C460">
        <v>1</v>
      </c>
      <c r="D460" t="s">
        <v>19</v>
      </c>
      <c r="E460" t="s">
        <v>22</v>
      </c>
      <c r="F460">
        <v>27</v>
      </c>
      <c r="G460" t="s">
        <v>25</v>
      </c>
      <c r="I460" t="s">
        <v>32</v>
      </c>
      <c r="J460" s="1">
        <v>45688</v>
      </c>
      <c r="K460" t="s">
        <v>34</v>
      </c>
      <c r="L460" t="s">
        <v>35</v>
      </c>
      <c r="M460" t="s">
        <v>38</v>
      </c>
      <c r="N460">
        <v>4</v>
      </c>
      <c r="O460">
        <v>0.85416666666666663</v>
      </c>
      <c r="P460">
        <v>93</v>
      </c>
      <c r="Q460" t="s">
        <v>39</v>
      </c>
      <c r="R460" t="s">
        <v>39</v>
      </c>
      <c r="T460" t="s">
        <v>40</v>
      </c>
      <c r="U460" s="1">
        <v>45838</v>
      </c>
    </row>
    <row r="461" spans="1:21" x14ac:dyDescent="0.3">
      <c r="A461">
        <v>455</v>
      </c>
      <c r="B461">
        <v>152</v>
      </c>
      <c r="C461">
        <v>2</v>
      </c>
      <c r="D461" t="s">
        <v>19</v>
      </c>
      <c r="E461" t="s">
        <v>22</v>
      </c>
      <c r="F461">
        <v>27</v>
      </c>
      <c r="G461" t="s">
        <v>25</v>
      </c>
      <c r="I461" t="s">
        <v>32</v>
      </c>
      <c r="J461" s="1">
        <v>45688</v>
      </c>
      <c r="K461" t="s">
        <v>34</v>
      </c>
      <c r="L461" t="s">
        <v>36</v>
      </c>
      <c r="M461" t="s">
        <v>38</v>
      </c>
      <c r="N461">
        <v>4</v>
      </c>
      <c r="O461">
        <v>0.6875</v>
      </c>
      <c r="P461">
        <v>75.5</v>
      </c>
      <c r="Q461" t="s">
        <v>39</v>
      </c>
      <c r="R461" t="s">
        <v>39</v>
      </c>
      <c r="T461" t="s">
        <v>40</v>
      </c>
      <c r="U461" s="1">
        <v>45838</v>
      </c>
    </row>
    <row r="462" spans="1:21" x14ac:dyDescent="0.3">
      <c r="A462">
        <v>456</v>
      </c>
      <c r="B462">
        <v>152</v>
      </c>
      <c r="C462">
        <v>3</v>
      </c>
      <c r="D462" t="s">
        <v>19</v>
      </c>
      <c r="E462" t="s">
        <v>22</v>
      </c>
      <c r="F462">
        <v>27</v>
      </c>
      <c r="G462" t="s">
        <v>25</v>
      </c>
      <c r="I462" t="s">
        <v>32</v>
      </c>
      <c r="J462" s="1">
        <v>45688</v>
      </c>
      <c r="K462" t="s">
        <v>34</v>
      </c>
      <c r="L462" t="s">
        <v>37</v>
      </c>
      <c r="M462" t="s">
        <v>38</v>
      </c>
      <c r="N462">
        <v>4</v>
      </c>
      <c r="O462">
        <v>0.85416666666666663</v>
      </c>
      <c r="P462">
        <v>51</v>
      </c>
      <c r="Q462" t="s">
        <v>39</v>
      </c>
      <c r="R462" t="s">
        <v>39</v>
      </c>
      <c r="T462" t="s">
        <v>40</v>
      </c>
      <c r="U462" s="1">
        <v>45838</v>
      </c>
    </row>
    <row r="463" spans="1:21" x14ac:dyDescent="0.3">
      <c r="A463">
        <v>457</v>
      </c>
      <c r="B463">
        <v>153</v>
      </c>
      <c r="C463">
        <v>1</v>
      </c>
      <c r="D463" t="s">
        <v>19</v>
      </c>
      <c r="E463" t="s">
        <v>23</v>
      </c>
      <c r="F463">
        <v>25</v>
      </c>
      <c r="G463" t="s">
        <v>26</v>
      </c>
      <c r="I463" t="s">
        <v>33</v>
      </c>
      <c r="J463" s="1">
        <v>45773</v>
      </c>
      <c r="K463" t="s">
        <v>34</v>
      </c>
      <c r="L463" t="s">
        <v>35</v>
      </c>
      <c r="M463" t="s">
        <v>38</v>
      </c>
      <c r="N463">
        <v>4</v>
      </c>
      <c r="O463">
        <v>0.83333333333333337</v>
      </c>
      <c r="P463">
        <v>55</v>
      </c>
      <c r="Q463" t="s">
        <v>39</v>
      </c>
      <c r="R463" t="s">
        <v>39</v>
      </c>
      <c r="T463" t="s">
        <v>40</v>
      </c>
      <c r="U463" s="1">
        <v>45838</v>
      </c>
    </row>
    <row r="464" spans="1:21" x14ac:dyDescent="0.3">
      <c r="A464">
        <v>458</v>
      </c>
      <c r="B464">
        <v>153</v>
      </c>
      <c r="C464">
        <v>2</v>
      </c>
      <c r="D464" t="s">
        <v>19</v>
      </c>
      <c r="E464" t="s">
        <v>23</v>
      </c>
      <c r="F464">
        <v>25</v>
      </c>
      <c r="G464" t="s">
        <v>26</v>
      </c>
      <c r="I464" t="s">
        <v>33</v>
      </c>
      <c r="J464" s="1">
        <v>45773</v>
      </c>
      <c r="K464" t="s">
        <v>34</v>
      </c>
      <c r="L464" t="s">
        <v>36</v>
      </c>
      <c r="M464" t="s">
        <v>38</v>
      </c>
      <c r="N464">
        <v>4</v>
      </c>
      <c r="O464">
        <v>0.85416666666666663</v>
      </c>
      <c r="P464">
        <v>58.5</v>
      </c>
      <c r="Q464" t="s">
        <v>39</v>
      </c>
      <c r="R464" t="s">
        <v>39</v>
      </c>
      <c r="T464" t="s">
        <v>40</v>
      </c>
      <c r="U464" s="1">
        <v>45838</v>
      </c>
    </row>
    <row r="465" spans="1:21" x14ac:dyDescent="0.3">
      <c r="A465">
        <v>459</v>
      </c>
      <c r="B465">
        <v>153</v>
      </c>
      <c r="C465">
        <v>3</v>
      </c>
      <c r="D465" t="s">
        <v>19</v>
      </c>
      <c r="E465" t="s">
        <v>23</v>
      </c>
      <c r="F465">
        <v>25</v>
      </c>
      <c r="G465" t="s">
        <v>26</v>
      </c>
      <c r="I465" t="s">
        <v>33</v>
      </c>
      <c r="J465" s="1">
        <v>45773</v>
      </c>
      <c r="K465" t="s">
        <v>34</v>
      </c>
      <c r="L465" t="s">
        <v>37</v>
      </c>
      <c r="M465" t="s">
        <v>38</v>
      </c>
      <c r="N465">
        <v>4</v>
      </c>
      <c r="O465">
        <v>0.875</v>
      </c>
      <c r="P465">
        <v>82</v>
      </c>
      <c r="Q465" t="s">
        <v>39</v>
      </c>
      <c r="R465" t="s">
        <v>39</v>
      </c>
      <c r="T465" t="s">
        <v>40</v>
      </c>
      <c r="U465" s="1">
        <v>45838</v>
      </c>
    </row>
    <row r="466" spans="1:21" x14ac:dyDescent="0.3">
      <c r="A466">
        <v>460</v>
      </c>
      <c r="B466">
        <v>154</v>
      </c>
      <c r="C466">
        <v>1</v>
      </c>
      <c r="D466" t="s">
        <v>19</v>
      </c>
      <c r="E466" t="s">
        <v>23</v>
      </c>
      <c r="F466">
        <v>27</v>
      </c>
      <c r="G466" t="s">
        <v>26</v>
      </c>
      <c r="I466" t="s">
        <v>33</v>
      </c>
      <c r="J466" s="1">
        <v>45736</v>
      </c>
      <c r="K466" t="s">
        <v>34</v>
      </c>
      <c r="L466" t="s">
        <v>35</v>
      </c>
      <c r="M466" t="s">
        <v>38</v>
      </c>
      <c r="N466">
        <v>4</v>
      </c>
      <c r="O466">
        <v>0.75</v>
      </c>
      <c r="P466">
        <v>75.5</v>
      </c>
      <c r="Q466" t="s">
        <v>39</v>
      </c>
      <c r="R466" t="s">
        <v>40</v>
      </c>
      <c r="T466" t="s">
        <v>40</v>
      </c>
      <c r="U466" s="1">
        <v>45838</v>
      </c>
    </row>
    <row r="467" spans="1:21" x14ac:dyDescent="0.3">
      <c r="A467">
        <v>461</v>
      </c>
      <c r="B467">
        <v>154</v>
      </c>
      <c r="C467">
        <v>2</v>
      </c>
      <c r="D467" t="s">
        <v>19</v>
      </c>
      <c r="E467" t="s">
        <v>23</v>
      </c>
      <c r="F467">
        <v>27</v>
      </c>
      <c r="G467" t="s">
        <v>26</v>
      </c>
      <c r="I467" t="s">
        <v>33</v>
      </c>
      <c r="J467" s="1">
        <v>45736</v>
      </c>
      <c r="K467" t="s">
        <v>34</v>
      </c>
      <c r="L467" t="s">
        <v>36</v>
      </c>
      <c r="M467" t="s">
        <v>38</v>
      </c>
      <c r="N467">
        <v>4</v>
      </c>
      <c r="O467">
        <v>0.85416666666666663</v>
      </c>
      <c r="P467">
        <v>78</v>
      </c>
      <c r="Q467" t="s">
        <v>39</v>
      </c>
      <c r="R467" t="s">
        <v>40</v>
      </c>
      <c r="T467" t="s">
        <v>40</v>
      </c>
      <c r="U467" s="1">
        <v>45838</v>
      </c>
    </row>
    <row r="468" spans="1:21" x14ac:dyDescent="0.3">
      <c r="A468">
        <v>462</v>
      </c>
      <c r="B468">
        <v>154</v>
      </c>
      <c r="C468">
        <v>3</v>
      </c>
      <c r="D468" t="s">
        <v>19</v>
      </c>
      <c r="E468" t="s">
        <v>23</v>
      </c>
      <c r="F468">
        <v>27</v>
      </c>
      <c r="G468" t="s">
        <v>26</v>
      </c>
      <c r="I468" t="s">
        <v>33</v>
      </c>
      <c r="J468" s="1">
        <v>45736</v>
      </c>
      <c r="K468" t="s">
        <v>34</v>
      </c>
      <c r="L468" t="s">
        <v>37</v>
      </c>
      <c r="M468" t="s">
        <v>38</v>
      </c>
      <c r="N468">
        <v>4</v>
      </c>
      <c r="O468">
        <v>0.83333333333333337</v>
      </c>
      <c r="P468">
        <v>90</v>
      </c>
      <c r="Q468" t="s">
        <v>39</v>
      </c>
      <c r="R468" t="s">
        <v>40</v>
      </c>
      <c r="T468" t="s">
        <v>40</v>
      </c>
      <c r="U468" s="1">
        <v>45838</v>
      </c>
    </row>
    <row r="469" spans="1:21" x14ac:dyDescent="0.3">
      <c r="A469">
        <v>463</v>
      </c>
      <c r="B469">
        <v>155</v>
      </c>
      <c r="C469">
        <v>1</v>
      </c>
      <c r="D469" t="s">
        <v>19</v>
      </c>
      <c r="E469" t="s">
        <v>22</v>
      </c>
      <c r="F469">
        <v>21</v>
      </c>
      <c r="G469" t="s">
        <v>28</v>
      </c>
      <c r="I469" t="s">
        <v>32</v>
      </c>
      <c r="J469" s="1">
        <v>45725</v>
      </c>
      <c r="K469" t="s">
        <v>34</v>
      </c>
      <c r="L469" t="s">
        <v>35</v>
      </c>
      <c r="M469" t="s">
        <v>38</v>
      </c>
      <c r="N469">
        <v>4</v>
      </c>
      <c r="O469">
        <v>0.6875</v>
      </c>
      <c r="P469">
        <v>92</v>
      </c>
      <c r="Q469" t="s">
        <v>39</v>
      </c>
      <c r="R469" t="s">
        <v>39</v>
      </c>
      <c r="T469" t="s">
        <v>40</v>
      </c>
      <c r="U469" s="1">
        <v>45838</v>
      </c>
    </row>
    <row r="470" spans="1:21" x14ac:dyDescent="0.3">
      <c r="A470">
        <v>464</v>
      </c>
      <c r="B470">
        <v>155</v>
      </c>
      <c r="C470">
        <v>2</v>
      </c>
      <c r="D470" t="s">
        <v>19</v>
      </c>
      <c r="E470" t="s">
        <v>22</v>
      </c>
      <c r="F470">
        <v>21</v>
      </c>
      <c r="G470" t="s">
        <v>28</v>
      </c>
      <c r="I470" t="s">
        <v>32</v>
      </c>
      <c r="J470" s="1">
        <v>45725</v>
      </c>
      <c r="K470" t="s">
        <v>34</v>
      </c>
      <c r="L470" t="s">
        <v>36</v>
      </c>
      <c r="M470" t="s">
        <v>38</v>
      </c>
      <c r="N470">
        <v>4</v>
      </c>
      <c r="O470">
        <v>0.79166666666666663</v>
      </c>
      <c r="P470">
        <v>76.5</v>
      </c>
      <c r="Q470" t="s">
        <v>39</v>
      </c>
      <c r="R470" t="s">
        <v>39</v>
      </c>
      <c r="T470" t="s">
        <v>40</v>
      </c>
      <c r="U470" s="1">
        <v>45838</v>
      </c>
    </row>
    <row r="471" spans="1:21" x14ac:dyDescent="0.3">
      <c r="A471">
        <v>465</v>
      </c>
      <c r="B471">
        <v>155</v>
      </c>
      <c r="C471">
        <v>3</v>
      </c>
      <c r="D471" t="s">
        <v>19</v>
      </c>
      <c r="E471" t="s">
        <v>22</v>
      </c>
      <c r="F471">
        <v>21</v>
      </c>
      <c r="G471" t="s">
        <v>28</v>
      </c>
      <c r="I471" t="s">
        <v>32</v>
      </c>
      <c r="J471" s="1">
        <v>45725</v>
      </c>
      <c r="K471" t="s">
        <v>34</v>
      </c>
      <c r="L471" t="s">
        <v>37</v>
      </c>
      <c r="M471" t="s">
        <v>38</v>
      </c>
      <c r="N471">
        <v>4</v>
      </c>
      <c r="O471">
        <v>0.89583333333333337</v>
      </c>
      <c r="P471">
        <v>79</v>
      </c>
      <c r="Q471" t="s">
        <v>39</v>
      </c>
      <c r="R471" t="s">
        <v>39</v>
      </c>
      <c r="T471" t="s">
        <v>40</v>
      </c>
      <c r="U471" s="1">
        <v>45838</v>
      </c>
    </row>
    <row r="472" spans="1:21" x14ac:dyDescent="0.3">
      <c r="A472">
        <v>466</v>
      </c>
      <c r="B472">
        <v>156</v>
      </c>
      <c r="C472">
        <v>1</v>
      </c>
      <c r="D472" t="s">
        <v>19</v>
      </c>
      <c r="E472" t="s">
        <v>22</v>
      </c>
      <c r="F472">
        <v>23</v>
      </c>
      <c r="G472" t="s">
        <v>28</v>
      </c>
      <c r="I472" t="s">
        <v>32</v>
      </c>
      <c r="J472" s="1">
        <v>45799</v>
      </c>
      <c r="K472" t="s">
        <v>34</v>
      </c>
      <c r="L472" t="s">
        <v>35</v>
      </c>
      <c r="M472" t="s">
        <v>38</v>
      </c>
      <c r="N472">
        <v>4</v>
      </c>
      <c r="O472">
        <v>0.875</v>
      </c>
      <c r="P472">
        <v>71</v>
      </c>
      <c r="Q472" t="s">
        <v>39</v>
      </c>
      <c r="R472" t="s">
        <v>39</v>
      </c>
      <c r="T472" t="s">
        <v>40</v>
      </c>
      <c r="U472" s="1">
        <v>45838</v>
      </c>
    </row>
    <row r="473" spans="1:21" x14ac:dyDescent="0.3">
      <c r="A473">
        <v>467</v>
      </c>
      <c r="B473">
        <v>156</v>
      </c>
      <c r="C473">
        <v>2</v>
      </c>
      <c r="D473" t="s">
        <v>19</v>
      </c>
      <c r="E473" t="s">
        <v>22</v>
      </c>
      <c r="F473">
        <v>23</v>
      </c>
      <c r="G473" t="s">
        <v>28</v>
      </c>
      <c r="I473" t="s">
        <v>32</v>
      </c>
      <c r="J473" s="1">
        <v>45799</v>
      </c>
      <c r="K473" t="s">
        <v>34</v>
      </c>
      <c r="L473" t="s">
        <v>36</v>
      </c>
      <c r="M473" t="s">
        <v>38</v>
      </c>
      <c r="N473">
        <v>4</v>
      </c>
      <c r="O473">
        <v>0.83333333333333337</v>
      </c>
      <c r="P473">
        <v>82</v>
      </c>
      <c r="Q473" t="s">
        <v>39</v>
      </c>
      <c r="R473" t="s">
        <v>39</v>
      </c>
      <c r="T473" t="s">
        <v>40</v>
      </c>
      <c r="U473" s="1">
        <v>45838</v>
      </c>
    </row>
    <row r="474" spans="1:21" x14ac:dyDescent="0.3">
      <c r="A474">
        <v>468</v>
      </c>
      <c r="B474">
        <v>156</v>
      </c>
      <c r="C474">
        <v>3</v>
      </c>
      <c r="D474" t="s">
        <v>20</v>
      </c>
      <c r="E474" t="s">
        <v>22</v>
      </c>
      <c r="F474">
        <v>23</v>
      </c>
      <c r="G474" t="s">
        <v>28</v>
      </c>
      <c r="I474" t="s">
        <v>32</v>
      </c>
      <c r="J474" s="1">
        <v>45799</v>
      </c>
      <c r="K474" t="s">
        <v>34</v>
      </c>
      <c r="L474" t="s">
        <v>37</v>
      </c>
      <c r="M474" t="s">
        <v>38</v>
      </c>
      <c r="N474">
        <v>4</v>
      </c>
      <c r="O474">
        <v>0.85416666666666663</v>
      </c>
      <c r="P474">
        <v>71</v>
      </c>
      <c r="Q474" t="s">
        <v>39</v>
      </c>
      <c r="R474" t="s">
        <v>39</v>
      </c>
      <c r="T474" t="s">
        <v>40</v>
      </c>
      <c r="U474" s="1">
        <v>45838</v>
      </c>
    </row>
    <row r="475" spans="1:21" x14ac:dyDescent="0.3">
      <c r="A475">
        <v>469</v>
      </c>
      <c r="B475">
        <v>157</v>
      </c>
      <c r="C475">
        <v>1</v>
      </c>
      <c r="D475" t="s">
        <v>20</v>
      </c>
      <c r="E475" t="s">
        <v>22</v>
      </c>
      <c r="F475">
        <v>23</v>
      </c>
      <c r="G475" t="s">
        <v>25</v>
      </c>
      <c r="I475" t="s">
        <v>33</v>
      </c>
      <c r="J475" s="1">
        <v>45773</v>
      </c>
      <c r="K475" t="s">
        <v>34</v>
      </c>
      <c r="L475" t="s">
        <v>35</v>
      </c>
      <c r="M475" t="s">
        <v>38</v>
      </c>
      <c r="N475">
        <v>4</v>
      </c>
      <c r="O475">
        <v>0.83333333333333337</v>
      </c>
      <c r="P475">
        <v>52.5</v>
      </c>
      <c r="Q475" t="s">
        <v>39</v>
      </c>
      <c r="R475" t="s">
        <v>39</v>
      </c>
      <c r="T475" t="s">
        <v>39</v>
      </c>
      <c r="U475" s="1">
        <v>45838</v>
      </c>
    </row>
    <row r="476" spans="1:21" x14ac:dyDescent="0.3">
      <c r="A476">
        <v>470</v>
      </c>
      <c r="B476">
        <v>157</v>
      </c>
      <c r="C476">
        <v>2</v>
      </c>
      <c r="D476" t="s">
        <v>20</v>
      </c>
      <c r="E476" t="s">
        <v>22</v>
      </c>
      <c r="F476">
        <v>23</v>
      </c>
      <c r="G476" t="s">
        <v>25</v>
      </c>
      <c r="I476" t="s">
        <v>33</v>
      </c>
      <c r="J476" s="1">
        <v>45773</v>
      </c>
      <c r="K476" t="s">
        <v>34</v>
      </c>
      <c r="L476" t="s">
        <v>36</v>
      </c>
      <c r="M476" t="s">
        <v>38</v>
      </c>
      <c r="N476">
        <v>4</v>
      </c>
      <c r="O476">
        <v>0.8125</v>
      </c>
      <c r="P476">
        <v>88</v>
      </c>
      <c r="Q476" t="s">
        <v>39</v>
      </c>
      <c r="R476" t="s">
        <v>39</v>
      </c>
      <c r="T476" t="s">
        <v>39</v>
      </c>
      <c r="U476" s="1">
        <v>45838</v>
      </c>
    </row>
    <row r="477" spans="1:21" x14ac:dyDescent="0.3">
      <c r="A477">
        <v>471</v>
      </c>
      <c r="B477">
        <v>157</v>
      </c>
      <c r="C477">
        <v>3</v>
      </c>
      <c r="D477" t="s">
        <v>19</v>
      </c>
      <c r="E477" t="s">
        <v>22</v>
      </c>
      <c r="F477">
        <v>23</v>
      </c>
      <c r="G477" t="s">
        <v>25</v>
      </c>
      <c r="I477" t="s">
        <v>33</v>
      </c>
      <c r="J477" s="1">
        <v>45773</v>
      </c>
      <c r="K477" t="s">
        <v>34</v>
      </c>
      <c r="L477" t="s">
        <v>37</v>
      </c>
      <c r="M477" t="s">
        <v>38</v>
      </c>
      <c r="N477">
        <v>4</v>
      </c>
      <c r="O477">
        <v>0.89583333333333337</v>
      </c>
      <c r="P477">
        <v>65.5</v>
      </c>
      <c r="Q477" t="s">
        <v>39</v>
      </c>
      <c r="R477" t="s">
        <v>39</v>
      </c>
      <c r="T477" t="s">
        <v>39</v>
      </c>
      <c r="U477" s="1">
        <v>45838</v>
      </c>
    </row>
    <row r="478" spans="1:21" x14ac:dyDescent="0.3">
      <c r="A478">
        <v>472</v>
      </c>
      <c r="B478">
        <v>158</v>
      </c>
      <c r="C478">
        <v>1</v>
      </c>
      <c r="D478" t="s">
        <v>19</v>
      </c>
      <c r="E478" t="s">
        <v>23</v>
      </c>
      <c r="F478">
        <v>27</v>
      </c>
      <c r="G478" t="s">
        <v>25</v>
      </c>
      <c r="I478" t="s">
        <v>32</v>
      </c>
      <c r="J478" s="1">
        <v>45731</v>
      </c>
      <c r="K478" t="s">
        <v>34</v>
      </c>
      <c r="L478" t="s">
        <v>35</v>
      </c>
      <c r="M478" t="s">
        <v>38</v>
      </c>
      <c r="N478">
        <v>4</v>
      </c>
      <c r="O478">
        <v>0.75</v>
      </c>
      <c r="P478">
        <v>90.5</v>
      </c>
      <c r="Q478" t="s">
        <v>39</v>
      </c>
      <c r="R478" t="s">
        <v>39</v>
      </c>
      <c r="T478" t="s">
        <v>40</v>
      </c>
      <c r="U478" s="1">
        <v>45838</v>
      </c>
    </row>
    <row r="479" spans="1:21" x14ac:dyDescent="0.3">
      <c r="A479">
        <v>473</v>
      </c>
      <c r="B479">
        <v>158</v>
      </c>
      <c r="C479">
        <v>2</v>
      </c>
      <c r="D479" t="s">
        <v>19</v>
      </c>
      <c r="E479" t="s">
        <v>23</v>
      </c>
      <c r="F479">
        <v>27</v>
      </c>
      <c r="G479" t="s">
        <v>25</v>
      </c>
      <c r="I479" t="s">
        <v>32</v>
      </c>
      <c r="J479" s="1">
        <v>45731</v>
      </c>
      <c r="K479" t="s">
        <v>34</v>
      </c>
      <c r="L479" t="s">
        <v>36</v>
      </c>
      <c r="M479" t="s">
        <v>38</v>
      </c>
      <c r="N479">
        <v>4</v>
      </c>
      <c r="O479">
        <v>0.89583333333333337</v>
      </c>
      <c r="P479">
        <v>72</v>
      </c>
      <c r="Q479" t="s">
        <v>39</v>
      </c>
      <c r="R479" t="s">
        <v>39</v>
      </c>
      <c r="T479" t="s">
        <v>40</v>
      </c>
      <c r="U479" s="1">
        <v>45838</v>
      </c>
    </row>
    <row r="480" spans="1:21" x14ac:dyDescent="0.3">
      <c r="A480">
        <v>474</v>
      </c>
      <c r="B480">
        <v>158</v>
      </c>
      <c r="C480">
        <v>3</v>
      </c>
      <c r="D480" t="s">
        <v>19</v>
      </c>
      <c r="E480" t="s">
        <v>23</v>
      </c>
      <c r="F480">
        <v>27</v>
      </c>
      <c r="G480" t="s">
        <v>25</v>
      </c>
      <c r="I480" t="s">
        <v>32</v>
      </c>
      <c r="J480" s="1">
        <v>45731</v>
      </c>
      <c r="K480" t="s">
        <v>34</v>
      </c>
      <c r="L480" t="s">
        <v>37</v>
      </c>
      <c r="M480" t="s">
        <v>38</v>
      </c>
      <c r="N480">
        <v>4</v>
      </c>
      <c r="O480">
        <v>0.79166666666666663</v>
      </c>
      <c r="P480">
        <v>65</v>
      </c>
      <c r="Q480" t="s">
        <v>39</v>
      </c>
      <c r="R480" t="s">
        <v>39</v>
      </c>
      <c r="T480" t="s">
        <v>40</v>
      </c>
      <c r="U480" s="1">
        <v>45838</v>
      </c>
    </row>
    <row r="481" spans="1:21" x14ac:dyDescent="0.3">
      <c r="A481">
        <v>475</v>
      </c>
      <c r="B481">
        <v>159</v>
      </c>
      <c r="C481">
        <v>1</v>
      </c>
      <c r="D481" t="s">
        <v>19</v>
      </c>
      <c r="E481" t="s">
        <v>23</v>
      </c>
      <c r="F481">
        <v>32</v>
      </c>
      <c r="G481" t="s">
        <v>25</v>
      </c>
      <c r="I481" t="s">
        <v>32</v>
      </c>
      <c r="J481" s="1">
        <v>45725</v>
      </c>
      <c r="K481" t="s">
        <v>34</v>
      </c>
      <c r="L481" t="s">
        <v>35</v>
      </c>
      <c r="M481" t="s">
        <v>38</v>
      </c>
      <c r="N481">
        <v>4</v>
      </c>
      <c r="O481">
        <v>0.83333333333333337</v>
      </c>
      <c r="P481">
        <v>80</v>
      </c>
      <c r="Q481" t="s">
        <v>39</v>
      </c>
      <c r="R481" t="s">
        <v>39</v>
      </c>
      <c r="T481" t="s">
        <v>40</v>
      </c>
      <c r="U481" s="1">
        <v>45838</v>
      </c>
    </row>
    <row r="482" spans="1:21" x14ac:dyDescent="0.3">
      <c r="A482">
        <v>476</v>
      </c>
      <c r="B482">
        <v>159</v>
      </c>
      <c r="C482">
        <v>2</v>
      </c>
      <c r="D482" t="s">
        <v>19</v>
      </c>
      <c r="E482" t="s">
        <v>23</v>
      </c>
      <c r="F482">
        <v>32</v>
      </c>
      <c r="G482" t="s">
        <v>25</v>
      </c>
      <c r="I482" t="s">
        <v>32</v>
      </c>
      <c r="J482" s="1">
        <v>45725</v>
      </c>
      <c r="K482" t="s">
        <v>34</v>
      </c>
      <c r="L482" t="s">
        <v>36</v>
      </c>
      <c r="M482" t="s">
        <v>38</v>
      </c>
      <c r="N482">
        <v>4</v>
      </c>
      <c r="O482">
        <v>0.9375</v>
      </c>
      <c r="P482">
        <v>77</v>
      </c>
      <c r="Q482" t="s">
        <v>39</v>
      </c>
      <c r="R482" t="s">
        <v>39</v>
      </c>
      <c r="T482" t="s">
        <v>40</v>
      </c>
      <c r="U482" s="1">
        <v>45838</v>
      </c>
    </row>
    <row r="483" spans="1:21" x14ac:dyDescent="0.3">
      <c r="A483">
        <v>477</v>
      </c>
      <c r="B483">
        <v>159</v>
      </c>
      <c r="C483">
        <v>3</v>
      </c>
      <c r="D483" t="s">
        <v>19</v>
      </c>
      <c r="E483" t="s">
        <v>23</v>
      </c>
      <c r="F483">
        <v>32</v>
      </c>
      <c r="G483" t="s">
        <v>25</v>
      </c>
      <c r="I483" t="s">
        <v>32</v>
      </c>
      <c r="J483" s="1">
        <v>45725</v>
      </c>
      <c r="K483" t="s">
        <v>34</v>
      </c>
      <c r="L483" t="s">
        <v>37</v>
      </c>
      <c r="M483" t="s">
        <v>38</v>
      </c>
      <c r="N483">
        <v>4</v>
      </c>
      <c r="O483">
        <v>0.77083333333333337</v>
      </c>
      <c r="P483">
        <v>56.5</v>
      </c>
      <c r="Q483" t="s">
        <v>39</v>
      </c>
      <c r="R483" t="s">
        <v>39</v>
      </c>
      <c r="T483" t="s">
        <v>40</v>
      </c>
      <c r="U483" s="1">
        <v>45838</v>
      </c>
    </row>
    <row r="484" spans="1:21" x14ac:dyDescent="0.3">
      <c r="A484">
        <v>478</v>
      </c>
      <c r="B484">
        <v>160</v>
      </c>
      <c r="C484">
        <v>1</v>
      </c>
      <c r="D484" t="s">
        <v>19</v>
      </c>
      <c r="E484" t="s">
        <v>22</v>
      </c>
      <c r="F484">
        <v>31</v>
      </c>
      <c r="G484" t="s">
        <v>25</v>
      </c>
      <c r="I484" t="s">
        <v>32</v>
      </c>
      <c r="J484" s="1">
        <v>45696</v>
      </c>
      <c r="K484" t="s">
        <v>34</v>
      </c>
      <c r="L484" t="s">
        <v>35</v>
      </c>
      <c r="M484" t="s">
        <v>38</v>
      </c>
      <c r="N484">
        <v>4</v>
      </c>
      <c r="O484">
        <v>0.83333333333333337</v>
      </c>
      <c r="P484">
        <v>67</v>
      </c>
      <c r="Q484" t="s">
        <v>39</v>
      </c>
      <c r="R484" t="s">
        <v>40</v>
      </c>
      <c r="T484" t="s">
        <v>40</v>
      </c>
      <c r="U484" s="1">
        <v>45838</v>
      </c>
    </row>
    <row r="485" spans="1:21" x14ac:dyDescent="0.3">
      <c r="A485">
        <v>479</v>
      </c>
      <c r="B485">
        <v>160</v>
      </c>
      <c r="C485">
        <v>2</v>
      </c>
      <c r="D485" t="s">
        <v>19</v>
      </c>
      <c r="E485" t="s">
        <v>22</v>
      </c>
      <c r="F485">
        <v>31</v>
      </c>
      <c r="G485" t="s">
        <v>25</v>
      </c>
      <c r="I485" t="s">
        <v>32</v>
      </c>
      <c r="J485" s="1">
        <v>45696</v>
      </c>
      <c r="K485" t="s">
        <v>34</v>
      </c>
      <c r="L485" t="s">
        <v>36</v>
      </c>
      <c r="M485" t="s">
        <v>38</v>
      </c>
      <c r="N485">
        <v>4</v>
      </c>
      <c r="O485">
        <v>0.875</v>
      </c>
      <c r="P485">
        <v>56.5</v>
      </c>
      <c r="Q485" t="s">
        <v>39</v>
      </c>
      <c r="R485" t="s">
        <v>40</v>
      </c>
      <c r="T485" t="s">
        <v>40</v>
      </c>
      <c r="U485" s="1">
        <v>45838</v>
      </c>
    </row>
    <row r="486" spans="1:21" x14ac:dyDescent="0.3">
      <c r="A486">
        <v>480</v>
      </c>
      <c r="B486">
        <v>160</v>
      </c>
      <c r="C486">
        <v>3</v>
      </c>
      <c r="D486" t="s">
        <v>19</v>
      </c>
      <c r="E486" t="s">
        <v>22</v>
      </c>
      <c r="F486">
        <v>31</v>
      </c>
      <c r="G486" t="s">
        <v>25</v>
      </c>
      <c r="I486" t="s">
        <v>32</v>
      </c>
      <c r="J486" s="1">
        <v>45696</v>
      </c>
      <c r="K486" t="s">
        <v>34</v>
      </c>
      <c r="L486" t="s">
        <v>37</v>
      </c>
      <c r="M486" t="s">
        <v>38</v>
      </c>
      <c r="N486">
        <v>4</v>
      </c>
      <c r="O486">
        <v>0.875</v>
      </c>
      <c r="P486">
        <v>68</v>
      </c>
      <c r="Q486" t="s">
        <v>39</v>
      </c>
      <c r="R486" t="s">
        <v>40</v>
      </c>
      <c r="T486" t="s">
        <v>40</v>
      </c>
      <c r="U486" s="1">
        <v>45838</v>
      </c>
    </row>
    <row r="487" spans="1:21" x14ac:dyDescent="0.3">
      <c r="A487">
        <v>481</v>
      </c>
      <c r="B487">
        <v>161</v>
      </c>
      <c r="C487">
        <v>1</v>
      </c>
      <c r="D487" t="s">
        <v>19</v>
      </c>
      <c r="E487" t="s">
        <v>23</v>
      </c>
      <c r="F487">
        <v>22</v>
      </c>
      <c r="G487" t="s">
        <v>25</v>
      </c>
      <c r="I487" t="s">
        <v>31</v>
      </c>
      <c r="J487" s="1">
        <v>45700</v>
      </c>
      <c r="K487" t="s">
        <v>34</v>
      </c>
      <c r="L487" t="s">
        <v>35</v>
      </c>
      <c r="M487" t="s">
        <v>38</v>
      </c>
      <c r="N487">
        <v>4</v>
      </c>
      <c r="O487">
        <v>0.875</v>
      </c>
      <c r="P487">
        <v>78</v>
      </c>
      <c r="Q487" t="s">
        <v>39</v>
      </c>
      <c r="R487" t="s">
        <v>39</v>
      </c>
      <c r="T487" t="s">
        <v>40</v>
      </c>
      <c r="U487" s="1">
        <v>45838</v>
      </c>
    </row>
    <row r="488" spans="1:21" x14ac:dyDescent="0.3">
      <c r="A488">
        <v>482</v>
      </c>
      <c r="B488">
        <v>161</v>
      </c>
      <c r="C488">
        <v>2</v>
      </c>
      <c r="D488" t="s">
        <v>19</v>
      </c>
      <c r="E488" t="s">
        <v>23</v>
      </c>
      <c r="F488">
        <v>22</v>
      </c>
      <c r="G488" t="s">
        <v>25</v>
      </c>
      <c r="I488" t="s">
        <v>31</v>
      </c>
      <c r="J488" s="1">
        <v>45700</v>
      </c>
      <c r="K488" t="s">
        <v>34</v>
      </c>
      <c r="L488" t="s">
        <v>36</v>
      </c>
      <c r="M488" t="s">
        <v>38</v>
      </c>
      <c r="N488">
        <v>4</v>
      </c>
      <c r="O488">
        <v>0.85416666666666663</v>
      </c>
      <c r="P488">
        <v>80.5</v>
      </c>
      <c r="Q488" t="s">
        <v>39</v>
      </c>
      <c r="R488" t="s">
        <v>39</v>
      </c>
      <c r="T488" t="s">
        <v>40</v>
      </c>
      <c r="U488" s="1">
        <v>45838</v>
      </c>
    </row>
    <row r="489" spans="1:21" x14ac:dyDescent="0.3">
      <c r="A489">
        <v>483</v>
      </c>
      <c r="B489">
        <v>161</v>
      </c>
      <c r="C489">
        <v>3</v>
      </c>
      <c r="D489" t="s">
        <v>19</v>
      </c>
      <c r="E489" t="s">
        <v>23</v>
      </c>
      <c r="F489">
        <v>22</v>
      </c>
      <c r="G489" t="s">
        <v>25</v>
      </c>
      <c r="I489" t="s">
        <v>31</v>
      </c>
      <c r="J489" s="1">
        <v>45700</v>
      </c>
      <c r="K489" t="s">
        <v>34</v>
      </c>
      <c r="L489" t="s">
        <v>37</v>
      </c>
      <c r="M489" t="s">
        <v>38</v>
      </c>
      <c r="N489">
        <v>4</v>
      </c>
      <c r="O489">
        <v>0.75</v>
      </c>
      <c r="P489">
        <v>62.5</v>
      </c>
      <c r="Q489" t="s">
        <v>39</v>
      </c>
      <c r="R489" t="s">
        <v>39</v>
      </c>
      <c r="T489" t="s">
        <v>40</v>
      </c>
      <c r="U489" s="1">
        <v>45838</v>
      </c>
    </row>
    <row r="490" spans="1:21" x14ac:dyDescent="0.3">
      <c r="A490">
        <v>484</v>
      </c>
      <c r="B490">
        <v>162</v>
      </c>
      <c r="C490">
        <v>1</v>
      </c>
      <c r="D490" t="s">
        <v>19</v>
      </c>
      <c r="E490" t="s">
        <v>23</v>
      </c>
      <c r="F490">
        <v>27</v>
      </c>
      <c r="G490" t="s">
        <v>27</v>
      </c>
      <c r="I490" t="s">
        <v>31</v>
      </c>
      <c r="J490" s="1">
        <v>45777</v>
      </c>
      <c r="K490" t="s">
        <v>34</v>
      </c>
      <c r="L490" t="s">
        <v>35</v>
      </c>
      <c r="M490" t="s">
        <v>38</v>
      </c>
      <c r="N490">
        <v>4</v>
      </c>
      <c r="O490">
        <v>0.79166666666666663</v>
      </c>
      <c r="P490">
        <v>74.5</v>
      </c>
      <c r="Q490" t="s">
        <v>39</v>
      </c>
      <c r="R490" t="s">
        <v>39</v>
      </c>
      <c r="T490" t="s">
        <v>40</v>
      </c>
      <c r="U490" s="1">
        <v>45838</v>
      </c>
    </row>
    <row r="491" spans="1:21" x14ac:dyDescent="0.3">
      <c r="A491">
        <v>485</v>
      </c>
      <c r="B491">
        <v>162</v>
      </c>
      <c r="C491">
        <v>2</v>
      </c>
      <c r="D491" t="s">
        <v>19</v>
      </c>
      <c r="E491" t="s">
        <v>23</v>
      </c>
      <c r="F491">
        <v>27</v>
      </c>
      <c r="G491" t="s">
        <v>27</v>
      </c>
      <c r="I491" t="s">
        <v>31</v>
      </c>
      <c r="J491" s="1">
        <v>45777</v>
      </c>
      <c r="K491" t="s">
        <v>34</v>
      </c>
      <c r="L491" t="s">
        <v>36</v>
      </c>
      <c r="M491" t="s">
        <v>38</v>
      </c>
      <c r="N491">
        <v>4</v>
      </c>
      <c r="O491">
        <v>0.91666666666666663</v>
      </c>
      <c r="P491">
        <v>59</v>
      </c>
      <c r="Q491" t="s">
        <v>39</v>
      </c>
      <c r="R491" t="s">
        <v>39</v>
      </c>
      <c r="T491" t="s">
        <v>40</v>
      </c>
      <c r="U491" s="1">
        <v>45838</v>
      </c>
    </row>
    <row r="492" spans="1:21" x14ac:dyDescent="0.3">
      <c r="A492">
        <v>486</v>
      </c>
      <c r="B492">
        <v>162</v>
      </c>
      <c r="C492">
        <v>3</v>
      </c>
      <c r="D492" t="s">
        <v>19</v>
      </c>
      <c r="E492" t="s">
        <v>23</v>
      </c>
      <c r="F492">
        <v>27</v>
      </c>
      <c r="G492" t="s">
        <v>27</v>
      </c>
      <c r="I492" t="s">
        <v>31</v>
      </c>
      <c r="J492" s="1">
        <v>45777</v>
      </c>
      <c r="K492" t="s">
        <v>34</v>
      </c>
      <c r="L492" t="s">
        <v>37</v>
      </c>
      <c r="M492" t="s">
        <v>38</v>
      </c>
      <c r="N492">
        <v>4</v>
      </c>
      <c r="O492">
        <v>0.79166666666666663</v>
      </c>
      <c r="P492">
        <v>80.5</v>
      </c>
      <c r="Q492" t="s">
        <v>39</v>
      </c>
      <c r="R492" t="s">
        <v>39</v>
      </c>
      <c r="T492" t="s">
        <v>40</v>
      </c>
      <c r="U492" s="1">
        <v>45838</v>
      </c>
    </row>
    <row r="493" spans="1:21" x14ac:dyDescent="0.3">
      <c r="A493">
        <v>487</v>
      </c>
      <c r="B493">
        <v>163</v>
      </c>
      <c r="C493">
        <v>1</v>
      </c>
      <c r="D493" t="s">
        <v>19</v>
      </c>
      <c r="E493" t="s">
        <v>23</v>
      </c>
      <c r="F493">
        <v>30</v>
      </c>
      <c r="G493" t="s">
        <v>29</v>
      </c>
      <c r="I493" t="s">
        <v>33</v>
      </c>
      <c r="J493" s="1">
        <v>45770</v>
      </c>
      <c r="K493" t="s">
        <v>34</v>
      </c>
      <c r="L493" t="s">
        <v>35</v>
      </c>
      <c r="M493" t="s">
        <v>38</v>
      </c>
      <c r="N493">
        <v>4</v>
      </c>
      <c r="O493">
        <v>0.79166666666666663</v>
      </c>
      <c r="P493">
        <v>71</v>
      </c>
      <c r="Q493" t="s">
        <v>39</v>
      </c>
      <c r="R493" t="s">
        <v>39</v>
      </c>
      <c r="T493" t="s">
        <v>40</v>
      </c>
      <c r="U493" s="1">
        <v>45838</v>
      </c>
    </row>
    <row r="494" spans="1:21" x14ac:dyDescent="0.3">
      <c r="A494">
        <v>488</v>
      </c>
      <c r="B494">
        <v>163</v>
      </c>
      <c r="C494">
        <v>2</v>
      </c>
      <c r="D494" t="s">
        <v>19</v>
      </c>
      <c r="E494" t="s">
        <v>23</v>
      </c>
      <c r="F494">
        <v>30</v>
      </c>
      <c r="G494" t="s">
        <v>29</v>
      </c>
      <c r="I494" t="s">
        <v>33</v>
      </c>
      <c r="J494" s="1">
        <v>45770</v>
      </c>
      <c r="K494" t="s">
        <v>34</v>
      </c>
      <c r="L494" t="s">
        <v>36</v>
      </c>
      <c r="M494" t="s">
        <v>38</v>
      </c>
      <c r="N494">
        <v>4</v>
      </c>
      <c r="O494">
        <v>0.89583333333333337</v>
      </c>
      <c r="P494">
        <v>72.5</v>
      </c>
      <c r="Q494" t="s">
        <v>39</v>
      </c>
      <c r="R494" t="s">
        <v>39</v>
      </c>
      <c r="T494" t="s">
        <v>40</v>
      </c>
      <c r="U494" s="1">
        <v>45838</v>
      </c>
    </row>
    <row r="495" spans="1:21" x14ac:dyDescent="0.3">
      <c r="A495">
        <v>489</v>
      </c>
      <c r="B495">
        <v>163</v>
      </c>
      <c r="C495">
        <v>3</v>
      </c>
      <c r="D495" t="s">
        <v>20</v>
      </c>
      <c r="E495" t="s">
        <v>23</v>
      </c>
      <c r="F495">
        <v>30</v>
      </c>
      <c r="G495" t="s">
        <v>29</v>
      </c>
      <c r="I495" t="s">
        <v>33</v>
      </c>
      <c r="J495" s="1">
        <v>45770</v>
      </c>
      <c r="K495" t="s">
        <v>34</v>
      </c>
      <c r="L495" t="s">
        <v>37</v>
      </c>
      <c r="M495" t="s">
        <v>38</v>
      </c>
      <c r="N495">
        <v>4</v>
      </c>
      <c r="O495">
        <v>0.85416666666666663</v>
      </c>
      <c r="P495">
        <v>86</v>
      </c>
      <c r="Q495" t="s">
        <v>39</v>
      </c>
      <c r="R495" t="s">
        <v>39</v>
      </c>
      <c r="T495" t="s">
        <v>40</v>
      </c>
      <c r="U495" s="1">
        <v>45838</v>
      </c>
    </row>
    <row r="496" spans="1:21" x14ac:dyDescent="0.3">
      <c r="A496">
        <v>490</v>
      </c>
      <c r="B496">
        <v>164</v>
      </c>
      <c r="C496">
        <v>1</v>
      </c>
      <c r="D496" t="s">
        <v>19</v>
      </c>
      <c r="E496" t="s">
        <v>22</v>
      </c>
      <c r="F496">
        <v>19</v>
      </c>
      <c r="G496" t="s">
        <v>27</v>
      </c>
      <c r="I496" t="s">
        <v>30</v>
      </c>
      <c r="J496" s="1">
        <v>45722</v>
      </c>
      <c r="K496" t="s">
        <v>34</v>
      </c>
      <c r="L496" t="s">
        <v>35</v>
      </c>
      <c r="M496" t="s">
        <v>38</v>
      </c>
      <c r="N496">
        <v>4</v>
      </c>
      <c r="O496">
        <v>0.75</v>
      </c>
      <c r="P496">
        <v>67</v>
      </c>
      <c r="Q496" t="s">
        <v>39</v>
      </c>
      <c r="R496" t="s">
        <v>39</v>
      </c>
      <c r="T496" t="s">
        <v>39</v>
      </c>
      <c r="U496" s="1">
        <v>45838</v>
      </c>
    </row>
    <row r="497" spans="1:21" x14ac:dyDescent="0.3">
      <c r="A497">
        <v>491</v>
      </c>
      <c r="B497">
        <v>164</v>
      </c>
      <c r="C497">
        <v>2</v>
      </c>
      <c r="D497" t="s">
        <v>19</v>
      </c>
      <c r="E497" t="s">
        <v>22</v>
      </c>
      <c r="F497">
        <v>19</v>
      </c>
      <c r="G497" t="s">
        <v>27</v>
      </c>
      <c r="I497" t="s">
        <v>30</v>
      </c>
      <c r="J497" s="1">
        <v>45722</v>
      </c>
      <c r="K497" t="s">
        <v>34</v>
      </c>
      <c r="L497" t="s">
        <v>36</v>
      </c>
      <c r="M497" t="s">
        <v>38</v>
      </c>
      <c r="N497">
        <v>4</v>
      </c>
      <c r="O497">
        <v>0.77083333333333337</v>
      </c>
      <c r="P497">
        <v>72.5</v>
      </c>
      <c r="Q497" t="s">
        <v>39</v>
      </c>
      <c r="R497" t="s">
        <v>39</v>
      </c>
      <c r="T497" t="s">
        <v>39</v>
      </c>
      <c r="U497" s="1">
        <v>45838</v>
      </c>
    </row>
    <row r="498" spans="1:21" x14ac:dyDescent="0.3">
      <c r="A498">
        <v>492</v>
      </c>
      <c r="B498">
        <v>164</v>
      </c>
      <c r="C498">
        <v>3</v>
      </c>
      <c r="D498" t="s">
        <v>21</v>
      </c>
      <c r="E498" t="s">
        <v>22</v>
      </c>
      <c r="F498">
        <v>19</v>
      </c>
      <c r="G498" t="s">
        <v>27</v>
      </c>
      <c r="I498" t="s">
        <v>30</v>
      </c>
      <c r="J498" s="1">
        <v>45722</v>
      </c>
      <c r="K498" t="s">
        <v>34</v>
      </c>
      <c r="L498" t="s">
        <v>37</v>
      </c>
      <c r="M498" t="s">
        <v>38</v>
      </c>
      <c r="N498">
        <v>4</v>
      </c>
      <c r="O498">
        <v>0.75</v>
      </c>
      <c r="P498">
        <v>77</v>
      </c>
      <c r="Q498" t="s">
        <v>39</v>
      </c>
      <c r="R498" t="s">
        <v>39</v>
      </c>
      <c r="T498" t="s">
        <v>39</v>
      </c>
      <c r="U498" s="1">
        <v>45838</v>
      </c>
    </row>
    <row r="499" spans="1:21" x14ac:dyDescent="0.3">
      <c r="A499">
        <v>493</v>
      </c>
      <c r="B499">
        <v>165</v>
      </c>
      <c r="C499">
        <v>1</v>
      </c>
      <c r="D499" t="s">
        <v>19</v>
      </c>
      <c r="E499" t="s">
        <v>22</v>
      </c>
      <c r="F499">
        <v>20</v>
      </c>
      <c r="G499" t="s">
        <v>28</v>
      </c>
      <c r="I499" t="s">
        <v>31</v>
      </c>
      <c r="J499" s="1">
        <v>45726</v>
      </c>
      <c r="K499" t="s">
        <v>34</v>
      </c>
      <c r="L499" t="s">
        <v>35</v>
      </c>
      <c r="M499" t="s">
        <v>38</v>
      </c>
      <c r="N499">
        <v>4</v>
      </c>
      <c r="O499">
        <v>0.85416666666666663</v>
      </c>
      <c r="P499">
        <v>82</v>
      </c>
      <c r="Q499" t="s">
        <v>39</v>
      </c>
      <c r="R499" t="s">
        <v>40</v>
      </c>
      <c r="T499" t="s">
        <v>40</v>
      </c>
      <c r="U499" s="1">
        <v>45838</v>
      </c>
    </row>
    <row r="500" spans="1:21" x14ac:dyDescent="0.3">
      <c r="A500">
        <v>494</v>
      </c>
      <c r="B500">
        <v>165</v>
      </c>
      <c r="C500">
        <v>2</v>
      </c>
      <c r="D500" t="s">
        <v>19</v>
      </c>
      <c r="E500" t="s">
        <v>22</v>
      </c>
      <c r="F500">
        <v>20</v>
      </c>
      <c r="G500" t="s">
        <v>28</v>
      </c>
      <c r="I500" t="s">
        <v>31</v>
      </c>
      <c r="J500" s="1">
        <v>45726</v>
      </c>
      <c r="K500" t="s">
        <v>34</v>
      </c>
      <c r="L500" t="s">
        <v>36</v>
      </c>
      <c r="M500" t="s">
        <v>38</v>
      </c>
      <c r="N500">
        <v>4</v>
      </c>
      <c r="O500">
        <v>0.91666666666666663</v>
      </c>
      <c r="P500">
        <v>59</v>
      </c>
      <c r="Q500" t="s">
        <v>39</v>
      </c>
      <c r="R500" t="s">
        <v>40</v>
      </c>
      <c r="T500" t="s">
        <v>40</v>
      </c>
      <c r="U500" s="1">
        <v>45838</v>
      </c>
    </row>
    <row r="501" spans="1:21" x14ac:dyDescent="0.3">
      <c r="A501">
        <v>495</v>
      </c>
      <c r="B501">
        <v>165</v>
      </c>
      <c r="C501">
        <v>3</v>
      </c>
      <c r="D501" t="s">
        <v>21</v>
      </c>
      <c r="E501" t="s">
        <v>22</v>
      </c>
      <c r="F501">
        <v>20</v>
      </c>
      <c r="G501" t="s">
        <v>28</v>
      </c>
      <c r="I501" t="s">
        <v>31</v>
      </c>
      <c r="J501" s="1">
        <v>45726</v>
      </c>
      <c r="K501" t="s">
        <v>34</v>
      </c>
      <c r="L501" t="s">
        <v>37</v>
      </c>
      <c r="M501" t="s">
        <v>38</v>
      </c>
      <c r="N501">
        <v>4</v>
      </c>
      <c r="O501">
        <v>0.70833333333333337</v>
      </c>
      <c r="P501">
        <v>59</v>
      </c>
      <c r="Q501" t="s">
        <v>39</v>
      </c>
      <c r="R501" t="s">
        <v>40</v>
      </c>
      <c r="T501" t="s">
        <v>40</v>
      </c>
      <c r="U501" s="1">
        <v>45838</v>
      </c>
    </row>
    <row r="502" spans="1:21" x14ac:dyDescent="0.3">
      <c r="A502">
        <v>496</v>
      </c>
      <c r="B502">
        <v>166</v>
      </c>
      <c r="C502">
        <v>1</v>
      </c>
      <c r="D502" t="s">
        <v>21</v>
      </c>
      <c r="E502" t="s">
        <v>22</v>
      </c>
      <c r="F502">
        <v>23</v>
      </c>
      <c r="G502" t="s">
        <v>27</v>
      </c>
      <c r="I502" t="s">
        <v>33</v>
      </c>
      <c r="J502" s="1">
        <v>45729</v>
      </c>
      <c r="K502" t="s">
        <v>34</v>
      </c>
      <c r="L502" t="s">
        <v>35</v>
      </c>
      <c r="M502" t="s">
        <v>38</v>
      </c>
      <c r="N502">
        <v>4</v>
      </c>
      <c r="O502">
        <v>0.83333333333333337</v>
      </c>
      <c r="P502">
        <v>90.5</v>
      </c>
      <c r="Q502" t="s">
        <v>39</v>
      </c>
      <c r="R502" t="s">
        <v>39</v>
      </c>
      <c r="T502" t="s">
        <v>40</v>
      </c>
      <c r="U502" s="1">
        <v>45838</v>
      </c>
    </row>
    <row r="503" spans="1:21" x14ac:dyDescent="0.3">
      <c r="A503">
        <v>497</v>
      </c>
      <c r="B503">
        <v>166</v>
      </c>
      <c r="C503">
        <v>2</v>
      </c>
      <c r="D503" t="s">
        <v>20</v>
      </c>
      <c r="E503" t="s">
        <v>22</v>
      </c>
      <c r="F503">
        <v>23</v>
      </c>
      <c r="G503" t="s">
        <v>27</v>
      </c>
      <c r="I503" t="s">
        <v>33</v>
      </c>
      <c r="J503" s="1">
        <v>45729</v>
      </c>
      <c r="K503" t="s">
        <v>34</v>
      </c>
      <c r="L503" t="s">
        <v>36</v>
      </c>
      <c r="M503" t="s">
        <v>38</v>
      </c>
      <c r="N503">
        <v>4</v>
      </c>
      <c r="O503">
        <v>0.89583333333333337</v>
      </c>
      <c r="P503">
        <v>54.5</v>
      </c>
      <c r="Q503" t="s">
        <v>39</v>
      </c>
      <c r="R503" t="s">
        <v>39</v>
      </c>
      <c r="T503" t="s">
        <v>40</v>
      </c>
      <c r="U503" s="1">
        <v>45838</v>
      </c>
    </row>
    <row r="504" spans="1:21" x14ac:dyDescent="0.3">
      <c r="A504">
        <v>498</v>
      </c>
      <c r="B504">
        <v>166</v>
      </c>
      <c r="C504">
        <v>3</v>
      </c>
      <c r="D504" t="s">
        <v>19</v>
      </c>
      <c r="E504" t="s">
        <v>22</v>
      </c>
      <c r="F504">
        <v>23</v>
      </c>
      <c r="G504" t="s">
        <v>27</v>
      </c>
      <c r="I504" t="s">
        <v>33</v>
      </c>
      <c r="J504" s="1">
        <v>45729</v>
      </c>
      <c r="K504" t="s">
        <v>34</v>
      </c>
      <c r="L504" t="s">
        <v>37</v>
      </c>
      <c r="M504" t="s">
        <v>38</v>
      </c>
      <c r="N504">
        <v>4</v>
      </c>
      <c r="O504">
        <v>0.85416666666666663</v>
      </c>
      <c r="P504">
        <v>51.5</v>
      </c>
      <c r="Q504" t="s">
        <v>39</v>
      </c>
      <c r="R504" t="s">
        <v>39</v>
      </c>
      <c r="T504" t="s">
        <v>40</v>
      </c>
      <c r="U504" s="1">
        <v>45838</v>
      </c>
    </row>
    <row r="505" spans="1:21" x14ac:dyDescent="0.3">
      <c r="A505">
        <v>499</v>
      </c>
      <c r="B505">
        <v>167</v>
      </c>
      <c r="C505">
        <v>1</v>
      </c>
      <c r="D505" t="s">
        <v>19</v>
      </c>
      <c r="E505" t="s">
        <v>22</v>
      </c>
      <c r="F505">
        <v>31</v>
      </c>
      <c r="G505" t="s">
        <v>24</v>
      </c>
      <c r="I505" t="s">
        <v>33</v>
      </c>
      <c r="J505" s="1">
        <v>45681</v>
      </c>
      <c r="K505" t="s">
        <v>34</v>
      </c>
      <c r="L505" t="s">
        <v>35</v>
      </c>
      <c r="M505" t="s">
        <v>38</v>
      </c>
      <c r="N505">
        <v>4</v>
      </c>
      <c r="O505">
        <v>0.91666666666666663</v>
      </c>
      <c r="P505">
        <v>51.5</v>
      </c>
      <c r="Q505" t="s">
        <v>39</v>
      </c>
      <c r="R505" t="s">
        <v>39</v>
      </c>
      <c r="T505" t="s">
        <v>40</v>
      </c>
      <c r="U505" s="1">
        <v>45838</v>
      </c>
    </row>
    <row r="506" spans="1:21" x14ac:dyDescent="0.3">
      <c r="A506">
        <v>500</v>
      </c>
      <c r="B506">
        <v>167</v>
      </c>
      <c r="C506">
        <v>2</v>
      </c>
      <c r="D506" t="s">
        <v>20</v>
      </c>
      <c r="E506" t="s">
        <v>22</v>
      </c>
      <c r="F506">
        <v>31</v>
      </c>
      <c r="G506" t="s">
        <v>24</v>
      </c>
      <c r="I506" t="s">
        <v>33</v>
      </c>
      <c r="J506" s="1">
        <v>45681</v>
      </c>
      <c r="K506" t="s">
        <v>34</v>
      </c>
      <c r="L506" t="s">
        <v>36</v>
      </c>
      <c r="M506" t="s">
        <v>38</v>
      </c>
      <c r="N506">
        <v>4</v>
      </c>
      <c r="O506">
        <v>0.75</v>
      </c>
      <c r="P506">
        <v>57.5</v>
      </c>
      <c r="Q506" t="s">
        <v>39</v>
      </c>
      <c r="R506" t="s">
        <v>39</v>
      </c>
      <c r="T506" t="s">
        <v>40</v>
      </c>
      <c r="U506" s="1">
        <v>45838</v>
      </c>
    </row>
    <row r="507" spans="1:21" x14ac:dyDescent="0.3">
      <c r="A507">
        <v>501</v>
      </c>
      <c r="B507">
        <v>167</v>
      </c>
      <c r="C507">
        <v>3</v>
      </c>
      <c r="D507" t="s">
        <v>19</v>
      </c>
      <c r="E507" t="s">
        <v>22</v>
      </c>
      <c r="F507">
        <v>31</v>
      </c>
      <c r="G507" t="s">
        <v>24</v>
      </c>
      <c r="I507" t="s">
        <v>33</v>
      </c>
      <c r="J507" s="1">
        <v>45681</v>
      </c>
      <c r="K507" t="s">
        <v>34</v>
      </c>
      <c r="L507" t="s">
        <v>37</v>
      </c>
      <c r="M507" t="s">
        <v>38</v>
      </c>
      <c r="N507">
        <v>4</v>
      </c>
      <c r="O507">
        <v>0.875</v>
      </c>
      <c r="P507">
        <v>89.5</v>
      </c>
      <c r="Q507" t="s">
        <v>39</v>
      </c>
      <c r="R507" t="s">
        <v>39</v>
      </c>
      <c r="T507" t="s">
        <v>40</v>
      </c>
      <c r="U507" s="1">
        <v>45838</v>
      </c>
    </row>
    <row r="508" spans="1:21" x14ac:dyDescent="0.3">
      <c r="A508">
        <v>502</v>
      </c>
      <c r="B508">
        <v>168</v>
      </c>
      <c r="C508">
        <v>1</v>
      </c>
      <c r="D508" t="s">
        <v>19</v>
      </c>
      <c r="E508" t="s">
        <v>23</v>
      </c>
      <c r="F508">
        <v>29</v>
      </c>
      <c r="G508" t="s">
        <v>27</v>
      </c>
      <c r="I508" t="s">
        <v>30</v>
      </c>
      <c r="J508" s="1">
        <v>45740</v>
      </c>
      <c r="K508" t="s">
        <v>34</v>
      </c>
      <c r="L508" t="s">
        <v>35</v>
      </c>
      <c r="M508" t="s">
        <v>38</v>
      </c>
      <c r="N508">
        <v>4</v>
      </c>
      <c r="O508">
        <v>0.8125</v>
      </c>
      <c r="P508">
        <v>87.5</v>
      </c>
      <c r="Q508" t="s">
        <v>39</v>
      </c>
      <c r="R508" t="s">
        <v>39</v>
      </c>
      <c r="T508" t="s">
        <v>40</v>
      </c>
      <c r="U508" s="1">
        <v>45838</v>
      </c>
    </row>
    <row r="509" spans="1:21" x14ac:dyDescent="0.3">
      <c r="A509">
        <v>503</v>
      </c>
      <c r="B509">
        <v>168</v>
      </c>
      <c r="C509">
        <v>2</v>
      </c>
      <c r="D509" t="s">
        <v>20</v>
      </c>
      <c r="E509" t="s">
        <v>23</v>
      </c>
      <c r="F509">
        <v>29</v>
      </c>
      <c r="G509" t="s">
        <v>27</v>
      </c>
      <c r="I509" t="s">
        <v>30</v>
      </c>
      <c r="J509" s="1">
        <v>45740</v>
      </c>
      <c r="K509" t="s">
        <v>34</v>
      </c>
      <c r="L509" t="s">
        <v>36</v>
      </c>
      <c r="M509" t="s">
        <v>38</v>
      </c>
      <c r="N509">
        <v>4</v>
      </c>
      <c r="O509">
        <v>0.77083333333333337</v>
      </c>
      <c r="P509">
        <v>78</v>
      </c>
      <c r="Q509" t="s">
        <v>39</v>
      </c>
      <c r="R509" t="s">
        <v>39</v>
      </c>
      <c r="T509" t="s">
        <v>40</v>
      </c>
      <c r="U509" s="1">
        <v>45838</v>
      </c>
    </row>
    <row r="510" spans="1:21" x14ac:dyDescent="0.3">
      <c r="A510">
        <v>504</v>
      </c>
      <c r="B510">
        <v>168</v>
      </c>
      <c r="C510">
        <v>3</v>
      </c>
      <c r="D510" t="s">
        <v>20</v>
      </c>
      <c r="E510" t="s">
        <v>23</v>
      </c>
      <c r="F510">
        <v>29</v>
      </c>
      <c r="G510" t="s">
        <v>27</v>
      </c>
      <c r="I510" t="s">
        <v>30</v>
      </c>
      <c r="J510" s="1">
        <v>45740</v>
      </c>
      <c r="K510" t="s">
        <v>34</v>
      </c>
      <c r="L510" t="s">
        <v>37</v>
      </c>
      <c r="M510" t="s">
        <v>38</v>
      </c>
      <c r="N510">
        <v>4</v>
      </c>
      <c r="O510">
        <v>0.875</v>
      </c>
      <c r="P510">
        <v>45.5</v>
      </c>
      <c r="Q510" t="s">
        <v>39</v>
      </c>
      <c r="R510" t="s">
        <v>39</v>
      </c>
      <c r="T510" t="s">
        <v>40</v>
      </c>
      <c r="U510" s="1">
        <v>45838</v>
      </c>
    </row>
    <row r="511" spans="1:21" x14ac:dyDescent="0.3">
      <c r="A511">
        <v>505</v>
      </c>
      <c r="B511">
        <v>169</v>
      </c>
      <c r="C511">
        <v>1</v>
      </c>
      <c r="D511" t="s">
        <v>19</v>
      </c>
      <c r="E511" t="s">
        <v>22</v>
      </c>
      <c r="F511">
        <v>23</v>
      </c>
      <c r="G511" t="s">
        <v>29</v>
      </c>
      <c r="I511" t="s">
        <v>33</v>
      </c>
      <c r="J511" s="1">
        <v>45784</v>
      </c>
      <c r="K511" t="s">
        <v>34</v>
      </c>
      <c r="L511" t="s">
        <v>35</v>
      </c>
      <c r="M511" t="s">
        <v>38</v>
      </c>
      <c r="N511">
        <v>4</v>
      </c>
      <c r="O511">
        <v>0.79166666666666663</v>
      </c>
      <c r="P511">
        <v>87.5</v>
      </c>
      <c r="Q511" t="s">
        <v>39</v>
      </c>
      <c r="R511" t="s">
        <v>39</v>
      </c>
      <c r="T511" t="s">
        <v>40</v>
      </c>
      <c r="U511" s="1">
        <v>45838</v>
      </c>
    </row>
    <row r="512" spans="1:21" x14ac:dyDescent="0.3">
      <c r="A512">
        <v>506</v>
      </c>
      <c r="B512">
        <v>169</v>
      </c>
      <c r="C512">
        <v>2</v>
      </c>
      <c r="D512" t="s">
        <v>21</v>
      </c>
      <c r="E512" t="s">
        <v>22</v>
      </c>
      <c r="F512">
        <v>23</v>
      </c>
      <c r="G512" t="s">
        <v>29</v>
      </c>
      <c r="I512" t="s">
        <v>33</v>
      </c>
      <c r="J512" s="1">
        <v>45784</v>
      </c>
      <c r="K512" t="s">
        <v>34</v>
      </c>
      <c r="L512" t="s">
        <v>36</v>
      </c>
      <c r="M512" t="s">
        <v>38</v>
      </c>
      <c r="N512">
        <v>4</v>
      </c>
      <c r="O512">
        <v>0.72916666666666663</v>
      </c>
      <c r="P512">
        <v>77</v>
      </c>
      <c r="Q512" t="s">
        <v>39</v>
      </c>
      <c r="R512" t="s">
        <v>39</v>
      </c>
      <c r="T512" t="s">
        <v>40</v>
      </c>
      <c r="U512" s="1">
        <v>45838</v>
      </c>
    </row>
    <row r="513" spans="1:21" x14ac:dyDescent="0.3">
      <c r="A513">
        <v>507</v>
      </c>
      <c r="B513">
        <v>169</v>
      </c>
      <c r="C513">
        <v>3</v>
      </c>
      <c r="D513" t="s">
        <v>19</v>
      </c>
      <c r="E513" t="s">
        <v>22</v>
      </c>
      <c r="F513">
        <v>23</v>
      </c>
      <c r="G513" t="s">
        <v>29</v>
      </c>
      <c r="I513" t="s">
        <v>33</v>
      </c>
      <c r="J513" s="1">
        <v>45784</v>
      </c>
      <c r="K513" t="s">
        <v>34</v>
      </c>
      <c r="L513" t="s">
        <v>37</v>
      </c>
      <c r="M513" t="s">
        <v>38</v>
      </c>
      <c r="N513">
        <v>4</v>
      </c>
      <c r="O513">
        <v>0.8125</v>
      </c>
      <c r="P513">
        <v>82</v>
      </c>
      <c r="Q513" t="s">
        <v>39</v>
      </c>
      <c r="R513" t="s">
        <v>39</v>
      </c>
      <c r="T513" t="s">
        <v>40</v>
      </c>
      <c r="U513" s="1">
        <v>45838</v>
      </c>
    </row>
    <row r="514" spans="1:21" x14ac:dyDescent="0.3">
      <c r="A514">
        <v>508</v>
      </c>
      <c r="B514">
        <v>170</v>
      </c>
      <c r="C514">
        <v>1</v>
      </c>
      <c r="D514" t="s">
        <v>19</v>
      </c>
      <c r="E514" t="s">
        <v>23</v>
      </c>
      <c r="F514">
        <v>30</v>
      </c>
      <c r="G514" t="s">
        <v>26</v>
      </c>
      <c r="I514" t="s">
        <v>31</v>
      </c>
      <c r="J514" s="1">
        <v>45774</v>
      </c>
      <c r="K514" t="s">
        <v>34</v>
      </c>
      <c r="L514" t="s">
        <v>35</v>
      </c>
      <c r="M514" t="s">
        <v>38</v>
      </c>
      <c r="N514">
        <v>4</v>
      </c>
      <c r="O514">
        <v>0.85416666666666663</v>
      </c>
      <c r="P514">
        <v>80.5</v>
      </c>
      <c r="Q514" t="s">
        <v>39</v>
      </c>
      <c r="R514" t="s">
        <v>39</v>
      </c>
      <c r="T514" t="s">
        <v>39</v>
      </c>
      <c r="U514" s="1">
        <v>45838</v>
      </c>
    </row>
    <row r="515" spans="1:21" x14ac:dyDescent="0.3">
      <c r="A515">
        <v>509</v>
      </c>
      <c r="B515">
        <v>170</v>
      </c>
      <c r="C515">
        <v>2</v>
      </c>
      <c r="D515" t="s">
        <v>19</v>
      </c>
      <c r="E515" t="s">
        <v>23</v>
      </c>
      <c r="F515">
        <v>30</v>
      </c>
      <c r="G515" t="s">
        <v>26</v>
      </c>
      <c r="I515" t="s">
        <v>31</v>
      </c>
      <c r="J515" s="1">
        <v>45774</v>
      </c>
      <c r="K515" t="s">
        <v>34</v>
      </c>
      <c r="L515" t="s">
        <v>36</v>
      </c>
      <c r="M515" t="s">
        <v>38</v>
      </c>
      <c r="N515">
        <v>4</v>
      </c>
      <c r="O515">
        <v>0.875</v>
      </c>
      <c r="P515">
        <v>82.5</v>
      </c>
      <c r="Q515" t="s">
        <v>39</v>
      </c>
      <c r="R515" t="s">
        <v>39</v>
      </c>
      <c r="T515" t="s">
        <v>39</v>
      </c>
      <c r="U515" s="1">
        <v>45838</v>
      </c>
    </row>
    <row r="516" spans="1:21" x14ac:dyDescent="0.3">
      <c r="A516">
        <v>510</v>
      </c>
      <c r="B516">
        <v>170</v>
      </c>
      <c r="C516">
        <v>3</v>
      </c>
      <c r="D516" t="s">
        <v>19</v>
      </c>
      <c r="E516" t="s">
        <v>23</v>
      </c>
      <c r="F516">
        <v>30</v>
      </c>
      <c r="G516" t="s">
        <v>26</v>
      </c>
      <c r="I516" t="s">
        <v>31</v>
      </c>
      <c r="J516" s="1">
        <v>45774</v>
      </c>
      <c r="K516" t="s">
        <v>34</v>
      </c>
      <c r="L516" t="s">
        <v>37</v>
      </c>
      <c r="M516" t="s">
        <v>38</v>
      </c>
      <c r="N516">
        <v>4</v>
      </c>
      <c r="O516">
        <v>0.875</v>
      </c>
      <c r="P516">
        <v>51.5</v>
      </c>
      <c r="Q516" t="s">
        <v>39</v>
      </c>
      <c r="R516" t="s">
        <v>39</v>
      </c>
      <c r="T516" t="s">
        <v>39</v>
      </c>
      <c r="U516" s="1">
        <v>45838</v>
      </c>
    </row>
    <row r="517" spans="1:21" x14ac:dyDescent="0.3">
      <c r="A517">
        <v>511</v>
      </c>
      <c r="B517">
        <v>171</v>
      </c>
      <c r="C517">
        <v>1</v>
      </c>
      <c r="D517" t="s">
        <v>21</v>
      </c>
      <c r="E517" t="s">
        <v>22</v>
      </c>
      <c r="F517">
        <v>28</v>
      </c>
      <c r="G517" t="s">
        <v>29</v>
      </c>
      <c r="I517" t="s">
        <v>30</v>
      </c>
      <c r="J517" s="1">
        <v>45687</v>
      </c>
      <c r="K517" t="s">
        <v>34</v>
      </c>
      <c r="L517" t="s">
        <v>35</v>
      </c>
      <c r="M517" t="s">
        <v>38</v>
      </c>
      <c r="N517">
        <v>4</v>
      </c>
      <c r="O517">
        <v>0.8125</v>
      </c>
      <c r="P517">
        <v>71</v>
      </c>
      <c r="Q517" t="s">
        <v>40</v>
      </c>
      <c r="R517" t="s">
        <v>40</v>
      </c>
      <c r="T517" t="s">
        <v>40</v>
      </c>
      <c r="U517" s="1">
        <v>45838</v>
      </c>
    </row>
    <row r="518" spans="1:21" x14ac:dyDescent="0.3">
      <c r="A518">
        <v>512</v>
      </c>
      <c r="B518">
        <v>171</v>
      </c>
      <c r="C518">
        <v>2</v>
      </c>
      <c r="D518" t="s">
        <v>19</v>
      </c>
      <c r="E518" t="s">
        <v>22</v>
      </c>
      <c r="F518">
        <v>28</v>
      </c>
      <c r="G518" t="s">
        <v>29</v>
      </c>
      <c r="I518" t="s">
        <v>30</v>
      </c>
      <c r="J518" s="1">
        <v>45687</v>
      </c>
      <c r="K518" t="s">
        <v>34</v>
      </c>
      <c r="L518" t="s">
        <v>36</v>
      </c>
      <c r="M518" t="s">
        <v>38</v>
      </c>
      <c r="N518">
        <v>4</v>
      </c>
      <c r="O518">
        <v>0.83333333333333337</v>
      </c>
      <c r="P518">
        <v>81</v>
      </c>
      <c r="Q518" t="s">
        <v>40</v>
      </c>
      <c r="R518" t="s">
        <v>40</v>
      </c>
      <c r="T518" t="s">
        <v>40</v>
      </c>
      <c r="U518" s="1">
        <v>45838</v>
      </c>
    </row>
    <row r="519" spans="1:21" x14ac:dyDescent="0.3">
      <c r="A519">
        <v>513</v>
      </c>
      <c r="B519">
        <v>171</v>
      </c>
      <c r="C519">
        <v>3</v>
      </c>
      <c r="D519" t="s">
        <v>19</v>
      </c>
      <c r="E519" t="s">
        <v>22</v>
      </c>
      <c r="F519">
        <v>28</v>
      </c>
      <c r="G519" t="s">
        <v>29</v>
      </c>
      <c r="I519" t="s">
        <v>30</v>
      </c>
      <c r="J519" s="1">
        <v>45687</v>
      </c>
      <c r="K519" t="s">
        <v>34</v>
      </c>
      <c r="L519" t="s">
        <v>37</v>
      </c>
      <c r="M519" t="s">
        <v>38</v>
      </c>
      <c r="N519">
        <v>4</v>
      </c>
      <c r="O519">
        <v>0.8125</v>
      </c>
      <c r="P519">
        <v>61</v>
      </c>
      <c r="Q519" t="s">
        <v>40</v>
      </c>
      <c r="R519" t="s">
        <v>40</v>
      </c>
      <c r="T519" t="s">
        <v>40</v>
      </c>
      <c r="U519" s="1">
        <v>45838</v>
      </c>
    </row>
    <row r="520" spans="1:21" x14ac:dyDescent="0.3">
      <c r="A520">
        <v>514</v>
      </c>
      <c r="B520">
        <v>172</v>
      </c>
      <c r="C520">
        <v>1</v>
      </c>
      <c r="D520" t="s">
        <v>19</v>
      </c>
      <c r="E520" t="s">
        <v>23</v>
      </c>
      <c r="F520">
        <v>34</v>
      </c>
      <c r="G520" t="s">
        <v>25</v>
      </c>
      <c r="I520" t="s">
        <v>33</v>
      </c>
      <c r="J520" s="1">
        <v>45763</v>
      </c>
      <c r="K520" t="s">
        <v>34</v>
      </c>
      <c r="L520" t="s">
        <v>35</v>
      </c>
      <c r="M520" t="s">
        <v>38</v>
      </c>
      <c r="N520">
        <v>4</v>
      </c>
      <c r="O520">
        <v>0.875</v>
      </c>
      <c r="P520">
        <v>68</v>
      </c>
      <c r="Q520" t="s">
        <v>39</v>
      </c>
      <c r="R520" t="s">
        <v>40</v>
      </c>
      <c r="T520" t="s">
        <v>40</v>
      </c>
      <c r="U520" s="1">
        <v>45838</v>
      </c>
    </row>
    <row r="521" spans="1:21" x14ac:dyDescent="0.3">
      <c r="A521">
        <v>515</v>
      </c>
      <c r="B521">
        <v>172</v>
      </c>
      <c r="C521">
        <v>2</v>
      </c>
      <c r="D521" t="s">
        <v>19</v>
      </c>
      <c r="E521" t="s">
        <v>23</v>
      </c>
      <c r="F521">
        <v>34</v>
      </c>
      <c r="G521" t="s">
        <v>25</v>
      </c>
      <c r="I521" t="s">
        <v>33</v>
      </c>
      <c r="J521" s="1">
        <v>45763</v>
      </c>
      <c r="K521" t="s">
        <v>34</v>
      </c>
      <c r="L521" t="s">
        <v>36</v>
      </c>
      <c r="M521" t="s">
        <v>38</v>
      </c>
      <c r="N521">
        <v>4</v>
      </c>
      <c r="O521">
        <v>0.79166666666666663</v>
      </c>
      <c r="P521">
        <v>95.5</v>
      </c>
      <c r="Q521" t="s">
        <v>39</v>
      </c>
      <c r="R521" t="s">
        <v>40</v>
      </c>
      <c r="T521" t="s">
        <v>40</v>
      </c>
      <c r="U521" s="1">
        <v>45838</v>
      </c>
    </row>
    <row r="522" spans="1:21" x14ac:dyDescent="0.3">
      <c r="A522">
        <v>516</v>
      </c>
      <c r="B522">
        <v>172</v>
      </c>
      <c r="C522">
        <v>3</v>
      </c>
      <c r="D522" t="s">
        <v>19</v>
      </c>
      <c r="E522" t="s">
        <v>23</v>
      </c>
      <c r="F522">
        <v>34</v>
      </c>
      <c r="G522" t="s">
        <v>25</v>
      </c>
      <c r="I522" t="s">
        <v>33</v>
      </c>
      <c r="J522" s="1">
        <v>45763</v>
      </c>
      <c r="K522" t="s">
        <v>34</v>
      </c>
      <c r="L522" t="s">
        <v>37</v>
      </c>
      <c r="M522" t="s">
        <v>38</v>
      </c>
      <c r="N522">
        <v>4</v>
      </c>
      <c r="O522">
        <v>0.72916666666666663</v>
      </c>
      <c r="P522">
        <v>52.5</v>
      </c>
      <c r="Q522" t="s">
        <v>39</v>
      </c>
      <c r="R522" t="s">
        <v>40</v>
      </c>
      <c r="T522" t="s">
        <v>40</v>
      </c>
      <c r="U522" s="1">
        <v>45838</v>
      </c>
    </row>
    <row r="523" spans="1:21" x14ac:dyDescent="0.3">
      <c r="A523">
        <v>517</v>
      </c>
      <c r="B523">
        <v>173</v>
      </c>
      <c r="C523">
        <v>1</v>
      </c>
      <c r="D523" t="s">
        <v>21</v>
      </c>
      <c r="E523" t="s">
        <v>22</v>
      </c>
      <c r="F523">
        <v>24</v>
      </c>
      <c r="G523" t="s">
        <v>26</v>
      </c>
      <c r="I523" t="s">
        <v>30</v>
      </c>
      <c r="J523" s="1">
        <v>45785</v>
      </c>
      <c r="K523" t="s">
        <v>34</v>
      </c>
      <c r="L523" t="s">
        <v>35</v>
      </c>
      <c r="M523" t="s">
        <v>38</v>
      </c>
      <c r="N523">
        <v>4</v>
      </c>
      <c r="O523">
        <v>0.79166666666666663</v>
      </c>
      <c r="P523">
        <v>95</v>
      </c>
      <c r="Q523" t="s">
        <v>39</v>
      </c>
      <c r="R523" t="s">
        <v>39</v>
      </c>
      <c r="T523" t="s">
        <v>40</v>
      </c>
      <c r="U523" s="1">
        <v>45838</v>
      </c>
    </row>
    <row r="524" spans="1:21" x14ac:dyDescent="0.3">
      <c r="A524">
        <v>518</v>
      </c>
      <c r="B524">
        <v>173</v>
      </c>
      <c r="C524">
        <v>2</v>
      </c>
      <c r="D524" t="s">
        <v>19</v>
      </c>
      <c r="E524" t="s">
        <v>22</v>
      </c>
      <c r="F524">
        <v>24</v>
      </c>
      <c r="G524" t="s">
        <v>26</v>
      </c>
      <c r="I524" t="s">
        <v>30</v>
      </c>
      <c r="J524" s="1">
        <v>45785</v>
      </c>
      <c r="K524" t="s">
        <v>34</v>
      </c>
      <c r="L524" t="s">
        <v>36</v>
      </c>
      <c r="M524" t="s">
        <v>38</v>
      </c>
      <c r="N524">
        <v>4</v>
      </c>
      <c r="O524">
        <v>0.75</v>
      </c>
      <c r="P524">
        <v>98.5</v>
      </c>
      <c r="Q524" t="s">
        <v>39</v>
      </c>
      <c r="R524" t="s">
        <v>39</v>
      </c>
      <c r="T524" t="s">
        <v>40</v>
      </c>
      <c r="U524" s="1">
        <v>45838</v>
      </c>
    </row>
    <row r="525" spans="1:21" x14ac:dyDescent="0.3">
      <c r="A525">
        <v>519</v>
      </c>
      <c r="B525">
        <v>173</v>
      </c>
      <c r="C525">
        <v>3</v>
      </c>
      <c r="D525" t="s">
        <v>20</v>
      </c>
      <c r="E525" t="s">
        <v>22</v>
      </c>
      <c r="F525">
        <v>24</v>
      </c>
      <c r="G525" t="s">
        <v>26</v>
      </c>
      <c r="I525" t="s">
        <v>30</v>
      </c>
      <c r="J525" s="1">
        <v>45785</v>
      </c>
      <c r="K525" t="s">
        <v>34</v>
      </c>
      <c r="L525" t="s">
        <v>37</v>
      </c>
      <c r="M525" t="s">
        <v>38</v>
      </c>
      <c r="N525">
        <v>4</v>
      </c>
      <c r="O525">
        <v>0.89583333333333337</v>
      </c>
      <c r="P525">
        <v>75.5</v>
      </c>
      <c r="Q525" t="s">
        <v>39</v>
      </c>
      <c r="R525" t="s">
        <v>39</v>
      </c>
      <c r="T525" t="s">
        <v>40</v>
      </c>
      <c r="U525" s="1">
        <v>45838</v>
      </c>
    </row>
    <row r="526" spans="1:21" x14ac:dyDescent="0.3">
      <c r="A526">
        <v>520</v>
      </c>
      <c r="B526">
        <v>174</v>
      </c>
      <c r="C526">
        <v>1</v>
      </c>
      <c r="D526" t="s">
        <v>19</v>
      </c>
      <c r="E526" t="s">
        <v>23</v>
      </c>
      <c r="F526">
        <v>19</v>
      </c>
      <c r="G526" t="s">
        <v>28</v>
      </c>
      <c r="I526" t="s">
        <v>30</v>
      </c>
      <c r="J526" s="1">
        <v>45798</v>
      </c>
      <c r="K526" t="s">
        <v>34</v>
      </c>
      <c r="L526" t="s">
        <v>35</v>
      </c>
      <c r="M526" t="s">
        <v>38</v>
      </c>
      <c r="N526">
        <v>4</v>
      </c>
      <c r="O526">
        <v>0.85416666666666663</v>
      </c>
      <c r="P526">
        <v>79</v>
      </c>
      <c r="Q526" t="s">
        <v>39</v>
      </c>
      <c r="R526" t="s">
        <v>39</v>
      </c>
      <c r="T526" t="s">
        <v>39</v>
      </c>
      <c r="U526" s="1">
        <v>45838</v>
      </c>
    </row>
    <row r="527" spans="1:21" x14ac:dyDescent="0.3">
      <c r="A527">
        <v>521</v>
      </c>
      <c r="B527">
        <v>174</v>
      </c>
      <c r="C527">
        <v>2</v>
      </c>
      <c r="D527" t="s">
        <v>21</v>
      </c>
      <c r="E527" t="s">
        <v>23</v>
      </c>
      <c r="F527">
        <v>19</v>
      </c>
      <c r="G527" t="s">
        <v>28</v>
      </c>
      <c r="I527" t="s">
        <v>30</v>
      </c>
      <c r="J527" s="1">
        <v>45798</v>
      </c>
      <c r="K527" t="s">
        <v>34</v>
      </c>
      <c r="L527" t="s">
        <v>36</v>
      </c>
      <c r="M527" t="s">
        <v>38</v>
      </c>
      <c r="N527">
        <v>4</v>
      </c>
      <c r="O527">
        <v>0.9375</v>
      </c>
      <c r="P527">
        <v>92</v>
      </c>
      <c r="Q527" t="s">
        <v>39</v>
      </c>
      <c r="R527" t="s">
        <v>39</v>
      </c>
      <c r="T527" t="s">
        <v>39</v>
      </c>
      <c r="U527" s="1">
        <v>45838</v>
      </c>
    </row>
    <row r="528" spans="1:21" x14ac:dyDescent="0.3">
      <c r="A528">
        <v>522</v>
      </c>
      <c r="B528">
        <v>174</v>
      </c>
      <c r="C528">
        <v>3</v>
      </c>
      <c r="D528" t="s">
        <v>19</v>
      </c>
      <c r="E528" t="s">
        <v>23</v>
      </c>
      <c r="F528">
        <v>19</v>
      </c>
      <c r="G528" t="s">
        <v>28</v>
      </c>
      <c r="I528" t="s">
        <v>30</v>
      </c>
      <c r="J528" s="1">
        <v>45798</v>
      </c>
      <c r="K528" t="s">
        <v>34</v>
      </c>
      <c r="L528" t="s">
        <v>37</v>
      </c>
      <c r="M528" t="s">
        <v>38</v>
      </c>
      <c r="N528">
        <v>4</v>
      </c>
      <c r="O528">
        <v>0.89583333333333337</v>
      </c>
      <c r="P528">
        <v>78.5</v>
      </c>
      <c r="Q528" t="s">
        <v>39</v>
      </c>
      <c r="R528" t="s">
        <v>39</v>
      </c>
      <c r="T528" t="s">
        <v>39</v>
      </c>
      <c r="U528" s="1">
        <v>45838</v>
      </c>
    </row>
    <row r="529" spans="1:21" x14ac:dyDescent="0.3">
      <c r="A529">
        <v>523</v>
      </c>
      <c r="B529">
        <v>175</v>
      </c>
      <c r="C529">
        <v>1</v>
      </c>
      <c r="D529" t="s">
        <v>19</v>
      </c>
      <c r="E529" t="s">
        <v>22</v>
      </c>
      <c r="F529">
        <v>27</v>
      </c>
      <c r="G529" t="s">
        <v>27</v>
      </c>
      <c r="I529" t="s">
        <v>33</v>
      </c>
      <c r="J529" s="1">
        <v>45689</v>
      </c>
      <c r="K529" t="s">
        <v>34</v>
      </c>
      <c r="L529" t="s">
        <v>35</v>
      </c>
      <c r="M529" t="s">
        <v>38</v>
      </c>
      <c r="N529">
        <v>4</v>
      </c>
      <c r="O529">
        <v>0.79166666666666663</v>
      </c>
      <c r="P529">
        <v>49.5</v>
      </c>
      <c r="Q529" t="s">
        <v>40</v>
      </c>
      <c r="R529" t="s">
        <v>40</v>
      </c>
      <c r="T529" t="s">
        <v>40</v>
      </c>
      <c r="U529" s="1">
        <v>45838</v>
      </c>
    </row>
    <row r="530" spans="1:21" x14ac:dyDescent="0.3">
      <c r="A530">
        <v>524</v>
      </c>
      <c r="B530">
        <v>175</v>
      </c>
      <c r="C530">
        <v>2</v>
      </c>
      <c r="D530" t="s">
        <v>21</v>
      </c>
      <c r="E530" t="s">
        <v>22</v>
      </c>
      <c r="F530">
        <v>27</v>
      </c>
      <c r="G530" t="s">
        <v>27</v>
      </c>
      <c r="I530" t="s">
        <v>33</v>
      </c>
      <c r="J530" s="1">
        <v>45689</v>
      </c>
      <c r="K530" t="s">
        <v>34</v>
      </c>
      <c r="L530" t="s">
        <v>36</v>
      </c>
      <c r="M530" t="s">
        <v>38</v>
      </c>
      <c r="N530">
        <v>4</v>
      </c>
      <c r="O530">
        <v>0.875</v>
      </c>
      <c r="P530">
        <v>67</v>
      </c>
      <c r="Q530" t="s">
        <v>40</v>
      </c>
      <c r="R530" t="s">
        <v>40</v>
      </c>
      <c r="T530" t="s">
        <v>40</v>
      </c>
      <c r="U530" s="1">
        <v>45838</v>
      </c>
    </row>
    <row r="531" spans="1:21" x14ac:dyDescent="0.3">
      <c r="A531">
        <v>525</v>
      </c>
      <c r="B531">
        <v>175</v>
      </c>
      <c r="C531">
        <v>3</v>
      </c>
      <c r="D531" t="s">
        <v>21</v>
      </c>
      <c r="E531" t="s">
        <v>22</v>
      </c>
      <c r="F531">
        <v>27</v>
      </c>
      <c r="G531" t="s">
        <v>27</v>
      </c>
      <c r="I531" t="s">
        <v>33</v>
      </c>
      <c r="J531" s="1">
        <v>45689</v>
      </c>
      <c r="K531" t="s">
        <v>34</v>
      </c>
      <c r="L531" t="s">
        <v>37</v>
      </c>
      <c r="M531" t="s">
        <v>38</v>
      </c>
      <c r="N531">
        <v>4</v>
      </c>
      <c r="O531">
        <v>0.83333333333333337</v>
      </c>
      <c r="P531">
        <v>70</v>
      </c>
      <c r="Q531" t="s">
        <v>40</v>
      </c>
      <c r="R531" t="s">
        <v>40</v>
      </c>
      <c r="T531" t="s">
        <v>40</v>
      </c>
      <c r="U531" s="1">
        <v>45838</v>
      </c>
    </row>
    <row r="532" spans="1:21" x14ac:dyDescent="0.3">
      <c r="A532">
        <v>526</v>
      </c>
      <c r="B532">
        <v>176</v>
      </c>
      <c r="C532">
        <v>1</v>
      </c>
      <c r="D532" t="s">
        <v>21</v>
      </c>
      <c r="E532" t="s">
        <v>22</v>
      </c>
      <c r="F532">
        <v>25</v>
      </c>
      <c r="G532" t="s">
        <v>24</v>
      </c>
      <c r="I532" t="s">
        <v>32</v>
      </c>
      <c r="J532" s="1">
        <v>45737</v>
      </c>
      <c r="K532" t="s">
        <v>34</v>
      </c>
      <c r="L532" t="s">
        <v>35</v>
      </c>
      <c r="M532" t="s">
        <v>38</v>
      </c>
      <c r="N532">
        <v>4</v>
      </c>
      <c r="O532">
        <v>0.85416666666666663</v>
      </c>
      <c r="P532">
        <v>88.5</v>
      </c>
      <c r="Q532" t="s">
        <v>39</v>
      </c>
      <c r="R532" t="s">
        <v>39</v>
      </c>
      <c r="T532" t="s">
        <v>39</v>
      </c>
      <c r="U532" s="1">
        <v>45838</v>
      </c>
    </row>
    <row r="533" spans="1:21" x14ac:dyDescent="0.3">
      <c r="A533">
        <v>527</v>
      </c>
      <c r="B533">
        <v>176</v>
      </c>
      <c r="C533">
        <v>2</v>
      </c>
      <c r="D533" t="s">
        <v>19</v>
      </c>
      <c r="E533" t="s">
        <v>22</v>
      </c>
      <c r="F533">
        <v>25</v>
      </c>
      <c r="G533" t="s">
        <v>24</v>
      </c>
      <c r="I533" t="s">
        <v>32</v>
      </c>
      <c r="J533" s="1">
        <v>45737</v>
      </c>
      <c r="K533" t="s">
        <v>34</v>
      </c>
      <c r="L533" t="s">
        <v>36</v>
      </c>
      <c r="M533" t="s">
        <v>38</v>
      </c>
      <c r="N533">
        <v>4</v>
      </c>
      <c r="O533">
        <v>0.85416666666666663</v>
      </c>
      <c r="P533">
        <v>76</v>
      </c>
      <c r="Q533" t="s">
        <v>39</v>
      </c>
      <c r="R533" t="s">
        <v>39</v>
      </c>
      <c r="T533" t="s">
        <v>39</v>
      </c>
      <c r="U533" s="1">
        <v>45838</v>
      </c>
    </row>
    <row r="534" spans="1:21" x14ac:dyDescent="0.3">
      <c r="A534">
        <v>528</v>
      </c>
      <c r="B534">
        <v>176</v>
      </c>
      <c r="C534">
        <v>3</v>
      </c>
      <c r="D534" t="s">
        <v>19</v>
      </c>
      <c r="E534" t="s">
        <v>22</v>
      </c>
      <c r="F534">
        <v>25</v>
      </c>
      <c r="G534" t="s">
        <v>24</v>
      </c>
      <c r="I534" t="s">
        <v>32</v>
      </c>
      <c r="J534" s="1">
        <v>45737</v>
      </c>
      <c r="K534" t="s">
        <v>34</v>
      </c>
      <c r="L534" t="s">
        <v>37</v>
      </c>
      <c r="M534" t="s">
        <v>38</v>
      </c>
      <c r="N534">
        <v>4</v>
      </c>
      <c r="O534">
        <v>1</v>
      </c>
      <c r="P534">
        <v>46.5</v>
      </c>
      <c r="Q534" t="s">
        <v>39</v>
      </c>
      <c r="R534" t="s">
        <v>39</v>
      </c>
      <c r="T534" t="s">
        <v>39</v>
      </c>
      <c r="U534" s="1">
        <v>45838</v>
      </c>
    </row>
    <row r="535" spans="1:21" x14ac:dyDescent="0.3">
      <c r="A535">
        <v>529</v>
      </c>
      <c r="B535">
        <v>177</v>
      </c>
      <c r="C535">
        <v>1</v>
      </c>
      <c r="D535" t="s">
        <v>19</v>
      </c>
      <c r="E535" t="s">
        <v>22</v>
      </c>
      <c r="F535">
        <v>35</v>
      </c>
      <c r="G535" t="s">
        <v>27</v>
      </c>
      <c r="I535" t="s">
        <v>31</v>
      </c>
      <c r="J535" s="1">
        <v>45715</v>
      </c>
      <c r="K535" t="s">
        <v>34</v>
      </c>
      <c r="L535" t="s">
        <v>35</v>
      </c>
      <c r="M535" t="s">
        <v>38</v>
      </c>
      <c r="N535">
        <v>4</v>
      </c>
      <c r="O535">
        <v>0.79166666666666663</v>
      </c>
      <c r="P535">
        <v>54</v>
      </c>
      <c r="Q535" t="s">
        <v>39</v>
      </c>
      <c r="R535" t="s">
        <v>39</v>
      </c>
      <c r="T535" t="s">
        <v>39</v>
      </c>
      <c r="U535" s="1">
        <v>45838</v>
      </c>
    </row>
    <row r="536" spans="1:21" x14ac:dyDescent="0.3">
      <c r="A536">
        <v>530</v>
      </c>
      <c r="B536">
        <v>177</v>
      </c>
      <c r="C536">
        <v>2</v>
      </c>
      <c r="D536" t="s">
        <v>19</v>
      </c>
      <c r="E536" t="s">
        <v>22</v>
      </c>
      <c r="F536">
        <v>35</v>
      </c>
      <c r="G536" t="s">
        <v>27</v>
      </c>
      <c r="I536" t="s">
        <v>31</v>
      </c>
      <c r="J536" s="1">
        <v>45715</v>
      </c>
      <c r="K536" t="s">
        <v>34</v>
      </c>
      <c r="L536" t="s">
        <v>36</v>
      </c>
      <c r="M536" t="s">
        <v>38</v>
      </c>
      <c r="N536">
        <v>4</v>
      </c>
      <c r="O536">
        <v>0.79166666666666663</v>
      </c>
      <c r="P536">
        <v>63.5</v>
      </c>
      <c r="Q536" t="s">
        <v>39</v>
      </c>
      <c r="R536" t="s">
        <v>39</v>
      </c>
      <c r="T536" t="s">
        <v>39</v>
      </c>
      <c r="U536" s="1">
        <v>45838</v>
      </c>
    </row>
    <row r="537" spans="1:21" x14ac:dyDescent="0.3">
      <c r="A537">
        <v>531</v>
      </c>
      <c r="B537">
        <v>177</v>
      </c>
      <c r="C537">
        <v>3</v>
      </c>
      <c r="D537" t="s">
        <v>19</v>
      </c>
      <c r="E537" t="s">
        <v>22</v>
      </c>
      <c r="F537">
        <v>35</v>
      </c>
      <c r="G537" t="s">
        <v>27</v>
      </c>
      <c r="I537" t="s">
        <v>31</v>
      </c>
      <c r="J537" s="1">
        <v>45715</v>
      </c>
      <c r="K537" t="s">
        <v>34</v>
      </c>
      <c r="L537" t="s">
        <v>37</v>
      </c>
      <c r="M537" t="s">
        <v>38</v>
      </c>
      <c r="N537">
        <v>4</v>
      </c>
      <c r="O537">
        <v>0.77083333333333337</v>
      </c>
      <c r="P537">
        <v>94.5</v>
      </c>
      <c r="Q537" t="s">
        <v>39</v>
      </c>
      <c r="R537" t="s">
        <v>39</v>
      </c>
      <c r="T537" t="s">
        <v>39</v>
      </c>
      <c r="U537" s="1">
        <v>45838</v>
      </c>
    </row>
    <row r="538" spans="1:21" x14ac:dyDescent="0.3">
      <c r="A538">
        <v>532</v>
      </c>
      <c r="B538">
        <v>178</v>
      </c>
      <c r="C538">
        <v>1</v>
      </c>
      <c r="D538" t="s">
        <v>21</v>
      </c>
      <c r="E538" t="s">
        <v>22</v>
      </c>
      <c r="F538">
        <v>32</v>
      </c>
      <c r="G538" t="s">
        <v>25</v>
      </c>
      <c r="I538" t="s">
        <v>32</v>
      </c>
      <c r="J538" s="1">
        <v>45785</v>
      </c>
      <c r="K538" t="s">
        <v>34</v>
      </c>
      <c r="L538" t="s">
        <v>35</v>
      </c>
      <c r="M538" t="s">
        <v>38</v>
      </c>
      <c r="N538">
        <v>4</v>
      </c>
      <c r="O538">
        <v>0.77083333333333337</v>
      </c>
      <c r="P538">
        <v>70.5</v>
      </c>
      <c r="Q538" t="s">
        <v>39</v>
      </c>
      <c r="R538" t="s">
        <v>40</v>
      </c>
      <c r="T538" t="s">
        <v>39</v>
      </c>
      <c r="U538" s="1">
        <v>45838</v>
      </c>
    </row>
    <row r="539" spans="1:21" x14ac:dyDescent="0.3">
      <c r="A539">
        <v>533</v>
      </c>
      <c r="B539">
        <v>178</v>
      </c>
      <c r="C539">
        <v>2</v>
      </c>
      <c r="D539" t="s">
        <v>21</v>
      </c>
      <c r="E539" t="s">
        <v>22</v>
      </c>
      <c r="F539">
        <v>32</v>
      </c>
      <c r="G539" t="s">
        <v>25</v>
      </c>
      <c r="I539" t="s">
        <v>32</v>
      </c>
      <c r="J539" s="1">
        <v>45785</v>
      </c>
      <c r="K539" t="s">
        <v>34</v>
      </c>
      <c r="L539" t="s">
        <v>36</v>
      </c>
      <c r="M539" t="s">
        <v>38</v>
      </c>
      <c r="N539">
        <v>4</v>
      </c>
      <c r="O539">
        <v>0.85416666666666663</v>
      </c>
      <c r="P539">
        <v>69</v>
      </c>
      <c r="Q539" t="s">
        <v>39</v>
      </c>
      <c r="R539" t="s">
        <v>40</v>
      </c>
      <c r="T539" t="s">
        <v>39</v>
      </c>
      <c r="U539" s="1">
        <v>45838</v>
      </c>
    </row>
    <row r="540" spans="1:21" x14ac:dyDescent="0.3">
      <c r="A540">
        <v>534</v>
      </c>
      <c r="B540">
        <v>178</v>
      </c>
      <c r="C540">
        <v>3</v>
      </c>
      <c r="D540" t="s">
        <v>19</v>
      </c>
      <c r="E540" t="s">
        <v>22</v>
      </c>
      <c r="F540">
        <v>32</v>
      </c>
      <c r="G540" t="s">
        <v>25</v>
      </c>
      <c r="I540" t="s">
        <v>32</v>
      </c>
      <c r="J540" s="1">
        <v>45785</v>
      </c>
      <c r="K540" t="s">
        <v>34</v>
      </c>
      <c r="L540" t="s">
        <v>37</v>
      </c>
      <c r="M540" t="s">
        <v>38</v>
      </c>
      <c r="N540">
        <v>4</v>
      </c>
      <c r="O540">
        <v>0.8125</v>
      </c>
      <c r="P540">
        <v>72</v>
      </c>
      <c r="Q540" t="s">
        <v>39</v>
      </c>
      <c r="R540" t="s">
        <v>40</v>
      </c>
      <c r="T540" t="s">
        <v>39</v>
      </c>
      <c r="U540" s="1">
        <v>45838</v>
      </c>
    </row>
    <row r="541" spans="1:21" x14ac:dyDescent="0.3">
      <c r="A541">
        <v>535</v>
      </c>
      <c r="B541">
        <v>179</v>
      </c>
      <c r="C541">
        <v>1</v>
      </c>
      <c r="D541" t="s">
        <v>20</v>
      </c>
      <c r="E541" t="s">
        <v>23</v>
      </c>
      <c r="F541">
        <v>34</v>
      </c>
      <c r="G541" t="s">
        <v>24</v>
      </c>
      <c r="I541" t="s">
        <v>30</v>
      </c>
      <c r="J541" s="1">
        <v>45764</v>
      </c>
      <c r="K541" t="s">
        <v>34</v>
      </c>
      <c r="L541" t="s">
        <v>35</v>
      </c>
      <c r="M541" t="s">
        <v>38</v>
      </c>
      <c r="N541">
        <v>4</v>
      </c>
      <c r="O541">
        <v>0.83333333333333337</v>
      </c>
      <c r="P541">
        <v>82.5</v>
      </c>
      <c r="Q541" t="s">
        <v>39</v>
      </c>
      <c r="R541" t="s">
        <v>39</v>
      </c>
      <c r="T541" t="s">
        <v>39</v>
      </c>
      <c r="U541" s="1">
        <v>45838</v>
      </c>
    </row>
    <row r="542" spans="1:21" x14ac:dyDescent="0.3">
      <c r="A542">
        <v>536</v>
      </c>
      <c r="B542">
        <v>179</v>
      </c>
      <c r="C542">
        <v>2</v>
      </c>
      <c r="D542" t="s">
        <v>19</v>
      </c>
      <c r="E542" t="s">
        <v>23</v>
      </c>
      <c r="F542">
        <v>34</v>
      </c>
      <c r="G542" t="s">
        <v>24</v>
      </c>
      <c r="I542" t="s">
        <v>30</v>
      </c>
      <c r="J542" s="1">
        <v>45764</v>
      </c>
      <c r="K542" t="s">
        <v>34</v>
      </c>
      <c r="L542" t="s">
        <v>36</v>
      </c>
      <c r="M542" t="s">
        <v>38</v>
      </c>
      <c r="N542">
        <v>4</v>
      </c>
      <c r="O542">
        <v>0.89583333333333337</v>
      </c>
      <c r="P542">
        <v>79</v>
      </c>
      <c r="Q542" t="s">
        <v>39</v>
      </c>
      <c r="R542" t="s">
        <v>39</v>
      </c>
      <c r="T542" t="s">
        <v>39</v>
      </c>
      <c r="U542" s="1">
        <v>45838</v>
      </c>
    </row>
    <row r="543" spans="1:21" x14ac:dyDescent="0.3">
      <c r="A543">
        <v>537</v>
      </c>
      <c r="B543">
        <v>179</v>
      </c>
      <c r="C543">
        <v>3</v>
      </c>
      <c r="D543" t="s">
        <v>19</v>
      </c>
      <c r="E543" t="s">
        <v>23</v>
      </c>
      <c r="F543">
        <v>34</v>
      </c>
      <c r="G543" t="s">
        <v>24</v>
      </c>
      <c r="I543" t="s">
        <v>30</v>
      </c>
      <c r="J543" s="1">
        <v>45764</v>
      </c>
      <c r="K543" t="s">
        <v>34</v>
      </c>
      <c r="L543" t="s">
        <v>37</v>
      </c>
      <c r="M543" t="s">
        <v>38</v>
      </c>
      <c r="N543">
        <v>4</v>
      </c>
      <c r="O543">
        <v>0.75</v>
      </c>
      <c r="P543">
        <v>67.5</v>
      </c>
      <c r="Q543" t="s">
        <v>39</v>
      </c>
      <c r="R543" t="s">
        <v>39</v>
      </c>
      <c r="T543" t="s">
        <v>39</v>
      </c>
      <c r="U543" s="1">
        <v>45838</v>
      </c>
    </row>
    <row r="544" spans="1:21" x14ac:dyDescent="0.3">
      <c r="A544">
        <v>538</v>
      </c>
      <c r="B544">
        <v>180</v>
      </c>
      <c r="C544">
        <v>1</v>
      </c>
      <c r="D544" t="s">
        <v>19</v>
      </c>
      <c r="E544" t="s">
        <v>23</v>
      </c>
      <c r="F544">
        <v>33</v>
      </c>
      <c r="G544" t="s">
        <v>28</v>
      </c>
      <c r="I544" t="s">
        <v>33</v>
      </c>
      <c r="J544" s="1">
        <v>45799</v>
      </c>
      <c r="K544" t="s">
        <v>34</v>
      </c>
      <c r="L544" t="s">
        <v>35</v>
      </c>
      <c r="M544" t="s">
        <v>38</v>
      </c>
      <c r="N544">
        <v>4</v>
      </c>
      <c r="O544">
        <v>0.89583333333333337</v>
      </c>
      <c r="P544">
        <v>59.5</v>
      </c>
      <c r="Q544" t="s">
        <v>39</v>
      </c>
      <c r="R544" t="s">
        <v>39</v>
      </c>
      <c r="T544" t="s">
        <v>39</v>
      </c>
      <c r="U544" s="1">
        <v>45838</v>
      </c>
    </row>
    <row r="545" spans="1:21" x14ac:dyDescent="0.3">
      <c r="A545">
        <v>539</v>
      </c>
      <c r="B545">
        <v>180</v>
      </c>
      <c r="C545">
        <v>2</v>
      </c>
      <c r="D545" t="s">
        <v>20</v>
      </c>
      <c r="E545" t="s">
        <v>23</v>
      </c>
      <c r="F545">
        <v>33</v>
      </c>
      <c r="G545" t="s">
        <v>28</v>
      </c>
      <c r="I545" t="s">
        <v>33</v>
      </c>
      <c r="J545" s="1">
        <v>45799</v>
      </c>
      <c r="K545" t="s">
        <v>34</v>
      </c>
      <c r="L545" t="s">
        <v>36</v>
      </c>
      <c r="M545" t="s">
        <v>38</v>
      </c>
      <c r="N545">
        <v>4</v>
      </c>
      <c r="O545">
        <v>0.875</v>
      </c>
      <c r="P545">
        <v>79</v>
      </c>
      <c r="Q545" t="s">
        <v>39</v>
      </c>
      <c r="R545" t="s">
        <v>39</v>
      </c>
      <c r="T545" t="s">
        <v>39</v>
      </c>
      <c r="U545" s="1">
        <v>45838</v>
      </c>
    </row>
    <row r="546" spans="1:21" x14ac:dyDescent="0.3">
      <c r="A546">
        <v>540</v>
      </c>
      <c r="B546">
        <v>180</v>
      </c>
      <c r="C546">
        <v>3</v>
      </c>
      <c r="D546" t="s">
        <v>21</v>
      </c>
      <c r="E546" t="s">
        <v>23</v>
      </c>
      <c r="F546">
        <v>33</v>
      </c>
      <c r="G546" t="s">
        <v>28</v>
      </c>
      <c r="I546" t="s">
        <v>33</v>
      </c>
      <c r="J546" s="1">
        <v>45799</v>
      </c>
      <c r="K546" t="s">
        <v>34</v>
      </c>
      <c r="L546" t="s">
        <v>37</v>
      </c>
      <c r="M546" t="s">
        <v>38</v>
      </c>
      <c r="N546">
        <v>4</v>
      </c>
      <c r="O546">
        <v>0.83333333333333337</v>
      </c>
      <c r="P546">
        <v>49.5</v>
      </c>
      <c r="Q546" t="s">
        <v>39</v>
      </c>
      <c r="R546" t="s">
        <v>39</v>
      </c>
      <c r="T546" t="s">
        <v>39</v>
      </c>
      <c r="U546" s="1">
        <v>45838</v>
      </c>
    </row>
    <row r="547" spans="1:21" x14ac:dyDescent="0.3">
      <c r="A547">
        <v>541</v>
      </c>
      <c r="B547">
        <v>181</v>
      </c>
      <c r="C547">
        <v>1</v>
      </c>
      <c r="D547" t="s">
        <v>19</v>
      </c>
      <c r="E547" t="s">
        <v>22</v>
      </c>
      <c r="F547">
        <v>30</v>
      </c>
      <c r="G547" t="s">
        <v>28</v>
      </c>
      <c r="I547" t="s">
        <v>32</v>
      </c>
      <c r="J547" s="1">
        <v>45675</v>
      </c>
      <c r="K547" t="s">
        <v>34</v>
      </c>
      <c r="L547" t="s">
        <v>35</v>
      </c>
      <c r="M547" t="s">
        <v>38</v>
      </c>
      <c r="N547">
        <v>4</v>
      </c>
      <c r="O547">
        <v>0.75</v>
      </c>
      <c r="P547">
        <v>50</v>
      </c>
      <c r="Q547" t="s">
        <v>39</v>
      </c>
      <c r="R547" t="s">
        <v>39</v>
      </c>
      <c r="T547" t="s">
        <v>40</v>
      </c>
      <c r="U547" s="1">
        <v>45838</v>
      </c>
    </row>
    <row r="548" spans="1:21" x14ac:dyDescent="0.3">
      <c r="A548">
        <v>542</v>
      </c>
      <c r="B548">
        <v>181</v>
      </c>
      <c r="C548">
        <v>2</v>
      </c>
      <c r="D548" t="s">
        <v>21</v>
      </c>
      <c r="E548" t="s">
        <v>22</v>
      </c>
      <c r="F548">
        <v>30</v>
      </c>
      <c r="G548" t="s">
        <v>28</v>
      </c>
      <c r="I548" t="s">
        <v>32</v>
      </c>
      <c r="J548" s="1">
        <v>45675</v>
      </c>
      <c r="K548" t="s">
        <v>34</v>
      </c>
      <c r="L548" t="s">
        <v>36</v>
      </c>
      <c r="M548" t="s">
        <v>38</v>
      </c>
      <c r="N548">
        <v>4</v>
      </c>
      <c r="O548">
        <v>0.875</v>
      </c>
      <c r="P548">
        <v>72.5</v>
      </c>
      <c r="Q548" t="s">
        <v>39</v>
      </c>
      <c r="R548" t="s">
        <v>39</v>
      </c>
      <c r="T548" t="s">
        <v>40</v>
      </c>
      <c r="U548" s="1">
        <v>45838</v>
      </c>
    </row>
    <row r="549" spans="1:21" x14ac:dyDescent="0.3">
      <c r="A549">
        <v>543</v>
      </c>
      <c r="B549">
        <v>181</v>
      </c>
      <c r="C549">
        <v>3</v>
      </c>
      <c r="D549" t="s">
        <v>19</v>
      </c>
      <c r="E549" t="s">
        <v>22</v>
      </c>
      <c r="F549">
        <v>30</v>
      </c>
      <c r="G549" t="s">
        <v>28</v>
      </c>
      <c r="I549" t="s">
        <v>32</v>
      </c>
      <c r="J549" s="1">
        <v>45675</v>
      </c>
      <c r="K549" t="s">
        <v>34</v>
      </c>
      <c r="L549" t="s">
        <v>37</v>
      </c>
      <c r="M549" t="s">
        <v>38</v>
      </c>
      <c r="N549">
        <v>4</v>
      </c>
      <c r="O549">
        <v>0.91666666666666663</v>
      </c>
      <c r="P549">
        <v>50</v>
      </c>
      <c r="Q549" t="s">
        <v>39</v>
      </c>
      <c r="R549" t="s">
        <v>39</v>
      </c>
      <c r="T549" t="s">
        <v>40</v>
      </c>
      <c r="U549" s="1">
        <v>45838</v>
      </c>
    </row>
    <row r="550" spans="1:21" x14ac:dyDescent="0.3">
      <c r="A550">
        <v>544</v>
      </c>
      <c r="B550">
        <v>182</v>
      </c>
      <c r="C550">
        <v>1</v>
      </c>
      <c r="D550" t="s">
        <v>20</v>
      </c>
      <c r="E550" t="s">
        <v>23</v>
      </c>
      <c r="F550">
        <v>31</v>
      </c>
      <c r="G550" t="s">
        <v>29</v>
      </c>
      <c r="I550" t="s">
        <v>30</v>
      </c>
      <c r="J550" s="1">
        <v>45658</v>
      </c>
      <c r="K550" t="s">
        <v>34</v>
      </c>
      <c r="L550" t="s">
        <v>35</v>
      </c>
      <c r="M550" t="s">
        <v>38</v>
      </c>
      <c r="N550">
        <v>4</v>
      </c>
      <c r="O550">
        <v>0.75</v>
      </c>
      <c r="P550">
        <v>56.5</v>
      </c>
      <c r="Q550" t="s">
        <v>39</v>
      </c>
      <c r="R550" t="s">
        <v>39</v>
      </c>
      <c r="T550" t="s">
        <v>40</v>
      </c>
      <c r="U550" s="1">
        <v>45838</v>
      </c>
    </row>
    <row r="551" spans="1:21" x14ac:dyDescent="0.3">
      <c r="A551">
        <v>545</v>
      </c>
      <c r="B551">
        <v>182</v>
      </c>
      <c r="C551">
        <v>2</v>
      </c>
      <c r="D551" t="s">
        <v>19</v>
      </c>
      <c r="E551" t="s">
        <v>23</v>
      </c>
      <c r="F551">
        <v>31</v>
      </c>
      <c r="G551" t="s">
        <v>29</v>
      </c>
      <c r="I551" t="s">
        <v>30</v>
      </c>
      <c r="J551" s="1">
        <v>45658</v>
      </c>
      <c r="K551" t="s">
        <v>34</v>
      </c>
      <c r="L551" t="s">
        <v>36</v>
      </c>
      <c r="M551" t="s">
        <v>38</v>
      </c>
      <c r="N551">
        <v>4</v>
      </c>
      <c r="O551">
        <v>0.8125</v>
      </c>
      <c r="P551">
        <v>72</v>
      </c>
      <c r="Q551" t="s">
        <v>39</v>
      </c>
      <c r="R551" t="s">
        <v>39</v>
      </c>
      <c r="T551" t="s">
        <v>40</v>
      </c>
      <c r="U551" s="1">
        <v>45838</v>
      </c>
    </row>
    <row r="552" spans="1:21" x14ac:dyDescent="0.3">
      <c r="A552">
        <v>546</v>
      </c>
      <c r="B552">
        <v>182</v>
      </c>
      <c r="C552">
        <v>3</v>
      </c>
      <c r="D552" t="s">
        <v>19</v>
      </c>
      <c r="E552" t="s">
        <v>23</v>
      </c>
      <c r="F552">
        <v>31</v>
      </c>
      <c r="G552" t="s">
        <v>29</v>
      </c>
      <c r="I552" t="s">
        <v>30</v>
      </c>
      <c r="J552" s="1">
        <v>45658</v>
      </c>
      <c r="K552" t="s">
        <v>34</v>
      </c>
      <c r="L552" t="s">
        <v>37</v>
      </c>
      <c r="M552" t="s">
        <v>38</v>
      </c>
      <c r="N552">
        <v>4</v>
      </c>
      <c r="O552">
        <v>0.875</v>
      </c>
      <c r="P552">
        <v>76</v>
      </c>
      <c r="Q552" t="s">
        <v>39</v>
      </c>
      <c r="R552" t="s">
        <v>39</v>
      </c>
      <c r="T552" t="s">
        <v>40</v>
      </c>
      <c r="U552" s="1">
        <v>45838</v>
      </c>
    </row>
    <row r="553" spans="1:21" x14ac:dyDescent="0.3">
      <c r="A553">
        <v>547</v>
      </c>
      <c r="B553">
        <v>183</v>
      </c>
      <c r="C553">
        <v>1</v>
      </c>
      <c r="D553" t="s">
        <v>19</v>
      </c>
      <c r="E553" t="s">
        <v>23</v>
      </c>
      <c r="F553">
        <v>27</v>
      </c>
      <c r="G553" t="s">
        <v>26</v>
      </c>
      <c r="I553" t="s">
        <v>33</v>
      </c>
      <c r="J553" s="1">
        <v>45696</v>
      </c>
      <c r="K553" t="s">
        <v>34</v>
      </c>
      <c r="L553" t="s">
        <v>35</v>
      </c>
      <c r="M553" t="s">
        <v>38</v>
      </c>
      <c r="N553">
        <v>4</v>
      </c>
      <c r="O553">
        <v>0.79166666666666663</v>
      </c>
      <c r="P553">
        <v>76</v>
      </c>
      <c r="Q553" t="s">
        <v>39</v>
      </c>
      <c r="R553" t="s">
        <v>40</v>
      </c>
      <c r="T553" t="s">
        <v>39</v>
      </c>
      <c r="U553" s="1">
        <v>45838</v>
      </c>
    </row>
    <row r="554" spans="1:21" x14ac:dyDescent="0.3">
      <c r="A554">
        <v>548</v>
      </c>
      <c r="B554">
        <v>183</v>
      </c>
      <c r="C554">
        <v>2</v>
      </c>
      <c r="D554" t="s">
        <v>21</v>
      </c>
      <c r="E554" t="s">
        <v>23</v>
      </c>
      <c r="F554">
        <v>27</v>
      </c>
      <c r="G554" t="s">
        <v>26</v>
      </c>
      <c r="I554" t="s">
        <v>33</v>
      </c>
      <c r="J554" s="1">
        <v>45696</v>
      </c>
      <c r="K554" t="s">
        <v>34</v>
      </c>
      <c r="L554" t="s">
        <v>36</v>
      </c>
      <c r="M554" t="s">
        <v>38</v>
      </c>
      <c r="N554">
        <v>4</v>
      </c>
      <c r="O554">
        <v>0.83333333333333337</v>
      </c>
      <c r="P554">
        <v>85</v>
      </c>
      <c r="Q554" t="s">
        <v>39</v>
      </c>
      <c r="R554" t="s">
        <v>40</v>
      </c>
      <c r="T554" t="s">
        <v>39</v>
      </c>
      <c r="U554" s="1">
        <v>45838</v>
      </c>
    </row>
    <row r="555" spans="1:21" x14ac:dyDescent="0.3">
      <c r="A555">
        <v>549</v>
      </c>
      <c r="B555">
        <v>183</v>
      </c>
      <c r="C555">
        <v>3</v>
      </c>
      <c r="D555" t="s">
        <v>19</v>
      </c>
      <c r="E555" t="s">
        <v>23</v>
      </c>
      <c r="F555">
        <v>27</v>
      </c>
      <c r="G555" t="s">
        <v>26</v>
      </c>
      <c r="I555" t="s">
        <v>33</v>
      </c>
      <c r="J555" s="1">
        <v>45696</v>
      </c>
      <c r="K555" t="s">
        <v>34</v>
      </c>
      <c r="L555" t="s">
        <v>37</v>
      </c>
      <c r="M555" t="s">
        <v>38</v>
      </c>
      <c r="N555">
        <v>4</v>
      </c>
      <c r="O555">
        <v>0.85416666666666663</v>
      </c>
      <c r="P555">
        <v>98.5</v>
      </c>
      <c r="Q555" t="s">
        <v>39</v>
      </c>
      <c r="R555" t="s">
        <v>40</v>
      </c>
      <c r="T555" t="s">
        <v>39</v>
      </c>
      <c r="U555" s="1">
        <v>45838</v>
      </c>
    </row>
    <row r="556" spans="1:21" x14ac:dyDescent="0.3">
      <c r="A556">
        <v>550</v>
      </c>
      <c r="B556">
        <v>184</v>
      </c>
      <c r="C556">
        <v>1</v>
      </c>
      <c r="D556" t="s">
        <v>19</v>
      </c>
      <c r="E556" t="s">
        <v>23</v>
      </c>
      <c r="F556">
        <v>35</v>
      </c>
      <c r="G556" t="s">
        <v>27</v>
      </c>
      <c r="I556" t="s">
        <v>30</v>
      </c>
      <c r="J556" s="1">
        <v>45743</v>
      </c>
      <c r="K556" t="s">
        <v>34</v>
      </c>
      <c r="L556" t="s">
        <v>35</v>
      </c>
      <c r="M556" t="s">
        <v>38</v>
      </c>
      <c r="N556">
        <v>4</v>
      </c>
      <c r="O556">
        <v>0.83333333333333337</v>
      </c>
      <c r="P556">
        <v>69</v>
      </c>
      <c r="Q556" t="s">
        <v>39</v>
      </c>
      <c r="R556" t="s">
        <v>39</v>
      </c>
      <c r="T556" t="s">
        <v>40</v>
      </c>
      <c r="U556" s="1">
        <v>45838</v>
      </c>
    </row>
    <row r="557" spans="1:21" x14ac:dyDescent="0.3">
      <c r="A557">
        <v>551</v>
      </c>
      <c r="B557">
        <v>184</v>
      </c>
      <c r="C557">
        <v>2</v>
      </c>
      <c r="D557" t="s">
        <v>19</v>
      </c>
      <c r="E557" t="s">
        <v>23</v>
      </c>
      <c r="F557">
        <v>35</v>
      </c>
      <c r="G557" t="s">
        <v>27</v>
      </c>
      <c r="I557" t="s">
        <v>30</v>
      </c>
      <c r="J557" s="1">
        <v>45743</v>
      </c>
      <c r="K557" t="s">
        <v>34</v>
      </c>
      <c r="L557" t="s">
        <v>36</v>
      </c>
      <c r="M557" t="s">
        <v>38</v>
      </c>
      <c r="N557">
        <v>4</v>
      </c>
      <c r="O557">
        <v>0.79166666666666663</v>
      </c>
      <c r="P557">
        <v>57</v>
      </c>
      <c r="Q557" t="s">
        <v>39</v>
      </c>
      <c r="R557" t="s">
        <v>39</v>
      </c>
      <c r="T557" t="s">
        <v>40</v>
      </c>
      <c r="U557" s="1">
        <v>45838</v>
      </c>
    </row>
    <row r="558" spans="1:21" x14ac:dyDescent="0.3">
      <c r="A558">
        <v>552</v>
      </c>
      <c r="B558">
        <v>184</v>
      </c>
      <c r="C558">
        <v>3</v>
      </c>
      <c r="D558" t="s">
        <v>19</v>
      </c>
      <c r="E558" t="s">
        <v>23</v>
      </c>
      <c r="F558">
        <v>35</v>
      </c>
      <c r="G558" t="s">
        <v>27</v>
      </c>
      <c r="I558" t="s">
        <v>30</v>
      </c>
      <c r="J558" s="1">
        <v>45743</v>
      </c>
      <c r="K558" t="s">
        <v>34</v>
      </c>
      <c r="L558" t="s">
        <v>37</v>
      </c>
      <c r="M558" t="s">
        <v>38</v>
      </c>
      <c r="N558">
        <v>4</v>
      </c>
      <c r="O558">
        <v>0.83333333333333337</v>
      </c>
      <c r="P558">
        <v>51</v>
      </c>
      <c r="Q558" t="s">
        <v>39</v>
      </c>
      <c r="R558" t="s">
        <v>39</v>
      </c>
      <c r="T558" t="s">
        <v>40</v>
      </c>
      <c r="U558" s="1">
        <v>45838</v>
      </c>
    </row>
    <row r="559" spans="1:21" x14ac:dyDescent="0.3">
      <c r="A559">
        <v>553</v>
      </c>
      <c r="B559">
        <v>185</v>
      </c>
      <c r="C559">
        <v>1</v>
      </c>
      <c r="D559" t="s">
        <v>20</v>
      </c>
      <c r="E559" t="s">
        <v>23</v>
      </c>
      <c r="F559">
        <v>32</v>
      </c>
      <c r="G559" t="s">
        <v>29</v>
      </c>
      <c r="I559" t="s">
        <v>32</v>
      </c>
      <c r="J559" s="1">
        <v>45719</v>
      </c>
      <c r="K559" t="s">
        <v>34</v>
      </c>
      <c r="L559" t="s">
        <v>35</v>
      </c>
      <c r="M559" t="s">
        <v>38</v>
      </c>
      <c r="N559">
        <v>4</v>
      </c>
      <c r="O559">
        <v>0.875</v>
      </c>
      <c r="P559">
        <v>61.5</v>
      </c>
      <c r="Q559" t="s">
        <v>39</v>
      </c>
      <c r="R559" t="s">
        <v>39</v>
      </c>
      <c r="T559" t="s">
        <v>39</v>
      </c>
      <c r="U559" s="1">
        <v>45838</v>
      </c>
    </row>
    <row r="560" spans="1:21" x14ac:dyDescent="0.3">
      <c r="A560">
        <v>554</v>
      </c>
      <c r="B560">
        <v>185</v>
      </c>
      <c r="C560">
        <v>2</v>
      </c>
      <c r="D560" t="s">
        <v>19</v>
      </c>
      <c r="E560" t="s">
        <v>23</v>
      </c>
      <c r="F560">
        <v>32</v>
      </c>
      <c r="G560" t="s">
        <v>29</v>
      </c>
      <c r="I560" t="s">
        <v>32</v>
      </c>
      <c r="J560" s="1">
        <v>45719</v>
      </c>
      <c r="K560" t="s">
        <v>34</v>
      </c>
      <c r="L560" t="s">
        <v>36</v>
      </c>
      <c r="M560" t="s">
        <v>38</v>
      </c>
      <c r="N560">
        <v>4</v>
      </c>
      <c r="O560">
        <v>0.875</v>
      </c>
      <c r="P560">
        <v>52.5</v>
      </c>
      <c r="Q560" t="s">
        <v>39</v>
      </c>
      <c r="R560" t="s">
        <v>39</v>
      </c>
      <c r="T560" t="s">
        <v>39</v>
      </c>
      <c r="U560" s="1">
        <v>45838</v>
      </c>
    </row>
    <row r="561" spans="1:21" x14ac:dyDescent="0.3">
      <c r="A561">
        <v>555</v>
      </c>
      <c r="B561">
        <v>185</v>
      </c>
      <c r="C561">
        <v>3</v>
      </c>
      <c r="D561" t="s">
        <v>19</v>
      </c>
      <c r="E561" t="s">
        <v>23</v>
      </c>
      <c r="F561">
        <v>32</v>
      </c>
      <c r="G561" t="s">
        <v>29</v>
      </c>
      <c r="I561" t="s">
        <v>32</v>
      </c>
      <c r="J561" s="1">
        <v>45719</v>
      </c>
      <c r="K561" t="s">
        <v>34</v>
      </c>
      <c r="L561" t="s">
        <v>37</v>
      </c>
      <c r="M561" t="s">
        <v>38</v>
      </c>
      <c r="N561">
        <v>4</v>
      </c>
      <c r="O561">
        <v>0.91666666666666663</v>
      </c>
      <c r="P561">
        <v>97</v>
      </c>
      <c r="Q561" t="s">
        <v>39</v>
      </c>
      <c r="R561" t="s">
        <v>39</v>
      </c>
      <c r="T561" t="s">
        <v>39</v>
      </c>
      <c r="U561" s="1">
        <v>45838</v>
      </c>
    </row>
    <row r="562" spans="1:21" x14ac:dyDescent="0.3">
      <c r="A562">
        <v>556</v>
      </c>
      <c r="B562">
        <v>186</v>
      </c>
      <c r="C562">
        <v>1</v>
      </c>
      <c r="D562" t="s">
        <v>21</v>
      </c>
      <c r="E562" t="s">
        <v>23</v>
      </c>
      <c r="F562">
        <v>25</v>
      </c>
      <c r="G562" t="s">
        <v>27</v>
      </c>
      <c r="I562" t="s">
        <v>31</v>
      </c>
      <c r="J562" s="1">
        <v>45739</v>
      </c>
      <c r="K562" t="s">
        <v>34</v>
      </c>
      <c r="L562" t="s">
        <v>35</v>
      </c>
      <c r="M562" t="s">
        <v>38</v>
      </c>
      <c r="N562">
        <v>4</v>
      </c>
      <c r="O562">
        <v>0.83333333333333337</v>
      </c>
      <c r="P562">
        <v>65.5</v>
      </c>
      <c r="Q562" t="s">
        <v>40</v>
      </c>
      <c r="R562" t="s">
        <v>40</v>
      </c>
      <c r="T562" t="s">
        <v>40</v>
      </c>
      <c r="U562" s="1">
        <v>45838</v>
      </c>
    </row>
    <row r="563" spans="1:21" x14ac:dyDescent="0.3">
      <c r="A563">
        <v>557</v>
      </c>
      <c r="B563">
        <v>186</v>
      </c>
      <c r="C563">
        <v>2</v>
      </c>
      <c r="D563" t="s">
        <v>20</v>
      </c>
      <c r="E563" t="s">
        <v>23</v>
      </c>
      <c r="F563">
        <v>25</v>
      </c>
      <c r="G563" t="s">
        <v>27</v>
      </c>
      <c r="I563" t="s">
        <v>31</v>
      </c>
      <c r="J563" s="1">
        <v>45739</v>
      </c>
      <c r="K563" t="s">
        <v>34</v>
      </c>
      <c r="L563" t="s">
        <v>36</v>
      </c>
      <c r="M563" t="s">
        <v>38</v>
      </c>
      <c r="N563">
        <v>4</v>
      </c>
      <c r="O563">
        <v>0.83333333333333337</v>
      </c>
      <c r="P563">
        <v>63</v>
      </c>
      <c r="Q563" t="s">
        <v>40</v>
      </c>
      <c r="R563" t="s">
        <v>40</v>
      </c>
      <c r="T563" t="s">
        <v>40</v>
      </c>
      <c r="U563" s="1">
        <v>45838</v>
      </c>
    </row>
    <row r="564" spans="1:21" x14ac:dyDescent="0.3">
      <c r="A564">
        <v>558</v>
      </c>
      <c r="B564">
        <v>186</v>
      </c>
      <c r="C564">
        <v>3</v>
      </c>
      <c r="D564" t="s">
        <v>19</v>
      </c>
      <c r="E564" t="s">
        <v>23</v>
      </c>
      <c r="F564">
        <v>25</v>
      </c>
      <c r="G564" t="s">
        <v>27</v>
      </c>
      <c r="I564" t="s">
        <v>31</v>
      </c>
      <c r="J564" s="1">
        <v>45739</v>
      </c>
      <c r="K564" t="s">
        <v>34</v>
      </c>
      <c r="L564" t="s">
        <v>37</v>
      </c>
      <c r="M564" t="s">
        <v>38</v>
      </c>
      <c r="N564">
        <v>4</v>
      </c>
      <c r="O564">
        <v>0.875</v>
      </c>
      <c r="P564">
        <v>95.5</v>
      </c>
      <c r="Q564" t="s">
        <v>40</v>
      </c>
      <c r="R564" t="s">
        <v>40</v>
      </c>
      <c r="T564" t="s">
        <v>40</v>
      </c>
      <c r="U564" s="1">
        <v>45838</v>
      </c>
    </row>
    <row r="565" spans="1:21" x14ac:dyDescent="0.3">
      <c r="A565">
        <v>559</v>
      </c>
      <c r="B565">
        <v>187</v>
      </c>
      <c r="C565">
        <v>1</v>
      </c>
      <c r="D565" t="s">
        <v>19</v>
      </c>
      <c r="E565" t="s">
        <v>23</v>
      </c>
      <c r="F565">
        <v>30</v>
      </c>
      <c r="G565" t="s">
        <v>27</v>
      </c>
      <c r="I565" t="s">
        <v>32</v>
      </c>
      <c r="J565" s="1">
        <v>45784</v>
      </c>
      <c r="K565" t="s">
        <v>34</v>
      </c>
      <c r="L565" t="s">
        <v>35</v>
      </c>
      <c r="M565" t="s">
        <v>38</v>
      </c>
      <c r="N565">
        <v>4</v>
      </c>
      <c r="O565">
        <v>0.875</v>
      </c>
      <c r="P565">
        <v>75</v>
      </c>
      <c r="Q565" t="s">
        <v>40</v>
      </c>
      <c r="R565" t="s">
        <v>40</v>
      </c>
      <c r="T565" t="s">
        <v>40</v>
      </c>
      <c r="U565" s="1">
        <v>45838</v>
      </c>
    </row>
    <row r="566" spans="1:21" x14ac:dyDescent="0.3">
      <c r="A566">
        <v>560</v>
      </c>
      <c r="B566">
        <v>187</v>
      </c>
      <c r="C566">
        <v>2</v>
      </c>
      <c r="D566" t="s">
        <v>19</v>
      </c>
      <c r="E566" t="s">
        <v>23</v>
      </c>
      <c r="F566">
        <v>30</v>
      </c>
      <c r="G566" t="s">
        <v>27</v>
      </c>
      <c r="I566" t="s">
        <v>32</v>
      </c>
      <c r="J566" s="1">
        <v>45784</v>
      </c>
      <c r="K566" t="s">
        <v>34</v>
      </c>
      <c r="L566" t="s">
        <v>36</v>
      </c>
      <c r="M566" t="s">
        <v>38</v>
      </c>
      <c r="N566">
        <v>4</v>
      </c>
      <c r="O566">
        <v>0.77083333333333337</v>
      </c>
      <c r="P566">
        <v>70.5</v>
      </c>
      <c r="Q566" t="s">
        <v>40</v>
      </c>
      <c r="R566" t="s">
        <v>40</v>
      </c>
      <c r="T566" t="s">
        <v>40</v>
      </c>
      <c r="U566" s="1">
        <v>45838</v>
      </c>
    </row>
    <row r="567" spans="1:21" x14ac:dyDescent="0.3">
      <c r="A567">
        <v>561</v>
      </c>
      <c r="B567">
        <v>187</v>
      </c>
      <c r="C567">
        <v>3</v>
      </c>
      <c r="D567" t="s">
        <v>19</v>
      </c>
      <c r="E567" t="s">
        <v>23</v>
      </c>
      <c r="F567">
        <v>30</v>
      </c>
      <c r="G567" t="s">
        <v>27</v>
      </c>
      <c r="I567" t="s">
        <v>32</v>
      </c>
      <c r="J567" s="1">
        <v>45784</v>
      </c>
      <c r="K567" t="s">
        <v>34</v>
      </c>
      <c r="L567" t="s">
        <v>37</v>
      </c>
      <c r="M567" t="s">
        <v>38</v>
      </c>
      <c r="N567">
        <v>4</v>
      </c>
      <c r="O567">
        <v>0.75</v>
      </c>
      <c r="P567">
        <v>72</v>
      </c>
      <c r="Q567" t="s">
        <v>40</v>
      </c>
      <c r="R567" t="s">
        <v>40</v>
      </c>
      <c r="T567" t="s">
        <v>40</v>
      </c>
      <c r="U567" s="1">
        <v>45838</v>
      </c>
    </row>
    <row r="568" spans="1:21" x14ac:dyDescent="0.3">
      <c r="A568">
        <v>562</v>
      </c>
      <c r="B568">
        <v>188</v>
      </c>
      <c r="C568">
        <v>1</v>
      </c>
      <c r="D568" t="s">
        <v>19</v>
      </c>
      <c r="E568" t="s">
        <v>22</v>
      </c>
      <c r="F568">
        <v>22</v>
      </c>
      <c r="G568" t="s">
        <v>26</v>
      </c>
      <c r="I568" t="s">
        <v>30</v>
      </c>
      <c r="J568" s="1">
        <v>45683</v>
      </c>
      <c r="K568" t="s">
        <v>34</v>
      </c>
      <c r="L568" t="s">
        <v>35</v>
      </c>
      <c r="M568" t="s">
        <v>38</v>
      </c>
      <c r="N568">
        <v>4</v>
      </c>
      <c r="O568">
        <v>0.875</v>
      </c>
      <c r="P568">
        <v>81.5</v>
      </c>
      <c r="Q568" t="s">
        <v>40</v>
      </c>
      <c r="R568" t="s">
        <v>40</v>
      </c>
      <c r="T568" t="s">
        <v>40</v>
      </c>
      <c r="U568" s="1">
        <v>45838</v>
      </c>
    </row>
    <row r="569" spans="1:21" x14ac:dyDescent="0.3">
      <c r="A569">
        <v>563</v>
      </c>
      <c r="B569">
        <v>188</v>
      </c>
      <c r="C569">
        <v>2</v>
      </c>
      <c r="D569" t="s">
        <v>19</v>
      </c>
      <c r="E569" t="s">
        <v>22</v>
      </c>
      <c r="F569">
        <v>22</v>
      </c>
      <c r="G569" t="s">
        <v>26</v>
      </c>
      <c r="I569" t="s">
        <v>30</v>
      </c>
      <c r="J569" s="1">
        <v>45683</v>
      </c>
      <c r="K569" t="s">
        <v>34</v>
      </c>
      <c r="L569" t="s">
        <v>36</v>
      </c>
      <c r="M569" t="s">
        <v>38</v>
      </c>
      <c r="N569">
        <v>4</v>
      </c>
      <c r="O569">
        <v>0.83333333333333337</v>
      </c>
      <c r="P569">
        <v>83</v>
      </c>
      <c r="Q569" t="s">
        <v>40</v>
      </c>
      <c r="R569" t="s">
        <v>40</v>
      </c>
      <c r="T569" t="s">
        <v>40</v>
      </c>
      <c r="U569" s="1">
        <v>45838</v>
      </c>
    </row>
    <row r="570" spans="1:21" x14ac:dyDescent="0.3">
      <c r="A570">
        <v>564</v>
      </c>
      <c r="B570">
        <v>188</v>
      </c>
      <c r="C570">
        <v>3</v>
      </c>
      <c r="D570" t="s">
        <v>19</v>
      </c>
      <c r="E570" t="s">
        <v>22</v>
      </c>
      <c r="F570">
        <v>22</v>
      </c>
      <c r="G570" t="s">
        <v>26</v>
      </c>
      <c r="I570" t="s">
        <v>30</v>
      </c>
      <c r="J570" s="1">
        <v>45683</v>
      </c>
      <c r="K570" t="s">
        <v>34</v>
      </c>
      <c r="L570" t="s">
        <v>37</v>
      </c>
      <c r="M570" t="s">
        <v>38</v>
      </c>
      <c r="N570">
        <v>4</v>
      </c>
      <c r="O570">
        <v>0.85416666666666663</v>
      </c>
      <c r="P570">
        <v>73.5</v>
      </c>
      <c r="Q570" t="s">
        <v>40</v>
      </c>
      <c r="R570" t="s">
        <v>40</v>
      </c>
      <c r="T570" t="s">
        <v>40</v>
      </c>
      <c r="U570" s="1">
        <v>45838</v>
      </c>
    </row>
    <row r="571" spans="1:21" x14ac:dyDescent="0.3">
      <c r="A571">
        <v>565</v>
      </c>
      <c r="B571">
        <v>189</v>
      </c>
      <c r="C571">
        <v>1</v>
      </c>
      <c r="D571" t="s">
        <v>19</v>
      </c>
      <c r="E571" t="s">
        <v>23</v>
      </c>
      <c r="F571">
        <v>21</v>
      </c>
      <c r="G571" t="s">
        <v>26</v>
      </c>
      <c r="I571" t="s">
        <v>33</v>
      </c>
      <c r="J571" s="1">
        <v>45661</v>
      </c>
      <c r="K571" t="s">
        <v>34</v>
      </c>
      <c r="L571" t="s">
        <v>35</v>
      </c>
      <c r="M571" t="s">
        <v>38</v>
      </c>
      <c r="N571">
        <v>4</v>
      </c>
      <c r="O571">
        <v>0.875</v>
      </c>
      <c r="P571">
        <v>67.5</v>
      </c>
      <c r="Q571" t="s">
        <v>39</v>
      </c>
      <c r="R571" t="s">
        <v>39</v>
      </c>
      <c r="T571" t="s">
        <v>40</v>
      </c>
      <c r="U571" s="1">
        <v>45838</v>
      </c>
    </row>
    <row r="572" spans="1:21" x14ac:dyDescent="0.3">
      <c r="A572">
        <v>566</v>
      </c>
      <c r="B572">
        <v>189</v>
      </c>
      <c r="C572">
        <v>2</v>
      </c>
      <c r="D572" t="s">
        <v>19</v>
      </c>
      <c r="E572" t="s">
        <v>23</v>
      </c>
      <c r="F572">
        <v>21</v>
      </c>
      <c r="G572" t="s">
        <v>26</v>
      </c>
      <c r="I572" t="s">
        <v>33</v>
      </c>
      <c r="J572" s="1">
        <v>45661</v>
      </c>
      <c r="K572" t="s">
        <v>34</v>
      </c>
      <c r="L572" t="s">
        <v>36</v>
      </c>
      <c r="M572" t="s">
        <v>38</v>
      </c>
      <c r="N572">
        <v>4</v>
      </c>
      <c r="O572">
        <v>0.79166666666666663</v>
      </c>
      <c r="P572">
        <v>64</v>
      </c>
      <c r="Q572" t="s">
        <v>39</v>
      </c>
      <c r="R572" t="s">
        <v>39</v>
      </c>
      <c r="T572" t="s">
        <v>40</v>
      </c>
      <c r="U572" s="1">
        <v>45838</v>
      </c>
    </row>
    <row r="573" spans="1:21" x14ac:dyDescent="0.3">
      <c r="A573">
        <v>567</v>
      </c>
      <c r="B573">
        <v>189</v>
      </c>
      <c r="C573">
        <v>3</v>
      </c>
      <c r="D573" t="s">
        <v>21</v>
      </c>
      <c r="E573" t="s">
        <v>23</v>
      </c>
      <c r="F573">
        <v>21</v>
      </c>
      <c r="G573" t="s">
        <v>26</v>
      </c>
      <c r="I573" t="s">
        <v>33</v>
      </c>
      <c r="J573" s="1">
        <v>45661</v>
      </c>
      <c r="K573" t="s">
        <v>34</v>
      </c>
      <c r="L573" t="s">
        <v>37</v>
      </c>
      <c r="M573" t="s">
        <v>38</v>
      </c>
      <c r="N573">
        <v>4</v>
      </c>
      <c r="O573">
        <v>0.9375</v>
      </c>
      <c r="P573">
        <v>77</v>
      </c>
      <c r="Q573" t="s">
        <v>39</v>
      </c>
      <c r="R573" t="s">
        <v>39</v>
      </c>
      <c r="T573" t="s">
        <v>40</v>
      </c>
      <c r="U573" s="1">
        <v>45838</v>
      </c>
    </row>
    <row r="574" spans="1:21" x14ac:dyDescent="0.3">
      <c r="A574">
        <v>568</v>
      </c>
      <c r="B574">
        <v>190</v>
      </c>
      <c r="C574">
        <v>1</v>
      </c>
      <c r="D574" t="s">
        <v>19</v>
      </c>
      <c r="E574" t="s">
        <v>22</v>
      </c>
      <c r="F574">
        <v>31</v>
      </c>
      <c r="G574" t="s">
        <v>24</v>
      </c>
      <c r="I574" t="s">
        <v>32</v>
      </c>
      <c r="J574" s="1">
        <v>45677</v>
      </c>
      <c r="K574" t="s">
        <v>34</v>
      </c>
      <c r="L574" t="s">
        <v>35</v>
      </c>
      <c r="M574" t="s">
        <v>38</v>
      </c>
      <c r="N574">
        <v>4</v>
      </c>
      <c r="O574">
        <v>0.85416666666666663</v>
      </c>
      <c r="P574">
        <v>74</v>
      </c>
      <c r="Q574" t="s">
        <v>40</v>
      </c>
      <c r="R574" t="s">
        <v>40</v>
      </c>
      <c r="T574" t="s">
        <v>40</v>
      </c>
      <c r="U574" s="1">
        <v>45838</v>
      </c>
    </row>
    <row r="575" spans="1:21" x14ac:dyDescent="0.3">
      <c r="A575">
        <v>569</v>
      </c>
      <c r="B575">
        <v>190</v>
      </c>
      <c r="C575">
        <v>2</v>
      </c>
      <c r="D575" t="s">
        <v>19</v>
      </c>
      <c r="E575" t="s">
        <v>22</v>
      </c>
      <c r="F575">
        <v>31</v>
      </c>
      <c r="G575" t="s">
        <v>24</v>
      </c>
      <c r="I575" t="s">
        <v>32</v>
      </c>
      <c r="J575" s="1">
        <v>45677</v>
      </c>
      <c r="K575" t="s">
        <v>34</v>
      </c>
      <c r="L575" t="s">
        <v>36</v>
      </c>
      <c r="M575" t="s">
        <v>38</v>
      </c>
      <c r="N575">
        <v>4</v>
      </c>
      <c r="O575">
        <v>0.79166666666666663</v>
      </c>
      <c r="P575">
        <v>78</v>
      </c>
      <c r="Q575" t="s">
        <v>40</v>
      </c>
      <c r="R575" t="s">
        <v>40</v>
      </c>
      <c r="T575" t="s">
        <v>40</v>
      </c>
      <c r="U575" s="1">
        <v>45838</v>
      </c>
    </row>
    <row r="576" spans="1:21" x14ac:dyDescent="0.3">
      <c r="A576">
        <v>570</v>
      </c>
      <c r="B576">
        <v>190</v>
      </c>
      <c r="C576">
        <v>3</v>
      </c>
      <c r="D576" t="s">
        <v>19</v>
      </c>
      <c r="E576" t="s">
        <v>22</v>
      </c>
      <c r="F576">
        <v>31</v>
      </c>
      <c r="G576" t="s">
        <v>24</v>
      </c>
      <c r="I576" t="s">
        <v>32</v>
      </c>
      <c r="J576" s="1">
        <v>45677</v>
      </c>
      <c r="K576" t="s">
        <v>34</v>
      </c>
      <c r="L576" t="s">
        <v>37</v>
      </c>
      <c r="M576" t="s">
        <v>38</v>
      </c>
      <c r="N576">
        <v>4</v>
      </c>
      <c r="O576">
        <v>0.77083333333333337</v>
      </c>
      <c r="P576">
        <v>73</v>
      </c>
      <c r="Q576" t="s">
        <v>40</v>
      </c>
      <c r="R576" t="s">
        <v>40</v>
      </c>
      <c r="T576" t="s">
        <v>40</v>
      </c>
      <c r="U576" s="1">
        <v>45838</v>
      </c>
    </row>
    <row r="577" spans="1:21" x14ac:dyDescent="0.3">
      <c r="A577">
        <v>571</v>
      </c>
      <c r="B577">
        <v>191</v>
      </c>
      <c r="C577">
        <v>1</v>
      </c>
      <c r="D577" t="s">
        <v>19</v>
      </c>
      <c r="E577" t="s">
        <v>23</v>
      </c>
      <c r="F577">
        <v>26</v>
      </c>
      <c r="G577" t="s">
        <v>29</v>
      </c>
      <c r="I577" t="s">
        <v>33</v>
      </c>
      <c r="J577" s="1">
        <v>45678</v>
      </c>
      <c r="K577" t="s">
        <v>34</v>
      </c>
      <c r="L577" t="s">
        <v>35</v>
      </c>
      <c r="M577" t="s">
        <v>38</v>
      </c>
      <c r="N577">
        <v>4</v>
      </c>
      <c r="O577">
        <v>0.83333333333333337</v>
      </c>
      <c r="P577">
        <v>67.5</v>
      </c>
      <c r="Q577" t="s">
        <v>39</v>
      </c>
      <c r="R577" t="s">
        <v>40</v>
      </c>
      <c r="T577" t="s">
        <v>40</v>
      </c>
      <c r="U577" s="1">
        <v>45838</v>
      </c>
    </row>
    <row r="578" spans="1:21" x14ac:dyDescent="0.3">
      <c r="A578">
        <v>572</v>
      </c>
      <c r="B578">
        <v>191</v>
      </c>
      <c r="C578">
        <v>2</v>
      </c>
      <c r="D578" t="s">
        <v>19</v>
      </c>
      <c r="E578" t="s">
        <v>23</v>
      </c>
      <c r="F578">
        <v>26</v>
      </c>
      <c r="G578" t="s">
        <v>29</v>
      </c>
      <c r="I578" t="s">
        <v>33</v>
      </c>
      <c r="J578" s="1">
        <v>45678</v>
      </c>
      <c r="K578" t="s">
        <v>34</v>
      </c>
      <c r="L578" t="s">
        <v>36</v>
      </c>
      <c r="M578" t="s">
        <v>38</v>
      </c>
      <c r="N578">
        <v>4</v>
      </c>
      <c r="O578">
        <v>0.83333333333333337</v>
      </c>
      <c r="P578">
        <v>75.5</v>
      </c>
      <c r="Q578" t="s">
        <v>39</v>
      </c>
      <c r="R578" t="s">
        <v>40</v>
      </c>
      <c r="T578" t="s">
        <v>40</v>
      </c>
      <c r="U578" s="1">
        <v>45838</v>
      </c>
    </row>
    <row r="579" spans="1:21" x14ac:dyDescent="0.3">
      <c r="A579">
        <v>573</v>
      </c>
      <c r="B579">
        <v>191</v>
      </c>
      <c r="C579">
        <v>3</v>
      </c>
      <c r="D579" t="s">
        <v>19</v>
      </c>
      <c r="E579" t="s">
        <v>23</v>
      </c>
      <c r="F579">
        <v>26</v>
      </c>
      <c r="G579" t="s">
        <v>29</v>
      </c>
      <c r="I579" t="s">
        <v>33</v>
      </c>
      <c r="J579" s="1">
        <v>45678</v>
      </c>
      <c r="K579" t="s">
        <v>34</v>
      </c>
      <c r="L579" t="s">
        <v>37</v>
      </c>
      <c r="M579" t="s">
        <v>38</v>
      </c>
      <c r="N579">
        <v>4</v>
      </c>
      <c r="O579">
        <v>0.8125</v>
      </c>
      <c r="P579">
        <v>66.5</v>
      </c>
      <c r="Q579" t="s">
        <v>39</v>
      </c>
      <c r="R579" t="s">
        <v>40</v>
      </c>
      <c r="T579" t="s">
        <v>40</v>
      </c>
      <c r="U579" s="1">
        <v>45838</v>
      </c>
    </row>
    <row r="580" spans="1:21" x14ac:dyDescent="0.3">
      <c r="A580">
        <v>574</v>
      </c>
      <c r="B580">
        <v>192</v>
      </c>
      <c r="C580">
        <v>1</v>
      </c>
      <c r="D580" t="s">
        <v>20</v>
      </c>
      <c r="E580" t="s">
        <v>23</v>
      </c>
      <c r="F580">
        <v>35</v>
      </c>
      <c r="G580" t="s">
        <v>27</v>
      </c>
      <c r="I580" t="s">
        <v>30</v>
      </c>
      <c r="J580" s="1">
        <v>45782</v>
      </c>
      <c r="K580" t="s">
        <v>34</v>
      </c>
      <c r="L580" t="s">
        <v>35</v>
      </c>
      <c r="M580" t="s">
        <v>38</v>
      </c>
      <c r="N580">
        <v>4</v>
      </c>
      <c r="O580">
        <v>0.72916666666666663</v>
      </c>
      <c r="P580">
        <v>73.5</v>
      </c>
      <c r="Q580" t="s">
        <v>39</v>
      </c>
      <c r="R580" t="s">
        <v>39</v>
      </c>
      <c r="T580" t="s">
        <v>40</v>
      </c>
      <c r="U580" s="1">
        <v>45838</v>
      </c>
    </row>
    <row r="581" spans="1:21" x14ac:dyDescent="0.3">
      <c r="A581">
        <v>575</v>
      </c>
      <c r="B581">
        <v>192</v>
      </c>
      <c r="C581">
        <v>2</v>
      </c>
      <c r="D581" t="s">
        <v>19</v>
      </c>
      <c r="E581" t="s">
        <v>23</v>
      </c>
      <c r="F581">
        <v>35</v>
      </c>
      <c r="G581" t="s">
        <v>27</v>
      </c>
      <c r="I581" t="s">
        <v>30</v>
      </c>
      <c r="J581" s="1">
        <v>45782</v>
      </c>
      <c r="K581" t="s">
        <v>34</v>
      </c>
      <c r="L581" t="s">
        <v>36</v>
      </c>
      <c r="M581" t="s">
        <v>38</v>
      </c>
      <c r="N581">
        <v>4</v>
      </c>
      <c r="O581">
        <v>0.9375</v>
      </c>
      <c r="P581">
        <v>65.5</v>
      </c>
      <c r="Q581" t="s">
        <v>39</v>
      </c>
      <c r="R581" t="s">
        <v>39</v>
      </c>
      <c r="T581" t="s">
        <v>40</v>
      </c>
      <c r="U581" s="1">
        <v>45838</v>
      </c>
    </row>
    <row r="582" spans="1:21" x14ac:dyDescent="0.3">
      <c r="A582">
        <v>576</v>
      </c>
      <c r="B582">
        <v>192</v>
      </c>
      <c r="C582">
        <v>3</v>
      </c>
      <c r="D582" t="s">
        <v>20</v>
      </c>
      <c r="E582" t="s">
        <v>23</v>
      </c>
      <c r="F582">
        <v>35</v>
      </c>
      <c r="G582" t="s">
        <v>27</v>
      </c>
      <c r="I582" t="s">
        <v>30</v>
      </c>
      <c r="J582" s="1">
        <v>45782</v>
      </c>
      <c r="K582" t="s">
        <v>34</v>
      </c>
      <c r="L582" t="s">
        <v>37</v>
      </c>
      <c r="M582" t="s">
        <v>38</v>
      </c>
      <c r="N582">
        <v>4</v>
      </c>
      <c r="O582">
        <v>0.8125</v>
      </c>
      <c r="P582">
        <v>74.5</v>
      </c>
      <c r="Q582" t="s">
        <v>39</v>
      </c>
      <c r="R582" t="s">
        <v>39</v>
      </c>
      <c r="T582" t="s">
        <v>40</v>
      </c>
      <c r="U582" s="1">
        <v>45838</v>
      </c>
    </row>
    <row r="583" spans="1:21" x14ac:dyDescent="0.3">
      <c r="A583">
        <v>577</v>
      </c>
      <c r="B583">
        <v>193</v>
      </c>
      <c r="C583">
        <v>1</v>
      </c>
      <c r="D583" t="s">
        <v>19</v>
      </c>
      <c r="E583" t="s">
        <v>22</v>
      </c>
      <c r="F583">
        <v>20</v>
      </c>
      <c r="G583" t="s">
        <v>28</v>
      </c>
      <c r="I583" t="s">
        <v>30</v>
      </c>
      <c r="J583" s="1">
        <v>45716</v>
      </c>
      <c r="K583" t="s">
        <v>34</v>
      </c>
      <c r="L583" t="s">
        <v>35</v>
      </c>
      <c r="M583" t="s">
        <v>38</v>
      </c>
      <c r="N583">
        <v>4</v>
      </c>
      <c r="O583">
        <v>0.875</v>
      </c>
      <c r="P583">
        <v>76</v>
      </c>
      <c r="Q583" t="s">
        <v>39</v>
      </c>
      <c r="R583" t="s">
        <v>39</v>
      </c>
      <c r="T583" t="s">
        <v>40</v>
      </c>
      <c r="U583" s="1">
        <v>45838</v>
      </c>
    </row>
    <row r="584" spans="1:21" x14ac:dyDescent="0.3">
      <c r="A584">
        <v>578</v>
      </c>
      <c r="B584">
        <v>193</v>
      </c>
      <c r="C584">
        <v>2</v>
      </c>
      <c r="D584" t="s">
        <v>19</v>
      </c>
      <c r="E584" t="s">
        <v>22</v>
      </c>
      <c r="F584">
        <v>20</v>
      </c>
      <c r="G584" t="s">
        <v>28</v>
      </c>
      <c r="I584" t="s">
        <v>30</v>
      </c>
      <c r="J584" s="1">
        <v>45716</v>
      </c>
      <c r="K584" t="s">
        <v>34</v>
      </c>
      <c r="L584" t="s">
        <v>36</v>
      </c>
      <c r="M584" t="s">
        <v>38</v>
      </c>
      <c r="N584">
        <v>4</v>
      </c>
      <c r="O584">
        <v>0.875</v>
      </c>
      <c r="P584">
        <v>59</v>
      </c>
      <c r="Q584" t="s">
        <v>39</v>
      </c>
      <c r="R584" t="s">
        <v>39</v>
      </c>
      <c r="T584" t="s">
        <v>40</v>
      </c>
      <c r="U584" s="1">
        <v>45838</v>
      </c>
    </row>
    <row r="585" spans="1:21" x14ac:dyDescent="0.3">
      <c r="A585">
        <v>579</v>
      </c>
      <c r="B585">
        <v>193</v>
      </c>
      <c r="C585">
        <v>3</v>
      </c>
      <c r="D585" t="s">
        <v>19</v>
      </c>
      <c r="E585" t="s">
        <v>22</v>
      </c>
      <c r="F585">
        <v>20</v>
      </c>
      <c r="G585" t="s">
        <v>28</v>
      </c>
      <c r="I585" t="s">
        <v>30</v>
      </c>
      <c r="J585" s="1">
        <v>45716</v>
      </c>
      <c r="K585" t="s">
        <v>34</v>
      </c>
      <c r="L585" t="s">
        <v>37</v>
      </c>
      <c r="M585" t="s">
        <v>38</v>
      </c>
      <c r="N585">
        <v>4</v>
      </c>
      <c r="O585">
        <v>0.70833333333333337</v>
      </c>
      <c r="P585">
        <v>53.5</v>
      </c>
      <c r="Q585" t="s">
        <v>39</v>
      </c>
      <c r="R585" t="s">
        <v>39</v>
      </c>
      <c r="T585" t="s">
        <v>40</v>
      </c>
      <c r="U585" s="1">
        <v>45838</v>
      </c>
    </row>
    <row r="586" spans="1:21" x14ac:dyDescent="0.3">
      <c r="A586">
        <v>580</v>
      </c>
      <c r="B586">
        <v>194</v>
      </c>
      <c r="C586">
        <v>1</v>
      </c>
      <c r="D586" t="s">
        <v>19</v>
      </c>
      <c r="E586" t="s">
        <v>22</v>
      </c>
      <c r="F586">
        <v>31</v>
      </c>
      <c r="G586" t="s">
        <v>25</v>
      </c>
      <c r="I586" t="s">
        <v>31</v>
      </c>
      <c r="J586" s="1">
        <v>45771</v>
      </c>
      <c r="K586" t="s">
        <v>34</v>
      </c>
      <c r="L586" t="s">
        <v>35</v>
      </c>
      <c r="M586" t="s">
        <v>38</v>
      </c>
      <c r="N586">
        <v>4</v>
      </c>
      <c r="O586">
        <v>0.83333333333333337</v>
      </c>
      <c r="P586">
        <v>76.5</v>
      </c>
      <c r="Q586" t="s">
        <v>39</v>
      </c>
      <c r="R586" t="s">
        <v>39</v>
      </c>
      <c r="T586" t="s">
        <v>39</v>
      </c>
      <c r="U586" s="1">
        <v>45838</v>
      </c>
    </row>
    <row r="587" spans="1:21" x14ac:dyDescent="0.3">
      <c r="A587">
        <v>581</v>
      </c>
      <c r="B587">
        <v>194</v>
      </c>
      <c r="C587">
        <v>2</v>
      </c>
      <c r="D587" t="s">
        <v>19</v>
      </c>
      <c r="E587" t="s">
        <v>22</v>
      </c>
      <c r="F587">
        <v>31</v>
      </c>
      <c r="G587" t="s">
        <v>25</v>
      </c>
      <c r="I587" t="s">
        <v>31</v>
      </c>
      <c r="J587" s="1">
        <v>45771</v>
      </c>
      <c r="K587" t="s">
        <v>34</v>
      </c>
      <c r="L587" t="s">
        <v>36</v>
      </c>
      <c r="M587" t="s">
        <v>38</v>
      </c>
      <c r="N587">
        <v>4</v>
      </c>
      <c r="O587">
        <v>0.70833333333333337</v>
      </c>
      <c r="P587">
        <v>82.5</v>
      </c>
      <c r="Q587" t="s">
        <v>39</v>
      </c>
      <c r="R587" t="s">
        <v>39</v>
      </c>
      <c r="T587" t="s">
        <v>39</v>
      </c>
      <c r="U587" s="1">
        <v>45838</v>
      </c>
    </row>
    <row r="588" spans="1:21" x14ac:dyDescent="0.3">
      <c r="A588">
        <v>582</v>
      </c>
      <c r="B588">
        <v>194</v>
      </c>
      <c r="C588">
        <v>3</v>
      </c>
      <c r="D588" t="s">
        <v>19</v>
      </c>
      <c r="E588" t="s">
        <v>22</v>
      </c>
      <c r="F588">
        <v>31</v>
      </c>
      <c r="G588" t="s">
        <v>25</v>
      </c>
      <c r="I588" t="s">
        <v>31</v>
      </c>
      <c r="J588" s="1">
        <v>45771</v>
      </c>
      <c r="K588" t="s">
        <v>34</v>
      </c>
      <c r="L588" t="s">
        <v>37</v>
      </c>
      <c r="M588" t="s">
        <v>38</v>
      </c>
      <c r="N588">
        <v>4</v>
      </c>
      <c r="O588">
        <v>0.85416666666666663</v>
      </c>
      <c r="P588">
        <v>94</v>
      </c>
      <c r="Q588" t="s">
        <v>39</v>
      </c>
      <c r="R588" t="s">
        <v>39</v>
      </c>
      <c r="T588" t="s">
        <v>39</v>
      </c>
      <c r="U588" s="1">
        <v>45838</v>
      </c>
    </row>
    <row r="589" spans="1:21" x14ac:dyDescent="0.3">
      <c r="A589">
        <v>583</v>
      </c>
      <c r="B589">
        <v>195</v>
      </c>
      <c r="C589">
        <v>1</v>
      </c>
      <c r="D589" t="s">
        <v>19</v>
      </c>
      <c r="E589" t="s">
        <v>22</v>
      </c>
      <c r="F589">
        <v>27</v>
      </c>
      <c r="G589" t="s">
        <v>25</v>
      </c>
      <c r="I589" t="s">
        <v>31</v>
      </c>
      <c r="J589" s="1">
        <v>45741</v>
      </c>
      <c r="K589" t="s">
        <v>34</v>
      </c>
      <c r="L589" t="s">
        <v>35</v>
      </c>
      <c r="M589" t="s">
        <v>38</v>
      </c>
      <c r="N589">
        <v>4</v>
      </c>
      <c r="O589">
        <v>0.8125</v>
      </c>
      <c r="P589">
        <v>59</v>
      </c>
      <c r="Q589" t="s">
        <v>39</v>
      </c>
      <c r="R589" t="s">
        <v>39</v>
      </c>
      <c r="T589" t="s">
        <v>39</v>
      </c>
      <c r="U589" s="1">
        <v>45838</v>
      </c>
    </row>
    <row r="590" spans="1:21" x14ac:dyDescent="0.3">
      <c r="A590">
        <v>584</v>
      </c>
      <c r="B590">
        <v>195</v>
      </c>
      <c r="C590">
        <v>2</v>
      </c>
      <c r="D590" t="s">
        <v>21</v>
      </c>
      <c r="E590" t="s">
        <v>22</v>
      </c>
      <c r="F590">
        <v>27</v>
      </c>
      <c r="G590" t="s">
        <v>25</v>
      </c>
      <c r="I590" t="s">
        <v>31</v>
      </c>
      <c r="J590" s="1">
        <v>45741</v>
      </c>
      <c r="K590" t="s">
        <v>34</v>
      </c>
      <c r="L590" t="s">
        <v>36</v>
      </c>
      <c r="M590" t="s">
        <v>38</v>
      </c>
      <c r="N590">
        <v>4</v>
      </c>
      <c r="O590">
        <v>0.79166666666666663</v>
      </c>
      <c r="P590">
        <v>59</v>
      </c>
      <c r="Q590" t="s">
        <v>39</v>
      </c>
      <c r="R590" t="s">
        <v>39</v>
      </c>
      <c r="T590" t="s">
        <v>39</v>
      </c>
      <c r="U590" s="1">
        <v>45838</v>
      </c>
    </row>
    <row r="591" spans="1:21" x14ac:dyDescent="0.3">
      <c r="A591">
        <v>585</v>
      </c>
      <c r="B591">
        <v>195</v>
      </c>
      <c r="C591">
        <v>3</v>
      </c>
      <c r="D591" t="s">
        <v>19</v>
      </c>
      <c r="E591" t="s">
        <v>22</v>
      </c>
      <c r="F591">
        <v>27</v>
      </c>
      <c r="G591" t="s">
        <v>25</v>
      </c>
      <c r="I591" t="s">
        <v>31</v>
      </c>
      <c r="J591" s="1">
        <v>45741</v>
      </c>
      <c r="K591" t="s">
        <v>34</v>
      </c>
      <c r="L591" t="s">
        <v>37</v>
      </c>
      <c r="M591" t="s">
        <v>38</v>
      </c>
      <c r="N591">
        <v>4</v>
      </c>
      <c r="O591">
        <v>0.875</v>
      </c>
      <c r="P591">
        <v>68</v>
      </c>
      <c r="Q591" t="s">
        <v>39</v>
      </c>
      <c r="R591" t="s">
        <v>39</v>
      </c>
      <c r="T591" t="s">
        <v>39</v>
      </c>
      <c r="U591" s="1">
        <v>45838</v>
      </c>
    </row>
    <row r="592" spans="1:21" x14ac:dyDescent="0.3">
      <c r="A592">
        <v>586</v>
      </c>
      <c r="B592">
        <v>196</v>
      </c>
      <c r="C592">
        <v>1</v>
      </c>
      <c r="D592" t="s">
        <v>19</v>
      </c>
      <c r="E592" t="s">
        <v>22</v>
      </c>
      <c r="F592">
        <v>27</v>
      </c>
      <c r="G592" t="s">
        <v>29</v>
      </c>
      <c r="I592" t="s">
        <v>30</v>
      </c>
      <c r="J592" s="1">
        <v>45768</v>
      </c>
      <c r="K592" t="s">
        <v>34</v>
      </c>
      <c r="L592" t="s">
        <v>35</v>
      </c>
      <c r="M592" t="s">
        <v>38</v>
      </c>
      <c r="N592">
        <v>4</v>
      </c>
      <c r="O592">
        <v>0.9375</v>
      </c>
      <c r="P592">
        <v>51</v>
      </c>
      <c r="Q592" t="s">
        <v>40</v>
      </c>
      <c r="R592" t="s">
        <v>40</v>
      </c>
      <c r="T592" t="s">
        <v>40</v>
      </c>
      <c r="U592" s="1">
        <v>45838</v>
      </c>
    </row>
    <row r="593" spans="1:21" x14ac:dyDescent="0.3">
      <c r="A593">
        <v>587</v>
      </c>
      <c r="B593">
        <v>196</v>
      </c>
      <c r="C593">
        <v>2</v>
      </c>
      <c r="D593" t="s">
        <v>21</v>
      </c>
      <c r="E593" t="s">
        <v>22</v>
      </c>
      <c r="F593">
        <v>27</v>
      </c>
      <c r="G593" t="s">
        <v>29</v>
      </c>
      <c r="I593" t="s">
        <v>30</v>
      </c>
      <c r="J593" s="1">
        <v>45768</v>
      </c>
      <c r="K593" t="s">
        <v>34</v>
      </c>
      <c r="L593" t="s">
        <v>36</v>
      </c>
      <c r="M593" t="s">
        <v>38</v>
      </c>
      <c r="N593">
        <v>4</v>
      </c>
      <c r="O593">
        <v>0.79166666666666663</v>
      </c>
      <c r="P593">
        <v>74</v>
      </c>
      <c r="Q593" t="s">
        <v>40</v>
      </c>
      <c r="R593" t="s">
        <v>40</v>
      </c>
      <c r="T593" t="s">
        <v>40</v>
      </c>
      <c r="U593" s="1">
        <v>45838</v>
      </c>
    </row>
    <row r="594" spans="1:21" x14ac:dyDescent="0.3">
      <c r="A594">
        <v>588</v>
      </c>
      <c r="B594">
        <v>196</v>
      </c>
      <c r="C594">
        <v>3</v>
      </c>
      <c r="D594" t="s">
        <v>19</v>
      </c>
      <c r="E594" t="s">
        <v>22</v>
      </c>
      <c r="F594">
        <v>27</v>
      </c>
      <c r="G594" t="s">
        <v>29</v>
      </c>
      <c r="I594" t="s">
        <v>30</v>
      </c>
      <c r="J594" s="1">
        <v>45768</v>
      </c>
      <c r="K594" t="s">
        <v>34</v>
      </c>
      <c r="L594" t="s">
        <v>37</v>
      </c>
      <c r="M594" t="s">
        <v>38</v>
      </c>
      <c r="N594">
        <v>4</v>
      </c>
      <c r="O594">
        <v>0.875</v>
      </c>
      <c r="P594">
        <v>89.5</v>
      </c>
      <c r="Q594" t="s">
        <v>40</v>
      </c>
      <c r="R594" t="s">
        <v>40</v>
      </c>
      <c r="T594" t="s">
        <v>40</v>
      </c>
      <c r="U594" s="1">
        <v>45838</v>
      </c>
    </row>
    <row r="595" spans="1:21" x14ac:dyDescent="0.3">
      <c r="A595">
        <v>589</v>
      </c>
      <c r="B595">
        <v>197</v>
      </c>
      <c r="C595">
        <v>1</v>
      </c>
      <c r="D595" t="s">
        <v>21</v>
      </c>
      <c r="E595" t="s">
        <v>22</v>
      </c>
      <c r="F595">
        <v>25</v>
      </c>
      <c r="G595" t="s">
        <v>26</v>
      </c>
      <c r="I595" t="s">
        <v>33</v>
      </c>
      <c r="J595" s="1">
        <v>45802</v>
      </c>
      <c r="K595" t="s">
        <v>34</v>
      </c>
      <c r="L595" t="s">
        <v>35</v>
      </c>
      <c r="M595" t="s">
        <v>38</v>
      </c>
      <c r="N595">
        <v>4</v>
      </c>
      <c r="O595">
        <v>0.83333333333333337</v>
      </c>
      <c r="P595">
        <v>74.5</v>
      </c>
      <c r="Q595" t="s">
        <v>39</v>
      </c>
      <c r="R595" t="s">
        <v>39</v>
      </c>
      <c r="T595" t="s">
        <v>39</v>
      </c>
      <c r="U595" s="1">
        <v>45838</v>
      </c>
    </row>
    <row r="596" spans="1:21" x14ac:dyDescent="0.3">
      <c r="A596">
        <v>590</v>
      </c>
      <c r="B596">
        <v>197</v>
      </c>
      <c r="C596">
        <v>2</v>
      </c>
      <c r="D596" t="s">
        <v>19</v>
      </c>
      <c r="E596" t="s">
        <v>22</v>
      </c>
      <c r="F596">
        <v>25</v>
      </c>
      <c r="G596" t="s">
        <v>26</v>
      </c>
      <c r="I596" t="s">
        <v>33</v>
      </c>
      <c r="J596" s="1">
        <v>45802</v>
      </c>
      <c r="K596" t="s">
        <v>34</v>
      </c>
      <c r="L596" t="s">
        <v>36</v>
      </c>
      <c r="M596" t="s">
        <v>38</v>
      </c>
      <c r="N596">
        <v>4</v>
      </c>
      <c r="O596">
        <v>0.83333333333333337</v>
      </c>
      <c r="P596">
        <v>66.5</v>
      </c>
      <c r="Q596" t="s">
        <v>39</v>
      </c>
      <c r="R596" t="s">
        <v>39</v>
      </c>
      <c r="T596" t="s">
        <v>39</v>
      </c>
      <c r="U596" s="1">
        <v>45838</v>
      </c>
    </row>
    <row r="597" spans="1:21" x14ac:dyDescent="0.3">
      <c r="A597">
        <v>591</v>
      </c>
      <c r="B597">
        <v>197</v>
      </c>
      <c r="C597">
        <v>3</v>
      </c>
      <c r="D597" t="s">
        <v>19</v>
      </c>
      <c r="E597" t="s">
        <v>22</v>
      </c>
      <c r="F597">
        <v>25</v>
      </c>
      <c r="G597" t="s">
        <v>26</v>
      </c>
      <c r="I597" t="s">
        <v>33</v>
      </c>
      <c r="J597" s="1">
        <v>45802</v>
      </c>
      <c r="K597" t="s">
        <v>34</v>
      </c>
      <c r="L597" t="s">
        <v>37</v>
      </c>
      <c r="M597" t="s">
        <v>38</v>
      </c>
      <c r="N597">
        <v>4</v>
      </c>
      <c r="O597">
        <v>0.91666666666666663</v>
      </c>
      <c r="P597">
        <v>58.5</v>
      </c>
      <c r="Q597" t="s">
        <v>39</v>
      </c>
      <c r="R597" t="s">
        <v>39</v>
      </c>
      <c r="T597" t="s">
        <v>39</v>
      </c>
      <c r="U597" s="1">
        <v>45838</v>
      </c>
    </row>
    <row r="598" spans="1:21" x14ac:dyDescent="0.3">
      <c r="A598">
        <v>592</v>
      </c>
      <c r="B598">
        <v>198</v>
      </c>
      <c r="C598">
        <v>1</v>
      </c>
      <c r="D598" t="s">
        <v>19</v>
      </c>
      <c r="E598" t="s">
        <v>22</v>
      </c>
      <c r="F598">
        <v>23</v>
      </c>
      <c r="G598" t="s">
        <v>28</v>
      </c>
      <c r="I598" t="s">
        <v>31</v>
      </c>
      <c r="J598" s="1">
        <v>45755</v>
      </c>
      <c r="K598" t="s">
        <v>34</v>
      </c>
      <c r="L598" t="s">
        <v>35</v>
      </c>
      <c r="M598" t="s">
        <v>38</v>
      </c>
      <c r="N598">
        <v>4</v>
      </c>
      <c r="O598">
        <v>0.89583333333333337</v>
      </c>
      <c r="P598">
        <v>92</v>
      </c>
      <c r="Q598" t="s">
        <v>40</v>
      </c>
      <c r="R598" t="s">
        <v>40</v>
      </c>
      <c r="T598" t="s">
        <v>40</v>
      </c>
      <c r="U598" s="1">
        <v>45838</v>
      </c>
    </row>
    <row r="599" spans="1:21" x14ac:dyDescent="0.3">
      <c r="A599">
        <v>593</v>
      </c>
      <c r="B599">
        <v>198</v>
      </c>
      <c r="C599">
        <v>2</v>
      </c>
      <c r="D599" t="s">
        <v>20</v>
      </c>
      <c r="E599" t="s">
        <v>22</v>
      </c>
      <c r="F599">
        <v>23</v>
      </c>
      <c r="G599" t="s">
        <v>28</v>
      </c>
      <c r="I599" t="s">
        <v>31</v>
      </c>
      <c r="J599" s="1">
        <v>45755</v>
      </c>
      <c r="K599" t="s">
        <v>34</v>
      </c>
      <c r="L599" t="s">
        <v>36</v>
      </c>
      <c r="M599" t="s">
        <v>38</v>
      </c>
      <c r="N599">
        <v>4</v>
      </c>
      <c r="O599">
        <v>0.85416666666666663</v>
      </c>
      <c r="P599">
        <v>57.5</v>
      </c>
      <c r="Q599" t="s">
        <v>40</v>
      </c>
      <c r="R599" t="s">
        <v>40</v>
      </c>
      <c r="T599" t="s">
        <v>40</v>
      </c>
      <c r="U599" s="1">
        <v>45838</v>
      </c>
    </row>
    <row r="600" spans="1:21" x14ac:dyDescent="0.3">
      <c r="A600">
        <v>594</v>
      </c>
      <c r="B600">
        <v>198</v>
      </c>
      <c r="C600">
        <v>3</v>
      </c>
      <c r="D600" t="s">
        <v>19</v>
      </c>
      <c r="E600" t="s">
        <v>22</v>
      </c>
      <c r="F600">
        <v>23</v>
      </c>
      <c r="G600" t="s">
        <v>28</v>
      </c>
      <c r="I600" t="s">
        <v>31</v>
      </c>
      <c r="J600" s="1">
        <v>45755</v>
      </c>
      <c r="K600" t="s">
        <v>34</v>
      </c>
      <c r="L600" t="s">
        <v>37</v>
      </c>
      <c r="M600" t="s">
        <v>38</v>
      </c>
      <c r="N600">
        <v>4</v>
      </c>
      <c r="O600">
        <v>0.8125</v>
      </c>
      <c r="P600">
        <v>80</v>
      </c>
      <c r="Q600" t="s">
        <v>40</v>
      </c>
      <c r="R600" t="s">
        <v>40</v>
      </c>
      <c r="T600" t="s">
        <v>40</v>
      </c>
      <c r="U600" s="1">
        <v>45838</v>
      </c>
    </row>
    <row r="601" spans="1:21" x14ac:dyDescent="0.3">
      <c r="A601">
        <v>595</v>
      </c>
      <c r="B601">
        <v>199</v>
      </c>
      <c r="C601">
        <v>1</v>
      </c>
      <c r="D601" t="s">
        <v>19</v>
      </c>
      <c r="E601" t="s">
        <v>22</v>
      </c>
      <c r="F601">
        <v>33</v>
      </c>
      <c r="G601" t="s">
        <v>26</v>
      </c>
      <c r="I601" t="s">
        <v>32</v>
      </c>
      <c r="J601" s="1">
        <v>45717</v>
      </c>
      <c r="K601" t="s">
        <v>34</v>
      </c>
      <c r="L601" t="s">
        <v>35</v>
      </c>
      <c r="M601" t="s">
        <v>38</v>
      </c>
      <c r="N601">
        <v>4</v>
      </c>
      <c r="O601">
        <v>0.85416666666666663</v>
      </c>
      <c r="P601">
        <v>57</v>
      </c>
      <c r="Q601" t="s">
        <v>39</v>
      </c>
      <c r="R601" t="s">
        <v>39</v>
      </c>
      <c r="T601" t="s">
        <v>40</v>
      </c>
      <c r="U601" s="1">
        <v>45838</v>
      </c>
    </row>
    <row r="602" spans="1:21" x14ac:dyDescent="0.3">
      <c r="A602">
        <v>596</v>
      </c>
      <c r="B602">
        <v>199</v>
      </c>
      <c r="C602">
        <v>2</v>
      </c>
      <c r="D602" t="s">
        <v>19</v>
      </c>
      <c r="E602" t="s">
        <v>22</v>
      </c>
      <c r="F602">
        <v>33</v>
      </c>
      <c r="G602" t="s">
        <v>26</v>
      </c>
      <c r="I602" t="s">
        <v>32</v>
      </c>
      <c r="J602" s="1">
        <v>45717</v>
      </c>
      <c r="K602" t="s">
        <v>34</v>
      </c>
      <c r="L602" t="s">
        <v>36</v>
      </c>
      <c r="M602" t="s">
        <v>38</v>
      </c>
      <c r="N602">
        <v>4</v>
      </c>
      <c r="O602">
        <v>0.8125</v>
      </c>
      <c r="P602">
        <v>91</v>
      </c>
      <c r="Q602" t="s">
        <v>39</v>
      </c>
      <c r="R602" t="s">
        <v>39</v>
      </c>
      <c r="T602" t="s">
        <v>40</v>
      </c>
      <c r="U602" s="1">
        <v>45838</v>
      </c>
    </row>
    <row r="603" spans="1:21" x14ac:dyDescent="0.3">
      <c r="A603">
        <v>597</v>
      </c>
      <c r="B603">
        <v>199</v>
      </c>
      <c r="C603">
        <v>3</v>
      </c>
      <c r="D603" t="s">
        <v>19</v>
      </c>
      <c r="E603" t="s">
        <v>22</v>
      </c>
      <c r="F603">
        <v>33</v>
      </c>
      <c r="G603" t="s">
        <v>26</v>
      </c>
      <c r="I603" t="s">
        <v>32</v>
      </c>
      <c r="J603" s="1">
        <v>45717</v>
      </c>
      <c r="K603" t="s">
        <v>34</v>
      </c>
      <c r="L603" t="s">
        <v>37</v>
      </c>
      <c r="M603" t="s">
        <v>38</v>
      </c>
      <c r="N603">
        <v>4</v>
      </c>
      <c r="O603">
        <v>0.89583333333333337</v>
      </c>
      <c r="P603">
        <v>82</v>
      </c>
      <c r="Q603" t="s">
        <v>39</v>
      </c>
      <c r="R603" t="s">
        <v>39</v>
      </c>
      <c r="T603" t="s">
        <v>40</v>
      </c>
      <c r="U603" s="1">
        <v>45838</v>
      </c>
    </row>
    <row r="604" spans="1:21" x14ac:dyDescent="0.3">
      <c r="A604">
        <v>598</v>
      </c>
      <c r="B604">
        <v>200</v>
      </c>
      <c r="C604">
        <v>1</v>
      </c>
      <c r="D604" t="s">
        <v>20</v>
      </c>
      <c r="E604" t="s">
        <v>23</v>
      </c>
      <c r="F604">
        <v>26</v>
      </c>
      <c r="G604" t="s">
        <v>27</v>
      </c>
      <c r="I604" t="s">
        <v>30</v>
      </c>
      <c r="J604" s="1">
        <v>45660</v>
      </c>
      <c r="K604" t="s">
        <v>34</v>
      </c>
      <c r="L604" t="s">
        <v>35</v>
      </c>
      <c r="M604" t="s">
        <v>38</v>
      </c>
      <c r="N604">
        <v>4</v>
      </c>
      <c r="O604">
        <v>0.875</v>
      </c>
      <c r="P604">
        <v>72.5</v>
      </c>
      <c r="Q604" t="s">
        <v>39</v>
      </c>
      <c r="R604" t="s">
        <v>39</v>
      </c>
      <c r="T604" t="s">
        <v>40</v>
      </c>
      <c r="U604" s="1">
        <v>45838</v>
      </c>
    </row>
    <row r="605" spans="1:21" x14ac:dyDescent="0.3">
      <c r="A605">
        <v>599</v>
      </c>
      <c r="B605">
        <v>200</v>
      </c>
      <c r="C605">
        <v>2</v>
      </c>
      <c r="D605" t="s">
        <v>19</v>
      </c>
      <c r="E605" t="s">
        <v>23</v>
      </c>
      <c r="F605">
        <v>26</v>
      </c>
      <c r="G605" t="s">
        <v>27</v>
      </c>
      <c r="I605" t="s">
        <v>30</v>
      </c>
      <c r="J605" s="1">
        <v>45660</v>
      </c>
      <c r="K605" t="s">
        <v>34</v>
      </c>
      <c r="L605" t="s">
        <v>36</v>
      </c>
      <c r="M605" t="s">
        <v>38</v>
      </c>
      <c r="N605">
        <v>4</v>
      </c>
      <c r="O605">
        <v>0.85416666666666663</v>
      </c>
      <c r="P605">
        <v>77.5</v>
      </c>
      <c r="Q605" t="s">
        <v>39</v>
      </c>
      <c r="R605" t="s">
        <v>39</v>
      </c>
      <c r="T605" t="s">
        <v>40</v>
      </c>
      <c r="U605" s="1">
        <v>45838</v>
      </c>
    </row>
    <row r="606" spans="1:21" x14ac:dyDescent="0.3">
      <c r="A606">
        <v>600</v>
      </c>
      <c r="B606">
        <v>200</v>
      </c>
      <c r="C606">
        <v>3</v>
      </c>
      <c r="D606" t="s">
        <v>19</v>
      </c>
      <c r="E606" t="s">
        <v>23</v>
      </c>
      <c r="F606">
        <v>26</v>
      </c>
      <c r="G606" t="s">
        <v>27</v>
      </c>
      <c r="I606" t="s">
        <v>30</v>
      </c>
      <c r="J606" s="1">
        <v>45660</v>
      </c>
      <c r="K606" t="s">
        <v>34</v>
      </c>
      <c r="L606" t="s">
        <v>37</v>
      </c>
      <c r="M606" t="s">
        <v>38</v>
      </c>
      <c r="N606">
        <v>4</v>
      </c>
      <c r="O606">
        <v>0.6875</v>
      </c>
      <c r="P606">
        <v>55.5</v>
      </c>
      <c r="Q606" t="s">
        <v>39</v>
      </c>
      <c r="R606" t="s">
        <v>39</v>
      </c>
      <c r="T606" t="s">
        <v>40</v>
      </c>
      <c r="U606" s="1">
        <v>45838</v>
      </c>
    </row>
    <row r="607" spans="1:21" x14ac:dyDescent="0.3">
      <c r="A607">
        <v>601</v>
      </c>
      <c r="B607">
        <v>201</v>
      </c>
      <c r="C607">
        <v>1</v>
      </c>
      <c r="D607" t="s">
        <v>19</v>
      </c>
      <c r="E607" t="s">
        <v>23</v>
      </c>
      <c r="F607">
        <v>27</v>
      </c>
      <c r="G607" t="s">
        <v>24</v>
      </c>
      <c r="I607" t="s">
        <v>32</v>
      </c>
      <c r="J607" s="1">
        <v>45676</v>
      </c>
      <c r="K607" t="s">
        <v>34</v>
      </c>
      <c r="L607" t="s">
        <v>35</v>
      </c>
      <c r="M607" t="s">
        <v>38</v>
      </c>
      <c r="N607">
        <v>4</v>
      </c>
      <c r="O607">
        <v>0.83333333333333337</v>
      </c>
      <c r="P607">
        <v>93.5</v>
      </c>
      <c r="Q607" t="s">
        <v>39</v>
      </c>
      <c r="R607" t="s">
        <v>39</v>
      </c>
      <c r="T607" t="s">
        <v>40</v>
      </c>
      <c r="U607" s="1">
        <v>45838</v>
      </c>
    </row>
    <row r="608" spans="1:21" x14ac:dyDescent="0.3">
      <c r="A608">
        <v>602</v>
      </c>
      <c r="B608">
        <v>201</v>
      </c>
      <c r="C608">
        <v>2</v>
      </c>
      <c r="D608" t="s">
        <v>19</v>
      </c>
      <c r="E608" t="s">
        <v>23</v>
      </c>
      <c r="F608">
        <v>27</v>
      </c>
      <c r="G608" t="s">
        <v>24</v>
      </c>
      <c r="I608" t="s">
        <v>32</v>
      </c>
      <c r="J608" s="1">
        <v>45676</v>
      </c>
      <c r="K608" t="s">
        <v>34</v>
      </c>
      <c r="L608" t="s">
        <v>36</v>
      </c>
      <c r="M608" t="s">
        <v>38</v>
      </c>
      <c r="N608">
        <v>4</v>
      </c>
      <c r="O608">
        <v>0.83333333333333337</v>
      </c>
      <c r="P608">
        <v>80.5</v>
      </c>
      <c r="Q608" t="s">
        <v>39</v>
      </c>
      <c r="R608" t="s">
        <v>39</v>
      </c>
      <c r="T608" t="s">
        <v>40</v>
      </c>
      <c r="U608" s="1">
        <v>45838</v>
      </c>
    </row>
    <row r="609" spans="1:21" x14ac:dyDescent="0.3">
      <c r="A609">
        <v>603</v>
      </c>
      <c r="B609">
        <v>201</v>
      </c>
      <c r="C609">
        <v>3</v>
      </c>
      <c r="D609" t="s">
        <v>19</v>
      </c>
      <c r="E609" t="s">
        <v>23</v>
      </c>
      <c r="F609">
        <v>27</v>
      </c>
      <c r="G609" t="s">
        <v>24</v>
      </c>
      <c r="I609" t="s">
        <v>32</v>
      </c>
      <c r="J609" s="1">
        <v>45676</v>
      </c>
      <c r="K609" t="s">
        <v>34</v>
      </c>
      <c r="L609" t="s">
        <v>37</v>
      </c>
      <c r="M609" t="s">
        <v>38</v>
      </c>
      <c r="N609">
        <v>4</v>
      </c>
      <c r="O609">
        <v>0.79166666666666663</v>
      </c>
      <c r="P609">
        <v>73</v>
      </c>
      <c r="Q609" t="s">
        <v>39</v>
      </c>
      <c r="R609" t="s">
        <v>39</v>
      </c>
      <c r="T609" t="s">
        <v>40</v>
      </c>
      <c r="U609" s="1">
        <v>45838</v>
      </c>
    </row>
    <row r="610" spans="1:21" x14ac:dyDescent="0.3">
      <c r="A610">
        <v>604</v>
      </c>
      <c r="B610">
        <v>202</v>
      </c>
      <c r="C610">
        <v>1</v>
      </c>
      <c r="D610" t="s">
        <v>19</v>
      </c>
      <c r="E610" t="s">
        <v>23</v>
      </c>
      <c r="F610">
        <v>29</v>
      </c>
      <c r="G610" t="s">
        <v>26</v>
      </c>
      <c r="I610" t="s">
        <v>30</v>
      </c>
      <c r="J610" s="1">
        <v>45766</v>
      </c>
      <c r="K610" t="s">
        <v>34</v>
      </c>
      <c r="L610" t="s">
        <v>35</v>
      </c>
      <c r="M610" t="s">
        <v>38</v>
      </c>
      <c r="N610">
        <v>4</v>
      </c>
      <c r="O610">
        <v>0.8125</v>
      </c>
      <c r="P610">
        <v>85</v>
      </c>
      <c r="Q610" t="s">
        <v>39</v>
      </c>
      <c r="R610" t="s">
        <v>39</v>
      </c>
      <c r="T610" t="s">
        <v>39</v>
      </c>
      <c r="U610" s="1">
        <v>45838</v>
      </c>
    </row>
    <row r="611" spans="1:21" x14ac:dyDescent="0.3">
      <c r="A611">
        <v>605</v>
      </c>
      <c r="B611">
        <v>202</v>
      </c>
      <c r="C611">
        <v>2</v>
      </c>
      <c r="D611" t="s">
        <v>19</v>
      </c>
      <c r="E611" t="s">
        <v>23</v>
      </c>
      <c r="F611">
        <v>29</v>
      </c>
      <c r="G611" t="s">
        <v>26</v>
      </c>
      <c r="I611" t="s">
        <v>30</v>
      </c>
      <c r="J611" s="1">
        <v>45766</v>
      </c>
      <c r="K611" t="s">
        <v>34</v>
      </c>
      <c r="L611" t="s">
        <v>36</v>
      </c>
      <c r="M611" t="s">
        <v>38</v>
      </c>
      <c r="N611">
        <v>4</v>
      </c>
      <c r="O611">
        <v>0.83333333333333337</v>
      </c>
      <c r="P611">
        <v>61.5</v>
      </c>
      <c r="Q611" t="s">
        <v>39</v>
      </c>
      <c r="R611" t="s">
        <v>39</v>
      </c>
      <c r="T611" t="s">
        <v>39</v>
      </c>
      <c r="U611" s="1">
        <v>45838</v>
      </c>
    </row>
    <row r="612" spans="1:21" x14ac:dyDescent="0.3">
      <c r="A612">
        <v>606</v>
      </c>
      <c r="B612">
        <v>202</v>
      </c>
      <c r="C612">
        <v>3</v>
      </c>
      <c r="D612" t="s">
        <v>19</v>
      </c>
      <c r="E612" t="s">
        <v>23</v>
      </c>
      <c r="F612">
        <v>29</v>
      </c>
      <c r="G612" t="s">
        <v>26</v>
      </c>
      <c r="I612" t="s">
        <v>30</v>
      </c>
      <c r="J612" s="1">
        <v>45766</v>
      </c>
      <c r="K612" t="s">
        <v>34</v>
      </c>
      <c r="L612" t="s">
        <v>37</v>
      </c>
      <c r="M612" t="s">
        <v>38</v>
      </c>
      <c r="N612">
        <v>4</v>
      </c>
      <c r="O612">
        <v>0.83333333333333337</v>
      </c>
      <c r="P612">
        <v>67</v>
      </c>
      <c r="Q612" t="s">
        <v>39</v>
      </c>
      <c r="R612" t="s">
        <v>39</v>
      </c>
      <c r="T612" t="s">
        <v>39</v>
      </c>
      <c r="U612" s="1">
        <v>45838</v>
      </c>
    </row>
    <row r="613" spans="1:21" x14ac:dyDescent="0.3">
      <c r="A613">
        <v>607</v>
      </c>
      <c r="B613">
        <v>203</v>
      </c>
      <c r="C613">
        <v>1</v>
      </c>
      <c r="D613" t="s">
        <v>19</v>
      </c>
      <c r="E613" t="s">
        <v>23</v>
      </c>
      <c r="F613">
        <v>32</v>
      </c>
      <c r="G613" t="s">
        <v>29</v>
      </c>
      <c r="I613" t="s">
        <v>32</v>
      </c>
      <c r="J613" s="1">
        <v>45756</v>
      </c>
      <c r="K613" t="s">
        <v>34</v>
      </c>
      <c r="L613" t="s">
        <v>35</v>
      </c>
      <c r="M613" t="s">
        <v>38</v>
      </c>
      <c r="N613">
        <v>4</v>
      </c>
      <c r="O613">
        <v>0.8125</v>
      </c>
      <c r="P613">
        <v>63.5</v>
      </c>
      <c r="Q613" t="s">
        <v>39</v>
      </c>
      <c r="R613" t="s">
        <v>40</v>
      </c>
      <c r="T613" t="s">
        <v>40</v>
      </c>
      <c r="U613" s="1">
        <v>45838</v>
      </c>
    </row>
    <row r="614" spans="1:21" x14ac:dyDescent="0.3">
      <c r="A614">
        <v>608</v>
      </c>
      <c r="B614">
        <v>203</v>
      </c>
      <c r="C614">
        <v>2</v>
      </c>
      <c r="D614" t="s">
        <v>19</v>
      </c>
      <c r="E614" t="s">
        <v>23</v>
      </c>
      <c r="F614">
        <v>32</v>
      </c>
      <c r="G614" t="s">
        <v>29</v>
      </c>
      <c r="I614" t="s">
        <v>32</v>
      </c>
      <c r="J614" s="1">
        <v>45756</v>
      </c>
      <c r="K614" t="s">
        <v>34</v>
      </c>
      <c r="L614" t="s">
        <v>36</v>
      </c>
      <c r="M614" t="s">
        <v>38</v>
      </c>
      <c r="N614">
        <v>4</v>
      </c>
      <c r="O614">
        <v>0.83333333333333337</v>
      </c>
      <c r="P614">
        <v>72.5</v>
      </c>
      <c r="Q614" t="s">
        <v>39</v>
      </c>
      <c r="R614" t="s">
        <v>40</v>
      </c>
      <c r="T614" t="s">
        <v>40</v>
      </c>
      <c r="U614" s="1">
        <v>45838</v>
      </c>
    </row>
    <row r="615" spans="1:21" x14ac:dyDescent="0.3">
      <c r="A615">
        <v>609</v>
      </c>
      <c r="B615">
        <v>203</v>
      </c>
      <c r="C615">
        <v>3</v>
      </c>
      <c r="D615" t="s">
        <v>21</v>
      </c>
      <c r="E615" t="s">
        <v>23</v>
      </c>
      <c r="F615">
        <v>32</v>
      </c>
      <c r="G615" t="s">
        <v>29</v>
      </c>
      <c r="I615" t="s">
        <v>32</v>
      </c>
      <c r="J615" s="1">
        <v>45756</v>
      </c>
      <c r="K615" t="s">
        <v>34</v>
      </c>
      <c r="L615" t="s">
        <v>37</v>
      </c>
      <c r="M615" t="s">
        <v>38</v>
      </c>
      <c r="N615">
        <v>4</v>
      </c>
      <c r="O615">
        <v>0.85416666666666663</v>
      </c>
      <c r="P615">
        <v>70</v>
      </c>
      <c r="Q615" t="s">
        <v>39</v>
      </c>
      <c r="R615" t="s">
        <v>40</v>
      </c>
      <c r="T615" t="s">
        <v>40</v>
      </c>
      <c r="U615" s="1">
        <v>45838</v>
      </c>
    </row>
    <row r="616" spans="1:21" x14ac:dyDescent="0.3">
      <c r="A616">
        <v>610</v>
      </c>
      <c r="B616">
        <v>204</v>
      </c>
      <c r="C616">
        <v>1</v>
      </c>
      <c r="D616" t="s">
        <v>19</v>
      </c>
      <c r="E616" t="s">
        <v>23</v>
      </c>
      <c r="F616">
        <v>21</v>
      </c>
      <c r="G616" t="s">
        <v>28</v>
      </c>
      <c r="I616" t="s">
        <v>33</v>
      </c>
      <c r="J616" s="1">
        <v>45804</v>
      </c>
      <c r="K616" t="s">
        <v>34</v>
      </c>
      <c r="L616" t="s">
        <v>35</v>
      </c>
      <c r="M616" t="s">
        <v>38</v>
      </c>
      <c r="N616">
        <v>4</v>
      </c>
      <c r="O616">
        <v>0.875</v>
      </c>
      <c r="P616">
        <v>82</v>
      </c>
      <c r="Q616" t="s">
        <v>39</v>
      </c>
      <c r="R616" t="s">
        <v>39</v>
      </c>
      <c r="T616" t="s">
        <v>40</v>
      </c>
      <c r="U616" s="1">
        <v>45838</v>
      </c>
    </row>
    <row r="617" spans="1:21" x14ac:dyDescent="0.3">
      <c r="A617">
        <v>611</v>
      </c>
      <c r="B617">
        <v>204</v>
      </c>
      <c r="C617">
        <v>2</v>
      </c>
      <c r="D617" t="s">
        <v>21</v>
      </c>
      <c r="E617" t="s">
        <v>23</v>
      </c>
      <c r="F617">
        <v>21</v>
      </c>
      <c r="G617" t="s">
        <v>28</v>
      </c>
      <c r="I617" t="s">
        <v>33</v>
      </c>
      <c r="J617" s="1">
        <v>45804</v>
      </c>
      <c r="K617" t="s">
        <v>34</v>
      </c>
      <c r="L617" t="s">
        <v>36</v>
      </c>
      <c r="M617" t="s">
        <v>38</v>
      </c>
      <c r="N617">
        <v>4</v>
      </c>
      <c r="O617">
        <v>0.95833333333333337</v>
      </c>
      <c r="P617">
        <v>59.5</v>
      </c>
      <c r="Q617" t="s">
        <v>39</v>
      </c>
      <c r="R617" t="s">
        <v>39</v>
      </c>
      <c r="T617" t="s">
        <v>40</v>
      </c>
      <c r="U617" s="1">
        <v>45838</v>
      </c>
    </row>
    <row r="618" spans="1:21" x14ac:dyDescent="0.3">
      <c r="A618">
        <v>612</v>
      </c>
      <c r="B618">
        <v>204</v>
      </c>
      <c r="C618">
        <v>3</v>
      </c>
      <c r="D618" t="s">
        <v>21</v>
      </c>
      <c r="E618" t="s">
        <v>23</v>
      </c>
      <c r="F618">
        <v>21</v>
      </c>
      <c r="G618" t="s">
        <v>28</v>
      </c>
      <c r="I618" t="s">
        <v>33</v>
      </c>
      <c r="J618" s="1">
        <v>45804</v>
      </c>
      <c r="K618" t="s">
        <v>34</v>
      </c>
      <c r="L618" t="s">
        <v>37</v>
      </c>
      <c r="M618" t="s">
        <v>38</v>
      </c>
      <c r="N618">
        <v>4</v>
      </c>
      <c r="O618">
        <v>0.77083333333333337</v>
      </c>
      <c r="P618">
        <v>75.5</v>
      </c>
      <c r="Q618" t="s">
        <v>39</v>
      </c>
      <c r="R618" t="s">
        <v>39</v>
      </c>
      <c r="T618" t="s">
        <v>40</v>
      </c>
      <c r="U618" s="1">
        <v>45838</v>
      </c>
    </row>
    <row r="619" spans="1:21" x14ac:dyDescent="0.3">
      <c r="A619">
        <v>613</v>
      </c>
      <c r="B619">
        <v>205</v>
      </c>
      <c r="C619">
        <v>1</v>
      </c>
      <c r="D619" t="s">
        <v>19</v>
      </c>
      <c r="E619" t="s">
        <v>23</v>
      </c>
      <c r="F619">
        <v>27</v>
      </c>
      <c r="G619" t="s">
        <v>24</v>
      </c>
      <c r="I619" t="s">
        <v>30</v>
      </c>
      <c r="J619" s="1">
        <v>45663</v>
      </c>
      <c r="K619" t="s">
        <v>34</v>
      </c>
      <c r="L619" t="s">
        <v>35</v>
      </c>
      <c r="M619" t="s">
        <v>38</v>
      </c>
      <c r="N619">
        <v>4</v>
      </c>
      <c r="O619">
        <v>0.89583333333333337</v>
      </c>
      <c r="P619">
        <v>70.5</v>
      </c>
      <c r="Q619" t="s">
        <v>40</v>
      </c>
      <c r="R619" t="s">
        <v>40</v>
      </c>
      <c r="T619" t="s">
        <v>40</v>
      </c>
      <c r="U619" s="1">
        <v>45838</v>
      </c>
    </row>
    <row r="620" spans="1:21" x14ac:dyDescent="0.3">
      <c r="A620">
        <v>614</v>
      </c>
      <c r="B620">
        <v>205</v>
      </c>
      <c r="C620">
        <v>2</v>
      </c>
      <c r="D620" t="s">
        <v>19</v>
      </c>
      <c r="E620" t="s">
        <v>23</v>
      </c>
      <c r="F620">
        <v>27</v>
      </c>
      <c r="G620" t="s">
        <v>24</v>
      </c>
      <c r="I620" t="s">
        <v>30</v>
      </c>
      <c r="J620" s="1">
        <v>45663</v>
      </c>
      <c r="K620" t="s">
        <v>34</v>
      </c>
      <c r="L620" t="s">
        <v>36</v>
      </c>
      <c r="M620" t="s">
        <v>38</v>
      </c>
      <c r="N620">
        <v>4</v>
      </c>
      <c r="O620">
        <v>0.85416666666666663</v>
      </c>
      <c r="P620">
        <v>75.5</v>
      </c>
      <c r="Q620" t="s">
        <v>40</v>
      </c>
      <c r="R620" t="s">
        <v>40</v>
      </c>
      <c r="T620" t="s">
        <v>40</v>
      </c>
      <c r="U620" s="1">
        <v>45838</v>
      </c>
    </row>
    <row r="621" spans="1:21" x14ac:dyDescent="0.3">
      <c r="A621">
        <v>615</v>
      </c>
      <c r="B621">
        <v>205</v>
      </c>
      <c r="C621">
        <v>3</v>
      </c>
      <c r="D621" t="s">
        <v>21</v>
      </c>
      <c r="E621" t="s">
        <v>23</v>
      </c>
      <c r="F621">
        <v>27</v>
      </c>
      <c r="G621" t="s">
        <v>24</v>
      </c>
      <c r="I621" t="s">
        <v>30</v>
      </c>
      <c r="J621" s="1">
        <v>45663</v>
      </c>
      <c r="K621" t="s">
        <v>34</v>
      </c>
      <c r="L621" t="s">
        <v>37</v>
      </c>
      <c r="M621" t="s">
        <v>38</v>
      </c>
      <c r="N621">
        <v>4</v>
      </c>
      <c r="O621">
        <v>0.85416666666666663</v>
      </c>
      <c r="P621">
        <v>74</v>
      </c>
      <c r="Q621" t="s">
        <v>40</v>
      </c>
      <c r="R621" t="s">
        <v>40</v>
      </c>
      <c r="T621" t="s">
        <v>40</v>
      </c>
      <c r="U621" s="1">
        <v>45838</v>
      </c>
    </row>
    <row r="622" spans="1:21" x14ac:dyDescent="0.3">
      <c r="A622">
        <v>616</v>
      </c>
      <c r="B622">
        <v>206</v>
      </c>
      <c r="C622">
        <v>1</v>
      </c>
      <c r="D622" t="s">
        <v>19</v>
      </c>
      <c r="E622" t="s">
        <v>23</v>
      </c>
      <c r="F622">
        <v>26</v>
      </c>
      <c r="G622" t="s">
        <v>25</v>
      </c>
      <c r="I622" t="s">
        <v>31</v>
      </c>
      <c r="J622" s="1">
        <v>45785</v>
      </c>
      <c r="K622" t="s">
        <v>34</v>
      </c>
      <c r="L622" t="s">
        <v>35</v>
      </c>
      <c r="M622" t="s">
        <v>38</v>
      </c>
      <c r="N622">
        <v>4</v>
      </c>
      <c r="O622">
        <v>0.83333333333333337</v>
      </c>
      <c r="P622">
        <v>65.5</v>
      </c>
      <c r="Q622" t="s">
        <v>39</v>
      </c>
      <c r="R622" t="s">
        <v>39</v>
      </c>
      <c r="T622" t="s">
        <v>40</v>
      </c>
      <c r="U622" s="1">
        <v>45838</v>
      </c>
    </row>
    <row r="623" spans="1:21" x14ac:dyDescent="0.3">
      <c r="A623">
        <v>617</v>
      </c>
      <c r="B623">
        <v>206</v>
      </c>
      <c r="C623">
        <v>2</v>
      </c>
      <c r="D623" t="s">
        <v>19</v>
      </c>
      <c r="E623" t="s">
        <v>23</v>
      </c>
      <c r="F623">
        <v>26</v>
      </c>
      <c r="G623" t="s">
        <v>25</v>
      </c>
      <c r="I623" t="s">
        <v>31</v>
      </c>
      <c r="J623" s="1">
        <v>45785</v>
      </c>
      <c r="K623" t="s">
        <v>34</v>
      </c>
      <c r="L623" t="s">
        <v>36</v>
      </c>
      <c r="M623" t="s">
        <v>38</v>
      </c>
      <c r="N623">
        <v>4</v>
      </c>
      <c r="O623">
        <v>0.85416666666666663</v>
      </c>
      <c r="P623">
        <v>75</v>
      </c>
      <c r="Q623" t="s">
        <v>39</v>
      </c>
      <c r="R623" t="s">
        <v>39</v>
      </c>
      <c r="T623" t="s">
        <v>40</v>
      </c>
      <c r="U623" s="1">
        <v>45838</v>
      </c>
    </row>
    <row r="624" spans="1:21" x14ac:dyDescent="0.3">
      <c r="A624">
        <v>618</v>
      </c>
      <c r="B624">
        <v>206</v>
      </c>
      <c r="C624">
        <v>3</v>
      </c>
      <c r="D624" t="s">
        <v>19</v>
      </c>
      <c r="E624" t="s">
        <v>23</v>
      </c>
      <c r="F624">
        <v>26</v>
      </c>
      <c r="G624" t="s">
        <v>25</v>
      </c>
      <c r="I624" t="s">
        <v>31</v>
      </c>
      <c r="J624" s="1">
        <v>45785</v>
      </c>
      <c r="K624" t="s">
        <v>34</v>
      </c>
      <c r="L624" t="s">
        <v>37</v>
      </c>
      <c r="M624" t="s">
        <v>38</v>
      </c>
      <c r="N624">
        <v>4</v>
      </c>
      <c r="O624">
        <v>0.85416666666666663</v>
      </c>
      <c r="P624">
        <v>59.5</v>
      </c>
      <c r="Q624" t="s">
        <v>39</v>
      </c>
      <c r="R624" t="s">
        <v>39</v>
      </c>
      <c r="T624" t="s">
        <v>40</v>
      </c>
      <c r="U624" s="1">
        <v>45838</v>
      </c>
    </row>
    <row r="625" spans="1:21" x14ac:dyDescent="0.3">
      <c r="A625">
        <v>619</v>
      </c>
      <c r="B625">
        <v>207</v>
      </c>
      <c r="C625">
        <v>1</v>
      </c>
      <c r="D625" t="s">
        <v>19</v>
      </c>
      <c r="E625" t="s">
        <v>23</v>
      </c>
      <c r="F625">
        <v>25</v>
      </c>
      <c r="G625" t="s">
        <v>26</v>
      </c>
      <c r="I625" t="s">
        <v>30</v>
      </c>
      <c r="J625" s="1">
        <v>45714</v>
      </c>
      <c r="K625" t="s">
        <v>34</v>
      </c>
      <c r="L625" t="s">
        <v>35</v>
      </c>
      <c r="M625" t="s">
        <v>38</v>
      </c>
      <c r="N625">
        <v>4</v>
      </c>
      <c r="O625">
        <v>0.77083333333333337</v>
      </c>
      <c r="P625">
        <v>76</v>
      </c>
      <c r="Q625" t="s">
        <v>39</v>
      </c>
      <c r="R625" t="s">
        <v>40</v>
      </c>
      <c r="T625" t="s">
        <v>40</v>
      </c>
      <c r="U625" s="1">
        <v>45838</v>
      </c>
    </row>
    <row r="626" spans="1:21" x14ac:dyDescent="0.3">
      <c r="A626">
        <v>620</v>
      </c>
      <c r="B626">
        <v>207</v>
      </c>
      <c r="C626">
        <v>2</v>
      </c>
      <c r="D626" t="s">
        <v>21</v>
      </c>
      <c r="E626" t="s">
        <v>23</v>
      </c>
      <c r="F626">
        <v>25</v>
      </c>
      <c r="G626" t="s">
        <v>26</v>
      </c>
      <c r="I626" t="s">
        <v>30</v>
      </c>
      <c r="J626" s="1">
        <v>45714</v>
      </c>
      <c r="K626" t="s">
        <v>34</v>
      </c>
      <c r="L626" t="s">
        <v>36</v>
      </c>
      <c r="M626" t="s">
        <v>38</v>
      </c>
      <c r="N626">
        <v>4</v>
      </c>
      <c r="O626">
        <v>0.77083333333333337</v>
      </c>
      <c r="P626">
        <v>82.5</v>
      </c>
      <c r="Q626" t="s">
        <v>39</v>
      </c>
      <c r="R626" t="s">
        <v>40</v>
      </c>
      <c r="T626" t="s">
        <v>40</v>
      </c>
      <c r="U626" s="1">
        <v>45838</v>
      </c>
    </row>
    <row r="627" spans="1:21" x14ac:dyDescent="0.3">
      <c r="A627">
        <v>621</v>
      </c>
      <c r="B627">
        <v>207</v>
      </c>
      <c r="C627">
        <v>3</v>
      </c>
      <c r="D627" t="s">
        <v>19</v>
      </c>
      <c r="E627" t="s">
        <v>23</v>
      </c>
      <c r="F627">
        <v>25</v>
      </c>
      <c r="G627" t="s">
        <v>26</v>
      </c>
      <c r="I627" t="s">
        <v>30</v>
      </c>
      <c r="J627" s="1">
        <v>45714</v>
      </c>
      <c r="K627" t="s">
        <v>34</v>
      </c>
      <c r="L627" t="s">
        <v>37</v>
      </c>
      <c r="M627" t="s">
        <v>38</v>
      </c>
      <c r="N627">
        <v>4</v>
      </c>
      <c r="O627">
        <v>0.77083333333333337</v>
      </c>
      <c r="P627">
        <v>69</v>
      </c>
      <c r="Q627" t="s">
        <v>39</v>
      </c>
      <c r="R627" t="s">
        <v>40</v>
      </c>
      <c r="T627" t="s">
        <v>40</v>
      </c>
      <c r="U627" s="1">
        <v>45838</v>
      </c>
    </row>
    <row r="628" spans="1:21" x14ac:dyDescent="0.3">
      <c r="A628">
        <v>622</v>
      </c>
      <c r="B628">
        <v>208</v>
      </c>
      <c r="C628">
        <v>1</v>
      </c>
      <c r="D628" t="s">
        <v>19</v>
      </c>
      <c r="E628" t="s">
        <v>22</v>
      </c>
      <c r="F628">
        <v>26</v>
      </c>
      <c r="G628" t="s">
        <v>24</v>
      </c>
      <c r="I628" t="s">
        <v>32</v>
      </c>
      <c r="J628" s="1">
        <v>45682</v>
      </c>
      <c r="K628" t="s">
        <v>34</v>
      </c>
      <c r="L628" t="s">
        <v>35</v>
      </c>
      <c r="M628" t="s">
        <v>38</v>
      </c>
      <c r="N628">
        <v>4</v>
      </c>
      <c r="O628">
        <v>0.89583333333333337</v>
      </c>
      <c r="P628">
        <v>77.5</v>
      </c>
      <c r="Q628" t="s">
        <v>39</v>
      </c>
      <c r="R628" t="s">
        <v>39</v>
      </c>
      <c r="T628" t="s">
        <v>40</v>
      </c>
      <c r="U628" s="1">
        <v>45838</v>
      </c>
    </row>
    <row r="629" spans="1:21" x14ac:dyDescent="0.3">
      <c r="A629">
        <v>623</v>
      </c>
      <c r="B629">
        <v>208</v>
      </c>
      <c r="C629">
        <v>2</v>
      </c>
      <c r="D629" t="s">
        <v>19</v>
      </c>
      <c r="E629" t="s">
        <v>22</v>
      </c>
      <c r="F629">
        <v>26</v>
      </c>
      <c r="G629" t="s">
        <v>24</v>
      </c>
      <c r="I629" t="s">
        <v>32</v>
      </c>
      <c r="J629" s="1">
        <v>45682</v>
      </c>
      <c r="K629" t="s">
        <v>34</v>
      </c>
      <c r="L629" t="s">
        <v>36</v>
      </c>
      <c r="M629" t="s">
        <v>38</v>
      </c>
      <c r="N629">
        <v>4</v>
      </c>
      <c r="O629">
        <v>0.75</v>
      </c>
      <c r="P629">
        <v>69.5</v>
      </c>
      <c r="Q629" t="s">
        <v>39</v>
      </c>
      <c r="R629" t="s">
        <v>39</v>
      </c>
      <c r="T629" t="s">
        <v>40</v>
      </c>
      <c r="U629" s="1">
        <v>45838</v>
      </c>
    </row>
    <row r="630" spans="1:21" x14ac:dyDescent="0.3">
      <c r="A630">
        <v>624</v>
      </c>
      <c r="B630">
        <v>208</v>
      </c>
      <c r="C630">
        <v>3</v>
      </c>
      <c r="D630" t="s">
        <v>19</v>
      </c>
      <c r="E630" t="s">
        <v>22</v>
      </c>
      <c r="F630">
        <v>26</v>
      </c>
      <c r="G630" t="s">
        <v>24</v>
      </c>
      <c r="I630" t="s">
        <v>32</v>
      </c>
      <c r="J630" s="1">
        <v>45682</v>
      </c>
      <c r="K630" t="s">
        <v>34</v>
      </c>
      <c r="L630" t="s">
        <v>37</v>
      </c>
      <c r="M630" t="s">
        <v>38</v>
      </c>
      <c r="N630">
        <v>4</v>
      </c>
      <c r="O630">
        <v>0.75</v>
      </c>
      <c r="P630">
        <v>58</v>
      </c>
      <c r="Q630" t="s">
        <v>39</v>
      </c>
      <c r="R630" t="s">
        <v>39</v>
      </c>
      <c r="T630" t="s">
        <v>40</v>
      </c>
      <c r="U630" s="1">
        <v>45838</v>
      </c>
    </row>
    <row r="631" spans="1:21" x14ac:dyDescent="0.3">
      <c r="A631">
        <v>625</v>
      </c>
      <c r="B631">
        <v>209</v>
      </c>
      <c r="C631">
        <v>1</v>
      </c>
      <c r="D631" t="s">
        <v>19</v>
      </c>
      <c r="E631" t="s">
        <v>22</v>
      </c>
      <c r="F631">
        <v>27</v>
      </c>
      <c r="G631" t="s">
        <v>27</v>
      </c>
      <c r="I631" t="s">
        <v>31</v>
      </c>
      <c r="J631" s="1">
        <v>45806</v>
      </c>
      <c r="K631" t="s">
        <v>34</v>
      </c>
      <c r="L631" t="s">
        <v>35</v>
      </c>
      <c r="M631" t="s">
        <v>38</v>
      </c>
      <c r="N631">
        <v>4</v>
      </c>
      <c r="O631">
        <v>0.70833333333333337</v>
      </c>
      <c r="P631">
        <v>71.5</v>
      </c>
      <c r="Q631" t="s">
        <v>39</v>
      </c>
      <c r="R631" t="s">
        <v>40</v>
      </c>
      <c r="T631" t="s">
        <v>40</v>
      </c>
      <c r="U631" s="1">
        <v>45838</v>
      </c>
    </row>
    <row r="632" spans="1:21" x14ac:dyDescent="0.3">
      <c r="A632">
        <v>626</v>
      </c>
      <c r="B632">
        <v>209</v>
      </c>
      <c r="C632">
        <v>2</v>
      </c>
      <c r="D632" t="s">
        <v>19</v>
      </c>
      <c r="E632" t="s">
        <v>22</v>
      </c>
      <c r="F632">
        <v>27</v>
      </c>
      <c r="G632" t="s">
        <v>27</v>
      </c>
      <c r="I632" t="s">
        <v>31</v>
      </c>
      <c r="J632" s="1">
        <v>45806</v>
      </c>
      <c r="K632" t="s">
        <v>34</v>
      </c>
      <c r="L632" t="s">
        <v>36</v>
      </c>
      <c r="M632" t="s">
        <v>38</v>
      </c>
      <c r="N632">
        <v>4</v>
      </c>
      <c r="O632">
        <v>0.72916666666666663</v>
      </c>
      <c r="P632">
        <v>78</v>
      </c>
      <c r="Q632" t="s">
        <v>39</v>
      </c>
      <c r="R632" t="s">
        <v>40</v>
      </c>
      <c r="T632" t="s">
        <v>40</v>
      </c>
      <c r="U632" s="1">
        <v>45838</v>
      </c>
    </row>
    <row r="633" spans="1:21" x14ac:dyDescent="0.3">
      <c r="A633">
        <v>627</v>
      </c>
      <c r="B633">
        <v>209</v>
      </c>
      <c r="C633">
        <v>3</v>
      </c>
      <c r="D633" t="s">
        <v>21</v>
      </c>
      <c r="E633" t="s">
        <v>22</v>
      </c>
      <c r="F633">
        <v>27</v>
      </c>
      <c r="G633" t="s">
        <v>27</v>
      </c>
      <c r="I633" t="s">
        <v>31</v>
      </c>
      <c r="J633" s="1">
        <v>45806</v>
      </c>
      <c r="K633" t="s">
        <v>34</v>
      </c>
      <c r="L633" t="s">
        <v>37</v>
      </c>
      <c r="M633" t="s">
        <v>38</v>
      </c>
      <c r="N633">
        <v>4</v>
      </c>
      <c r="O633">
        <v>0.8125</v>
      </c>
      <c r="P633">
        <v>52.5</v>
      </c>
      <c r="Q633" t="s">
        <v>39</v>
      </c>
      <c r="R633" t="s">
        <v>40</v>
      </c>
      <c r="T633" t="s">
        <v>40</v>
      </c>
      <c r="U633" s="1">
        <v>45838</v>
      </c>
    </row>
    <row r="634" spans="1:21" x14ac:dyDescent="0.3">
      <c r="A634">
        <v>628</v>
      </c>
      <c r="B634">
        <v>210</v>
      </c>
      <c r="C634">
        <v>1</v>
      </c>
      <c r="D634" t="s">
        <v>19</v>
      </c>
      <c r="E634" t="s">
        <v>23</v>
      </c>
      <c r="F634">
        <v>22</v>
      </c>
      <c r="G634" t="s">
        <v>25</v>
      </c>
      <c r="I634" t="s">
        <v>30</v>
      </c>
      <c r="J634" s="1">
        <v>45741</v>
      </c>
      <c r="K634" t="s">
        <v>34</v>
      </c>
      <c r="L634" t="s">
        <v>35</v>
      </c>
      <c r="M634" t="s">
        <v>38</v>
      </c>
      <c r="N634">
        <v>4</v>
      </c>
      <c r="O634">
        <v>0.89583333333333337</v>
      </c>
      <c r="P634">
        <v>75.5</v>
      </c>
      <c r="Q634" t="s">
        <v>40</v>
      </c>
      <c r="R634" t="s">
        <v>40</v>
      </c>
      <c r="T634" t="s">
        <v>40</v>
      </c>
      <c r="U634" s="1">
        <v>45838</v>
      </c>
    </row>
    <row r="635" spans="1:21" x14ac:dyDescent="0.3">
      <c r="A635">
        <v>629</v>
      </c>
      <c r="B635">
        <v>210</v>
      </c>
      <c r="C635">
        <v>2</v>
      </c>
      <c r="D635" t="s">
        <v>21</v>
      </c>
      <c r="E635" t="s">
        <v>23</v>
      </c>
      <c r="F635">
        <v>22</v>
      </c>
      <c r="G635" t="s">
        <v>25</v>
      </c>
      <c r="I635" t="s">
        <v>30</v>
      </c>
      <c r="J635" s="1">
        <v>45741</v>
      </c>
      <c r="K635" t="s">
        <v>34</v>
      </c>
      <c r="L635" t="s">
        <v>36</v>
      </c>
      <c r="M635" t="s">
        <v>38</v>
      </c>
      <c r="N635">
        <v>4</v>
      </c>
      <c r="O635">
        <v>0.875</v>
      </c>
      <c r="P635">
        <v>55</v>
      </c>
      <c r="Q635" t="s">
        <v>40</v>
      </c>
      <c r="R635" t="s">
        <v>40</v>
      </c>
      <c r="T635" t="s">
        <v>40</v>
      </c>
      <c r="U635" s="1">
        <v>45838</v>
      </c>
    </row>
    <row r="636" spans="1:21" x14ac:dyDescent="0.3">
      <c r="A636">
        <v>630</v>
      </c>
      <c r="B636">
        <v>210</v>
      </c>
      <c r="C636">
        <v>3</v>
      </c>
      <c r="D636" t="s">
        <v>21</v>
      </c>
      <c r="E636" t="s">
        <v>23</v>
      </c>
      <c r="F636">
        <v>22</v>
      </c>
      <c r="G636" t="s">
        <v>25</v>
      </c>
      <c r="I636" t="s">
        <v>30</v>
      </c>
      <c r="J636" s="1">
        <v>45741</v>
      </c>
      <c r="K636" t="s">
        <v>34</v>
      </c>
      <c r="L636" t="s">
        <v>37</v>
      </c>
      <c r="M636" t="s">
        <v>38</v>
      </c>
      <c r="N636">
        <v>4</v>
      </c>
      <c r="O636">
        <v>0.83333333333333337</v>
      </c>
      <c r="P636">
        <v>80</v>
      </c>
      <c r="Q636" t="s">
        <v>40</v>
      </c>
      <c r="R636" t="s">
        <v>40</v>
      </c>
      <c r="T636" t="s">
        <v>40</v>
      </c>
      <c r="U636" s="1">
        <v>45838</v>
      </c>
    </row>
    <row r="637" spans="1:21" x14ac:dyDescent="0.3">
      <c r="A637">
        <v>631</v>
      </c>
      <c r="B637">
        <v>211</v>
      </c>
      <c r="C637">
        <v>1</v>
      </c>
      <c r="D637" t="s">
        <v>19</v>
      </c>
      <c r="E637" t="s">
        <v>23</v>
      </c>
      <c r="F637">
        <v>23</v>
      </c>
      <c r="G637" t="s">
        <v>28</v>
      </c>
      <c r="I637" t="s">
        <v>32</v>
      </c>
      <c r="J637" s="1">
        <v>45796</v>
      </c>
      <c r="K637" t="s">
        <v>34</v>
      </c>
      <c r="L637" t="s">
        <v>35</v>
      </c>
      <c r="M637" t="s">
        <v>38</v>
      </c>
      <c r="N637">
        <v>4</v>
      </c>
      <c r="O637">
        <v>0.75</v>
      </c>
      <c r="P637">
        <v>57.5</v>
      </c>
      <c r="Q637" t="s">
        <v>39</v>
      </c>
      <c r="R637" t="s">
        <v>40</v>
      </c>
      <c r="T637" t="s">
        <v>39</v>
      </c>
      <c r="U637" s="1">
        <v>45838</v>
      </c>
    </row>
    <row r="638" spans="1:21" x14ac:dyDescent="0.3">
      <c r="A638">
        <v>632</v>
      </c>
      <c r="B638">
        <v>211</v>
      </c>
      <c r="C638">
        <v>2</v>
      </c>
      <c r="D638" t="s">
        <v>19</v>
      </c>
      <c r="E638" t="s">
        <v>23</v>
      </c>
      <c r="F638">
        <v>23</v>
      </c>
      <c r="G638" t="s">
        <v>28</v>
      </c>
      <c r="I638" t="s">
        <v>32</v>
      </c>
      <c r="J638" s="1">
        <v>45796</v>
      </c>
      <c r="K638" t="s">
        <v>34</v>
      </c>
      <c r="L638" t="s">
        <v>36</v>
      </c>
      <c r="M638" t="s">
        <v>38</v>
      </c>
      <c r="N638">
        <v>4</v>
      </c>
      <c r="O638">
        <v>0.85416666666666663</v>
      </c>
      <c r="P638">
        <v>76</v>
      </c>
      <c r="Q638" t="s">
        <v>39</v>
      </c>
      <c r="R638" t="s">
        <v>40</v>
      </c>
      <c r="T638" t="s">
        <v>39</v>
      </c>
      <c r="U638" s="1">
        <v>45838</v>
      </c>
    </row>
    <row r="639" spans="1:21" x14ac:dyDescent="0.3">
      <c r="A639">
        <v>633</v>
      </c>
      <c r="B639">
        <v>211</v>
      </c>
      <c r="C639">
        <v>3</v>
      </c>
      <c r="D639" t="s">
        <v>19</v>
      </c>
      <c r="E639" t="s">
        <v>23</v>
      </c>
      <c r="F639">
        <v>23</v>
      </c>
      <c r="G639" t="s">
        <v>28</v>
      </c>
      <c r="I639" t="s">
        <v>32</v>
      </c>
      <c r="J639" s="1">
        <v>45796</v>
      </c>
      <c r="K639" t="s">
        <v>34</v>
      </c>
      <c r="L639" t="s">
        <v>37</v>
      </c>
      <c r="M639" t="s">
        <v>38</v>
      </c>
      <c r="N639">
        <v>4</v>
      </c>
      <c r="O639">
        <v>0.89583333333333337</v>
      </c>
      <c r="P639">
        <v>60</v>
      </c>
      <c r="Q639" t="s">
        <v>39</v>
      </c>
      <c r="R639" t="s">
        <v>40</v>
      </c>
      <c r="T639" t="s">
        <v>39</v>
      </c>
      <c r="U639" s="1">
        <v>45838</v>
      </c>
    </row>
    <row r="640" spans="1:21" x14ac:dyDescent="0.3">
      <c r="A640">
        <v>634</v>
      </c>
      <c r="B640">
        <v>212</v>
      </c>
      <c r="C640">
        <v>1</v>
      </c>
      <c r="D640" t="s">
        <v>19</v>
      </c>
      <c r="E640" t="s">
        <v>23</v>
      </c>
      <c r="F640">
        <v>34</v>
      </c>
      <c r="G640" t="s">
        <v>26</v>
      </c>
      <c r="I640" t="s">
        <v>30</v>
      </c>
      <c r="J640" s="1">
        <v>45700</v>
      </c>
      <c r="K640" t="s">
        <v>34</v>
      </c>
      <c r="L640" t="s">
        <v>35</v>
      </c>
      <c r="M640" t="s">
        <v>38</v>
      </c>
      <c r="N640">
        <v>4</v>
      </c>
      <c r="O640">
        <v>0.8125</v>
      </c>
      <c r="P640">
        <v>85</v>
      </c>
      <c r="Q640" t="s">
        <v>39</v>
      </c>
      <c r="R640" t="s">
        <v>39</v>
      </c>
      <c r="T640" t="s">
        <v>40</v>
      </c>
      <c r="U640" s="1">
        <v>45838</v>
      </c>
    </row>
    <row r="641" spans="1:21" x14ac:dyDescent="0.3">
      <c r="A641">
        <v>635</v>
      </c>
      <c r="B641">
        <v>212</v>
      </c>
      <c r="C641">
        <v>2</v>
      </c>
      <c r="D641" t="s">
        <v>19</v>
      </c>
      <c r="E641" t="s">
        <v>23</v>
      </c>
      <c r="F641">
        <v>34</v>
      </c>
      <c r="G641" t="s">
        <v>26</v>
      </c>
      <c r="I641" t="s">
        <v>30</v>
      </c>
      <c r="J641" s="1">
        <v>45700</v>
      </c>
      <c r="K641" t="s">
        <v>34</v>
      </c>
      <c r="L641" t="s">
        <v>36</v>
      </c>
      <c r="M641" t="s">
        <v>38</v>
      </c>
      <c r="N641">
        <v>4</v>
      </c>
      <c r="O641">
        <v>0.72916666666666663</v>
      </c>
      <c r="P641">
        <v>75</v>
      </c>
      <c r="Q641" t="s">
        <v>39</v>
      </c>
      <c r="R641" t="s">
        <v>39</v>
      </c>
      <c r="T641" t="s">
        <v>40</v>
      </c>
      <c r="U641" s="1">
        <v>45838</v>
      </c>
    </row>
    <row r="642" spans="1:21" x14ac:dyDescent="0.3">
      <c r="A642">
        <v>636</v>
      </c>
      <c r="B642">
        <v>212</v>
      </c>
      <c r="C642">
        <v>3</v>
      </c>
      <c r="D642" t="s">
        <v>19</v>
      </c>
      <c r="E642" t="s">
        <v>23</v>
      </c>
      <c r="F642">
        <v>34</v>
      </c>
      <c r="G642" t="s">
        <v>26</v>
      </c>
      <c r="I642" t="s">
        <v>30</v>
      </c>
      <c r="J642" s="1">
        <v>45700</v>
      </c>
      <c r="K642" t="s">
        <v>34</v>
      </c>
      <c r="L642" t="s">
        <v>37</v>
      </c>
      <c r="M642" t="s">
        <v>38</v>
      </c>
      <c r="N642">
        <v>4</v>
      </c>
      <c r="O642">
        <v>0.875</v>
      </c>
      <c r="P642">
        <v>78.5</v>
      </c>
      <c r="Q642" t="s">
        <v>39</v>
      </c>
      <c r="R642" t="s">
        <v>39</v>
      </c>
      <c r="T642" t="s">
        <v>40</v>
      </c>
      <c r="U642" s="1">
        <v>45838</v>
      </c>
    </row>
    <row r="643" spans="1:21" x14ac:dyDescent="0.3">
      <c r="A643">
        <v>637</v>
      </c>
      <c r="B643">
        <v>213</v>
      </c>
      <c r="C643">
        <v>1</v>
      </c>
      <c r="D643" t="s">
        <v>19</v>
      </c>
      <c r="E643" t="s">
        <v>23</v>
      </c>
      <c r="F643">
        <v>33</v>
      </c>
      <c r="G643" t="s">
        <v>29</v>
      </c>
      <c r="I643" t="s">
        <v>30</v>
      </c>
      <c r="J643" s="1">
        <v>45687</v>
      </c>
      <c r="K643" t="s">
        <v>34</v>
      </c>
      <c r="L643" t="s">
        <v>35</v>
      </c>
      <c r="M643" t="s">
        <v>38</v>
      </c>
      <c r="N643">
        <v>4</v>
      </c>
      <c r="O643">
        <v>0.85416666666666663</v>
      </c>
      <c r="P643">
        <v>73.5</v>
      </c>
      <c r="Q643" t="s">
        <v>39</v>
      </c>
      <c r="R643" t="s">
        <v>39</v>
      </c>
      <c r="T643" t="s">
        <v>40</v>
      </c>
      <c r="U643" s="1">
        <v>45838</v>
      </c>
    </row>
    <row r="644" spans="1:21" x14ac:dyDescent="0.3">
      <c r="A644">
        <v>638</v>
      </c>
      <c r="B644">
        <v>213</v>
      </c>
      <c r="C644">
        <v>2</v>
      </c>
      <c r="D644" t="s">
        <v>21</v>
      </c>
      <c r="E644" t="s">
        <v>23</v>
      </c>
      <c r="F644">
        <v>33</v>
      </c>
      <c r="G644" t="s">
        <v>29</v>
      </c>
      <c r="I644" t="s">
        <v>30</v>
      </c>
      <c r="J644" s="1">
        <v>45687</v>
      </c>
      <c r="K644" t="s">
        <v>34</v>
      </c>
      <c r="L644" t="s">
        <v>36</v>
      </c>
      <c r="M644" t="s">
        <v>38</v>
      </c>
      <c r="N644">
        <v>4</v>
      </c>
      <c r="O644">
        <v>0.875</v>
      </c>
      <c r="P644">
        <v>67</v>
      </c>
      <c r="Q644" t="s">
        <v>39</v>
      </c>
      <c r="R644" t="s">
        <v>39</v>
      </c>
      <c r="T644" t="s">
        <v>40</v>
      </c>
      <c r="U644" s="1">
        <v>45838</v>
      </c>
    </row>
    <row r="645" spans="1:21" x14ac:dyDescent="0.3">
      <c r="A645">
        <v>639</v>
      </c>
      <c r="B645">
        <v>213</v>
      </c>
      <c r="C645">
        <v>3</v>
      </c>
      <c r="D645" t="s">
        <v>19</v>
      </c>
      <c r="E645" t="s">
        <v>23</v>
      </c>
      <c r="F645">
        <v>33</v>
      </c>
      <c r="G645" t="s">
        <v>29</v>
      </c>
      <c r="I645" t="s">
        <v>30</v>
      </c>
      <c r="J645" s="1">
        <v>45687</v>
      </c>
      <c r="K645" t="s">
        <v>34</v>
      </c>
      <c r="L645" t="s">
        <v>37</v>
      </c>
      <c r="M645" t="s">
        <v>38</v>
      </c>
      <c r="N645">
        <v>4</v>
      </c>
      <c r="O645">
        <v>0.77083333333333337</v>
      </c>
      <c r="P645">
        <v>74.5</v>
      </c>
      <c r="Q645" t="s">
        <v>39</v>
      </c>
      <c r="R645" t="s">
        <v>39</v>
      </c>
      <c r="T645" t="s">
        <v>40</v>
      </c>
      <c r="U645" s="1">
        <v>45838</v>
      </c>
    </row>
    <row r="646" spans="1:21" x14ac:dyDescent="0.3">
      <c r="A646">
        <v>640</v>
      </c>
      <c r="B646">
        <v>214</v>
      </c>
      <c r="C646">
        <v>1</v>
      </c>
      <c r="D646" t="s">
        <v>19</v>
      </c>
      <c r="E646" t="s">
        <v>23</v>
      </c>
      <c r="F646">
        <v>20</v>
      </c>
      <c r="G646" t="s">
        <v>28</v>
      </c>
      <c r="I646" t="s">
        <v>32</v>
      </c>
      <c r="J646" s="1">
        <v>45759</v>
      </c>
      <c r="K646" t="s">
        <v>34</v>
      </c>
      <c r="L646" t="s">
        <v>35</v>
      </c>
      <c r="M646" t="s">
        <v>38</v>
      </c>
      <c r="N646">
        <v>4</v>
      </c>
      <c r="O646">
        <v>0.875</v>
      </c>
      <c r="P646">
        <v>69.5</v>
      </c>
      <c r="Q646" t="s">
        <v>40</v>
      </c>
      <c r="R646" t="s">
        <v>40</v>
      </c>
      <c r="T646" t="s">
        <v>40</v>
      </c>
      <c r="U646" s="1">
        <v>45838</v>
      </c>
    </row>
    <row r="647" spans="1:21" x14ac:dyDescent="0.3">
      <c r="A647">
        <v>641</v>
      </c>
      <c r="B647">
        <v>214</v>
      </c>
      <c r="C647">
        <v>2</v>
      </c>
      <c r="D647" t="s">
        <v>19</v>
      </c>
      <c r="E647" t="s">
        <v>23</v>
      </c>
      <c r="F647">
        <v>20</v>
      </c>
      <c r="G647" t="s">
        <v>28</v>
      </c>
      <c r="I647" t="s">
        <v>32</v>
      </c>
      <c r="J647" s="1">
        <v>45759</v>
      </c>
      <c r="K647" t="s">
        <v>34</v>
      </c>
      <c r="L647" t="s">
        <v>36</v>
      </c>
      <c r="M647" t="s">
        <v>38</v>
      </c>
      <c r="N647">
        <v>4</v>
      </c>
      <c r="O647">
        <v>0.79166666666666663</v>
      </c>
      <c r="P647">
        <v>66.5</v>
      </c>
      <c r="Q647" t="s">
        <v>40</v>
      </c>
      <c r="R647" t="s">
        <v>40</v>
      </c>
      <c r="T647" t="s">
        <v>40</v>
      </c>
      <c r="U647" s="1">
        <v>45838</v>
      </c>
    </row>
    <row r="648" spans="1:21" x14ac:dyDescent="0.3">
      <c r="A648">
        <v>642</v>
      </c>
      <c r="B648">
        <v>214</v>
      </c>
      <c r="C648">
        <v>3</v>
      </c>
      <c r="D648" t="s">
        <v>19</v>
      </c>
      <c r="E648" t="s">
        <v>23</v>
      </c>
      <c r="F648">
        <v>20</v>
      </c>
      <c r="G648" t="s">
        <v>28</v>
      </c>
      <c r="I648" t="s">
        <v>32</v>
      </c>
      <c r="J648" s="1">
        <v>45759</v>
      </c>
      <c r="K648" t="s">
        <v>34</v>
      </c>
      <c r="L648" t="s">
        <v>37</v>
      </c>
      <c r="M648" t="s">
        <v>38</v>
      </c>
      <c r="N648">
        <v>4</v>
      </c>
      <c r="O648">
        <v>0.89583333333333337</v>
      </c>
      <c r="P648">
        <v>83.5</v>
      </c>
      <c r="Q648" t="s">
        <v>40</v>
      </c>
      <c r="R648" t="s">
        <v>40</v>
      </c>
      <c r="T648" t="s">
        <v>40</v>
      </c>
      <c r="U648" s="1">
        <v>45838</v>
      </c>
    </row>
    <row r="649" spans="1:21" x14ac:dyDescent="0.3">
      <c r="A649">
        <v>643</v>
      </c>
      <c r="B649">
        <v>215</v>
      </c>
      <c r="C649">
        <v>1</v>
      </c>
      <c r="D649" t="s">
        <v>19</v>
      </c>
      <c r="E649" t="s">
        <v>23</v>
      </c>
      <c r="F649">
        <v>20</v>
      </c>
      <c r="G649" t="s">
        <v>27</v>
      </c>
      <c r="I649" t="s">
        <v>31</v>
      </c>
      <c r="J649" s="1">
        <v>45725</v>
      </c>
      <c r="K649" t="s">
        <v>34</v>
      </c>
      <c r="L649" t="s">
        <v>35</v>
      </c>
      <c r="M649" t="s">
        <v>38</v>
      </c>
      <c r="N649">
        <v>4</v>
      </c>
      <c r="O649">
        <v>0.85416666666666663</v>
      </c>
      <c r="P649">
        <v>77.5</v>
      </c>
      <c r="Q649" t="s">
        <v>40</v>
      </c>
      <c r="R649" t="s">
        <v>40</v>
      </c>
      <c r="T649" t="s">
        <v>40</v>
      </c>
      <c r="U649" s="1">
        <v>45838</v>
      </c>
    </row>
    <row r="650" spans="1:21" x14ac:dyDescent="0.3">
      <c r="A650">
        <v>644</v>
      </c>
      <c r="B650">
        <v>215</v>
      </c>
      <c r="C650">
        <v>2</v>
      </c>
      <c r="D650" t="s">
        <v>19</v>
      </c>
      <c r="E650" t="s">
        <v>23</v>
      </c>
      <c r="F650">
        <v>20</v>
      </c>
      <c r="G650" t="s">
        <v>27</v>
      </c>
      <c r="I650" t="s">
        <v>31</v>
      </c>
      <c r="J650" s="1">
        <v>45725</v>
      </c>
      <c r="K650" t="s">
        <v>34</v>
      </c>
      <c r="L650" t="s">
        <v>36</v>
      </c>
      <c r="M650" t="s">
        <v>38</v>
      </c>
      <c r="N650">
        <v>4</v>
      </c>
      <c r="O650">
        <v>0.875</v>
      </c>
      <c r="P650">
        <v>82</v>
      </c>
      <c r="Q650" t="s">
        <v>40</v>
      </c>
      <c r="R650" t="s">
        <v>40</v>
      </c>
      <c r="T650" t="s">
        <v>40</v>
      </c>
      <c r="U650" s="1">
        <v>45838</v>
      </c>
    </row>
    <row r="651" spans="1:21" x14ac:dyDescent="0.3">
      <c r="A651">
        <v>645</v>
      </c>
      <c r="B651">
        <v>215</v>
      </c>
      <c r="C651">
        <v>3</v>
      </c>
      <c r="D651" t="s">
        <v>21</v>
      </c>
      <c r="E651" t="s">
        <v>23</v>
      </c>
      <c r="F651">
        <v>20</v>
      </c>
      <c r="G651" t="s">
        <v>27</v>
      </c>
      <c r="I651" t="s">
        <v>31</v>
      </c>
      <c r="J651" s="1">
        <v>45725</v>
      </c>
      <c r="K651" t="s">
        <v>34</v>
      </c>
      <c r="L651" t="s">
        <v>37</v>
      </c>
      <c r="M651" t="s">
        <v>38</v>
      </c>
      <c r="N651">
        <v>4</v>
      </c>
      <c r="O651">
        <v>0.875</v>
      </c>
      <c r="P651">
        <v>60.5</v>
      </c>
      <c r="Q651" t="s">
        <v>40</v>
      </c>
      <c r="R651" t="s">
        <v>40</v>
      </c>
      <c r="T651" t="s">
        <v>40</v>
      </c>
      <c r="U651" s="1">
        <v>45838</v>
      </c>
    </row>
    <row r="652" spans="1:21" x14ac:dyDescent="0.3">
      <c r="A652">
        <v>646</v>
      </c>
      <c r="B652">
        <v>216</v>
      </c>
      <c r="C652">
        <v>1</v>
      </c>
      <c r="D652" t="s">
        <v>19</v>
      </c>
      <c r="E652" t="s">
        <v>22</v>
      </c>
      <c r="F652">
        <v>32</v>
      </c>
      <c r="G652" t="s">
        <v>29</v>
      </c>
      <c r="I652" t="s">
        <v>30</v>
      </c>
      <c r="J652" s="1">
        <v>45807</v>
      </c>
      <c r="K652" t="s">
        <v>34</v>
      </c>
      <c r="L652" t="s">
        <v>35</v>
      </c>
      <c r="M652" t="s">
        <v>38</v>
      </c>
      <c r="N652">
        <v>4</v>
      </c>
      <c r="O652">
        <v>0.89583333333333337</v>
      </c>
      <c r="P652">
        <v>86</v>
      </c>
      <c r="Q652" t="s">
        <v>39</v>
      </c>
      <c r="R652" t="s">
        <v>39</v>
      </c>
      <c r="T652" t="s">
        <v>40</v>
      </c>
      <c r="U652" s="1">
        <v>45838</v>
      </c>
    </row>
    <row r="653" spans="1:21" x14ac:dyDescent="0.3">
      <c r="A653">
        <v>647</v>
      </c>
      <c r="B653">
        <v>216</v>
      </c>
      <c r="C653">
        <v>2</v>
      </c>
      <c r="D653" t="s">
        <v>20</v>
      </c>
      <c r="E653" t="s">
        <v>22</v>
      </c>
      <c r="F653">
        <v>32</v>
      </c>
      <c r="G653" t="s">
        <v>29</v>
      </c>
      <c r="I653" t="s">
        <v>30</v>
      </c>
      <c r="J653" s="1">
        <v>45807</v>
      </c>
      <c r="K653" t="s">
        <v>34</v>
      </c>
      <c r="L653" t="s">
        <v>36</v>
      </c>
      <c r="M653" t="s">
        <v>38</v>
      </c>
      <c r="N653">
        <v>4</v>
      </c>
      <c r="O653">
        <v>0.89583333333333337</v>
      </c>
      <c r="P653">
        <v>71</v>
      </c>
      <c r="Q653" t="s">
        <v>39</v>
      </c>
      <c r="R653" t="s">
        <v>39</v>
      </c>
      <c r="T653" t="s">
        <v>40</v>
      </c>
      <c r="U653" s="1">
        <v>45838</v>
      </c>
    </row>
    <row r="654" spans="1:21" x14ac:dyDescent="0.3">
      <c r="A654">
        <v>648</v>
      </c>
      <c r="B654">
        <v>216</v>
      </c>
      <c r="C654">
        <v>3</v>
      </c>
      <c r="D654" t="s">
        <v>19</v>
      </c>
      <c r="E654" t="s">
        <v>22</v>
      </c>
      <c r="F654">
        <v>32</v>
      </c>
      <c r="G654" t="s">
        <v>29</v>
      </c>
      <c r="I654" t="s">
        <v>30</v>
      </c>
      <c r="J654" s="1">
        <v>45807</v>
      </c>
      <c r="K654" t="s">
        <v>34</v>
      </c>
      <c r="L654" t="s">
        <v>37</v>
      </c>
      <c r="M654" t="s">
        <v>38</v>
      </c>
      <c r="N654">
        <v>4</v>
      </c>
      <c r="O654">
        <v>0.875</v>
      </c>
      <c r="P654">
        <v>60.5</v>
      </c>
      <c r="Q654" t="s">
        <v>39</v>
      </c>
      <c r="R654" t="s">
        <v>39</v>
      </c>
      <c r="T654" t="s">
        <v>40</v>
      </c>
      <c r="U654" s="1">
        <v>45838</v>
      </c>
    </row>
    <row r="655" spans="1:21" x14ac:dyDescent="0.3">
      <c r="A655">
        <v>649</v>
      </c>
      <c r="B655">
        <v>217</v>
      </c>
      <c r="C655">
        <v>1</v>
      </c>
      <c r="D655" t="s">
        <v>19</v>
      </c>
      <c r="E655" t="s">
        <v>23</v>
      </c>
      <c r="F655">
        <v>29</v>
      </c>
      <c r="G655" t="s">
        <v>25</v>
      </c>
      <c r="I655" t="s">
        <v>32</v>
      </c>
      <c r="J655" s="1">
        <v>45778</v>
      </c>
      <c r="K655" t="s">
        <v>34</v>
      </c>
      <c r="L655" t="s">
        <v>35</v>
      </c>
      <c r="M655" t="s">
        <v>38</v>
      </c>
      <c r="N655">
        <v>4</v>
      </c>
      <c r="O655">
        <v>0.89583333333333337</v>
      </c>
      <c r="P655">
        <v>66.5</v>
      </c>
      <c r="Q655" t="s">
        <v>39</v>
      </c>
      <c r="R655" t="s">
        <v>40</v>
      </c>
      <c r="T655" t="s">
        <v>40</v>
      </c>
      <c r="U655" s="1">
        <v>45838</v>
      </c>
    </row>
    <row r="656" spans="1:21" x14ac:dyDescent="0.3">
      <c r="A656">
        <v>650</v>
      </c>
      <c r="B656">
        <v>217</v>
      </c>
      <c r="C656">
        <v>2</v>
      </c>
      <c r="D656" t="s">
        <v>19</v>
      </c>
      <c r="E656" t="s">
        <v>23</v>
      </c>
      <c r="F656">
        <v>29</v>
      </c>
      <c r="G656" t="s">
        <v>25</v>
      </c>
      <c r="I656" t="s">
        <v>32</v>
      </c>
      <c r="J656" s="1">
        <v>45778</v>
      </c>
      <c r="K656" t="s">
        <v>34</v>
      </c>
      <c r="L656" t="s">
        <v>36</v>
      </c>
      <c r="M656" t="s">
        <v>38</v>
      </c>
      <c r="N656">
        <v>4</v>
      </c>
      <c r="O656">
        <v>0.72916666666666663</v>
      </c>
      <c r="P656">
        <v>66</v>
      </c>
      <c r="Q656" t="s">
        <v>39</v>
      </c>
      <c r="R656" t="s">
        <v>40</v>
      </c>
      <c r="T656" t="s">
        <v>40</v>
      </c>
      <c r="U656" s="1">
        <v>45838</v>
      </c>
    </row>
    <row r="657" spans="1:21" x14ac:dyDescent="0.3">
      <c r="A657">
        <v>651</v>
      </c>
      <c r="B657">
        <v>217</v>
      </c>
      <c r="C657">
        <v>3</v>
      </c>
      <c r="D657" t="s">
        <v>19</v>
      </c>
      <c r="E657" t="s">
        <v>23</v>
      </c>
      <c r="F657">
        <v>29</v>
      </c>
      <c r="G657" t="s">
        <v>25</v>
      </c>
      <c r="I657" t="s">
        <v>32</v>
      </c>
      <c r="J657" s="1">
        <v>45778</v>
      </c>
      <c r="K657" t="s">
        <v>34</v>
      </c>
      <c r="L657" t="s">
        <v>37</v>
      </c>
      <c r="M657" t="s">
        <v>38</v>
      </c>
      <c r="N657">
        <v>4</v>
      </c>
      <c r="O657">
        <v>0.8125</v>
      </c>
      <c r="P657">
        <v>60</v>
      </c>
      <c r="Q657" t="s">
        <v>39</v>
      </c>
      <c r="R657" t="s">
        <v>40</v>
      </c>
      <c r="T657" t="s">
        <v>40</v>
      </c>
      <c r="U657" s="1">
        <v>45838</v>
      </c>
    </row>
    <row r="658" spans="1:21" x14ac:dyDescent="0.3">
      <c r="A658">
        <v>652</v>
      </c>
      <c r="B658">
        <v>218</v>
      </c>
      <c r="C658">
        <v>1</v>
      </c>
      <c r="D658" t="s">
        <v>19</v>
      </c>
      <c r="E658" t="s">
        <v>22</v>
      </c>
      <c r="F658">
        <v>35</v>
      </c>
      <c r="G658" t="s">
        <v>29</v>
      </c>
      <c r="I658" t="s">
        <v>32</v>
      </c>
      <c r="J658" s="1">
        <v>45674</v>
      </c>
      <c r="K658" t="s">
        <v>34</v>
      </c>
      <c r="L658" t="s">
        <v>35</v>
      </c>
      <c r="M658" t="s">
        <v>38</v>
      </c>
      <c r="N658">
        <v>4</v>
      </c>
      <c r="O658">
        <v>0.85416666666666663</v>
      </c>
      <c r="P658">
        <v>59</v>
      </c>
      <c r="Q658" t="s">
        <v>39</v>
      </c>
      <c r="R658" t="s">
        <v>39</v>
      </c>
      <c r="T658" t="s">
        <v>39</v>
      </c>
      <c r="U658" s="1">
        <v>45838</v>
      </c>
    </row>
    <row r="659" spans="1:21" x14ac:dyDescent="0.3">
      <c r="A659">
        <v>653</v>
      </c>
      <c r="B659">
        <v>218</v>
      </c>
      <c r="C659">
        <v>2</v>
      </c>
      <c r="D659" t="s">
        <v>19</v>
      </c>
      <c r="E659" t="s">
        <v>22</v>
      </c>
      <c r="F659">
        <v>35</v>
      </c>
      <c r="G659" t="s">
        <v>29</v>
      </c>
      <c r="I659" t="s">
        <v>32</v>
      </c>
      <c r="J659" s="1">
        <v>45674</v>
      </c>
      <c r="K659" t="s">
        <v>34</v>
      </c>
      <c r="L659" t="s">
        <v>36</v>
      </c>
      <c r="M659" t="s">
        <v>38</v>
      </c>
      <c r="N659">
        <v>4</v>
      </c>
      <c r="O659">
        <v>0.875</v>
      </c>
      <c r="P659">
        <v>74</v>
      </c>
      <c r="Q659" t="s">
        <v>39</v>
      </c>
      <c r="R659" t="s">
        <v>39</v>
      </c>
      <c r="T659" t="s">
        <v>39</v>
      </c>
      <c r="U659" s="1">
        <v>45838</v>
      </c>
    </row>
    <row r="660" spans="1:21" x14ac:dyDescent="0.3">
      <c r="A660">
        <v>654</v>
      </c>
      <c r="B660">
        <v>218</v>
      </c>
      <c r="C660">
        <v>3</v>
      </c>
      <c r="D660" t="s">
        <v>19</v>
      </c>
      <c r="E660" t="s">
        <v>22</v>
      </c>
      <c r="F660">
        <v>35</v>
      </c>
      <c r="G660" t="s">
        <v>29</v>
      </c>
      <c r="I660" t="s">
        <v>32</v>
      </c>
      <c r="J660" s="1">
        <v>45674</v>
      </c>
      <c r="K660" t="s">
        <v>34</v>
      </c>
      <c r="L660" t="s">
        <v>37</v>
      </c>
      <c r="M660" t="s">
        <v>38</v>
      </c>
      <c r="N660">
        <v>4</v>
      </c>
      <c r="O660">
        <v>0.85416666666666663</v>
      </c>
      <c r="P660">
        <v>72.5</v>
      </c>
      <c r="Q660" t="s">
        <v>39</v>
      </c>
      <c r="R660" t="s">
        <v>39</v>
      </c>
      <c r="T660" t="s">
        <v>39</v>
      </c>
      <c r="U660" s="1">
        <v>45838</v>
      </c>
    </row>
    <row r="661" spans="1:21" x14ac:dyDescent="0.3">
      <c r="A661">
        <v>655</v>
      </c>
      <c r="B661">
        <v>219</v>
      </c>
      <c r="C661">
        <v>1</v>
      </c>
      <c r="D661" t="s">
        <v>19</v>
      </c>
      <c r="E661" t="s">
        <v>23</v>
      </c>
      <c r="F661">
        <v>27</v>
      </c>
      <c r="G661" t="s">
        <v>24</v>
      </c>
      <c r="I661" t="s">
        <v>33</v>
      </c>
      <c r="J661" s="1">
        <v>45687</v>
      </c>
      <c r="K661" t="s">
        <v>34</v>
      </c>
      <c r="L661" t="s">
        <v>35</v>
      </c>
      <c r="M661" t="s">
        <v>38</v>
      </c>
      <c r="N661">
        <v>4</v>
      </c>
      <c r="O661">
        <v>0.89583333333333337</v>
      </c>
      <c r="P661">
        <v>74</v>
      </c>
      <c r="Q661" t="s">
        <v>39</v>
      </c>
      <c r="R661" t="s">
        <v>39</v>
      </c>
      <c r="T661" t="s">
        <v>40</v>
      </c>
      <c r="U661" s="1">
        <v>45838</v>
      </c>
    </row>
    <row r="662" spans="1:21" x14ac:dyDescent="0.3">
      <c r="A662">
        <v>656</v>
      </c>
      <c r="B662">
        <v>219</v>
      </c>
      <c r="C662">
        <v>2</v>
      </c>
      <c r="D662" t="s">
        <v>19</v>
      </c>
      <c r="E662" t="s">
        <v>23</v>
      </c>
      <c r="F662">
        <v>27</v>
      </c>
      <c r="G662" t="s">
        <v>24</v>
      </c>
      <c r="I662" t="s">
        <v>33</v>
      </c>
      <c r="J662" s="1">
        <v>45687</v>
      </c>
      <c r="K662" t="s">
        <v>34</v>
      </c>
      <c r="L662" t="s">
        <v>36</v>
      </c>
      <c r="M662" t="s">
        <v>38</v>
      </c>
      <c r="N662">
        <v>4</v>
      </c>
      <c r="O662">
        <v>0.8125</v>
      </c>
      <c r="P662">
        <v>56</v>
      </c>
      <c r="Q662" t="s">
        <v>39</v>
      </c>
      <c r="R662" t="s">
        <v>39</v>
      </c>
      <c r="T662" t="s">
        <v>40</v>
      </c>
      <c r="U662" s="1">
        <v>45838</v>
      </c>
    </row>
    <row r="663" spans="1:21" x14ac:dyDescent="0.3">
      <c r="A663">
        <v>657</v>
      </c>
      <c r="B663">
        <v>219</v>
      </c>
      <c r="C663">
        <v>3</v>
      </c>
      <c r="D663" t="s">
        <v>21</v>
      </c>
      <c r="E663" t="s">
        <v>23</v>
      </c>
      <c r="F663">
        <v>27</v>
      </c>
      <c r="G663" t="s">
        <v>24</v>
      </c>
      <c r="I663" t="s">
        <v>33</v>
      </c>
      <c r="J663" s="1">
        <v>45687</v>
      </c>
      <c r="K663" t="s">
        <v>34</v>
      </c>
      <c r="L663" t="s">
        <v>37</v>
      </c>
      <c r="M663" t="s">
        <v>38</v>
      </c>
      <c r="N663">
        <v>4</v>
      </c>
      <c r="O663">
        <v>0.85416666666666663</v>
      </c>
      <c r="P663">
        <v>87</v>
      </c>
      <c r="Q663" t="s">
        <v>39</v>
      </c>
      <c r="R663" t="s">
        <v>39</v>
      </c>
      <c r="T663" t="s">
        <v>40</v>
      </c>
      <c r="U663" s="1">
        <v>45838</v>
      </c>
    </row>
    <row r="664" spans="1:21" x14ac:dyDescent="0.3">
      <c r="A664">
        <v>658</v>
      </c>
      <c r="B664">
        <v>220</v>
      </c>
      <c r="C664">
        <v>1</v>
      </c>
      <c r="D664" t="s">
        <v>20</v>
      </c>
      <c r="E664" t="s">
        <v>22</v>
      </c>
      <c r="F664">
        <v>19</v>
      </c>
      <c r="G664" t="s">
        <v>25</v>
      </c>
      <c r="I664" t="s">
        <v>30</v>
      </c>
      <c r="J664" s="1">
        <v>45784</v>
      </c>
      <c r="K664" t="s">
        <v>34</v>
      </c>
      <c r="L664" t="s">
        <v>35</v>
      </c>
      <c r="M664" t="s">
        <v>38</v>
      </c>
      <c r="N664">
        <v>4</v>
      </c>
      <c r="O664">
        <v>0.83333333333333337</v>
      </c>
      <c r="P664">
        <v>81.5</v>
      </c>
      <c r="Q664" t="s">
        <v>40</v>
      </c>
      <c r="R664" t="s">
        <v>40</v>
      </c>
      <c r="T664" t="s">
        <v>40</v>
      </c>
      <c r="U664" s="1">
        <v>45838</v>
      </c>
    </row>
    <row r="665" spans="1:21" x14ac:dyDescent="0.3">
      <c r="A665">
        <v>659</v>
      </c>
      <c r="B665">
        <v>220</v>
      </c>
      <c r="C665">
        <v>2</v>
      </c>
      <c r="D665" t="s">
        <v>19</v>
      </c>
      <c r="E665" t="s">
        <v>22</v>
      </c>
      <c r="F665">
        <v>19</v>
      </c>
      <c r="G665" t="s">
        <v>25</v>
      </c>
      <c r="I665" t="s">
        <v>30</v>
      </c>
      <c r="J665" s="1">
        <v>45784</v>
      </c>
      <c r="K665" t="s">
        <v>34</v>
      </c>
      <c r="L665" t="s">
        <v>36</v>
      </c>
      <c r="M665" t="s">
        <v>38</v>
      </c>
      <c r="N665">
        <v>4</v>
      </c>
      <c r="O665">
        <v>0.89583333333333337</v>
      </c>
      <c r="P665">
        <v>73</v>
      </c>
      <c r="Q665" t="s">
        <v>40</v>
      </c>
      <c r="R665" t="s">
        <v>40</v>
      </c>
      <c r="T665" t="s">
        <v>40</v>
      </c>
      <c r="U665" s="1">
        <v>45838</v>
      </c>
    </row>
    <row r="666" spans="1:21" x14ac:dyDescent="0.3">
      <c r="A666">
        <v>660</v>
      </c>
      <c r="B666">
        <v>220</v>
      </c>
      <c r="C666">
        <v>3</v>
      </c>
      <c r="D666" t="s">
        <v>19</v>
      </c>
      <c r="E666" t="s">
        <v>22</v>
      </c>
      <c r="F666">
        <v>19</v>
      </c>
      <c r="G666" t="s">
        <v>25</v>
      </c>
      <c r="I666" t="s">
        <v>30</v>
      </c>
      <c r="J666" s="1">
        <v>45784</v>
      </c>
      <c r="K666" t="s">
        <v>34</v>
      </c>
      <c r="L666" t="s">
        <v>37</v>
      </c>
      <c r="M666" t="s">
        <v>38</v>
      </c>
      <c r="N666">
        <v>4</v>
      </c>
      <c r="O666">
        <v>0.79166666666666663</v>
      </c>
      <c r="P666">
        <v>68</v>
      </c>
      <c r="Q666" t="s">
        <v>40</v>
      </c>
      <c r="R666" t="s">
        <v>40</v>
      </c>
      <c r="T666" t="s">
        <v>40</v>
      </c>
      <c r="U666" s="1">
        <v>45838</v>
      </c>
    </row>
    <row r="667" spans="1:21" x14ac:dyDescent="0.3">
      <c r="A667">
        <v>661</v>
      </c>
      <c r="B667">
        <v>221</v>
      </c>
      <c r="C667">
        <v>1</v>
      </c>
      <c r="D667" t="s">
        <v>21</v>
      </c>
      <c r="E667" t="s">
        <v>22</v>
      </c>
      <c r="F667">
        <v>21</v>
      </c>
      <c r="G667" t="s">
        <v>28</v>
      </c>
      <c r="I667" t="s">
        <v>32</v>
      </c>
      <c r="J667" s="1">
        <v>45757</v>
      </c>
      <c r="K667" t="s">
        <v>34</v>
      </c>
      <c r="L667" t="s">
        <v>35</v>
      </c>
      <c r="M667" t="s">
        <v>38</v>
      </c>
      <c r="N667">
        <v>4</v>
      </c>
      <c r="O667">
        <v>0.91666666666666663</v>
      </c>
      <c r="P667">
        <v>70</v>
      </c>
      <c r="Q667" t="s">
        <v>39</v>
      </c>
      <c r="R667" t="s">
        <v>39</v>
      </c>
      <c r="T667" t="s">
        <v>39</v>
      </c>
      <c r="U667" s="1">
        <v>45838</v>
      </c>
    </row>
    <row r="668" spans="1:21" x14ac:dyDescent="0.3">
      <c r="A668">
        <v>662</v>
      </c>
      <c r="B668">
        <v>221</v>
      </c>
      <c r="C668">
        <v>2</v>
      </c>
      <c r="D668" t="s">
        <v>19</v>
      </c>
      <c r="E668" t="s">
        <v>22</v>
      </c>
      <c r="F668">
        <v>21</v>
      </c>
      <c r="G668" t="s">
        <v>28</v>
      </c>
      <c r="I668" t="s">
        <v>32</v>
      </c>
      <c r="J668" s="1">
        <v>45757</v>
      </c>
      <c r="K668" t="s">
        <v>34</v>
      </c>
      <c r="L668" t="s">
        <v>36</v>
      </c>
      <c r="M668" t="s">
        <v>38</v>
      </c>
      <c r="N668">
        <v>4</v>
      </c>
      <c r="O668">
        <v>0.875</v>
      </c>
      <c r="P668">
        <v>77.5</v>
      </c>
      <c r="Q668" t="s">
        <v>39</v>
      </c>
      <c r="R668" t="s">
        <v>39</v>
      </c>
      <c r="T668" t="s">
        <v>39</v>
      </c>
      <c r="U668" s="1">
        <v>45838</v>
      </c>
    </row>
    <row r="669" spans="1:21" x14ac:dyDescent="0.3">
      <c r="A669">
        <v>663</v>
      </c>
      <c r="B669">
        <v>221</v>
      </c>
      <c r="C669">
        <v>3</v>
      </c>
      <c r="D669" t="s">
        <v>21</v>
      </c>
      <c r="E669" t="s">
        <v>22</v>
      </c>
      <c r="F669">
        <v>21</v>
      </c>
      <c r="G669" t="s">
        <v>28</v>
      </c>
      <c r="I669" t="s">
        <v>32</v>
      </c>
      <c r="J669" s="1">
        <v>45757</v>
      </c>
      <c r="K669" t="s">
        <v>34</v>
      </c>
      <c r="L669" t="s">
        <v>37</v>
      </c>
      <c r="M669" t="s">
        <v>38</v>
      </c>
      <c r="N669">
        <v>4</v>
      </c>
      <c r="O669">
        <v>0.85416666666666663</v>
      </c>
      <c r="P669">
        <v>59.5</v>
      </c>
      <c r="Q669" t="s">
        <v>39</v>
      </c>
      <c r="R669" t="s">
        <v>39</v>
      </c>
      <c r="T669" t="s">
        <v>39</v>
      </c>
      <c r="U669" s="1">
        <v>45838</v>
      </c>
    </row>
    <row r="670" spans="1:21" x14ac:dyDescent="0.3">
      <c r="A670">
        <v>664</v>
      </c>
      <c r="B670">
        <v>222</v>
      </c>
      <c r="C670">
        <v>1</v>
      </c>
      <c r="D670" t="s">
        <v>19</v>
      </c>
      <c r="E670" t="s">
        <v>23</v>
      </c>
      <c r="F670">
        <v>29</v>
      </c>
      <c r="G670" t="s">
        <v>24</v>
      </c>
      <c r="I670" t="s">
        <v>33</v>
      </c>
      <c r="J670" s="1">
        <v>45808</v>
      </c>
      <c r="K670" t="s">
        <v>34</v>
      </c>
      <c r="L670" t="s">
        <v>35</v>
      </c>
      <c r="M670" t="s">
        <v>38</v>
      </c>
      <c r="N670">
        <v>4</v>
      </c>
      <c r="O670">
        <v>0.85416666666666663</v>
      </c>
      <c r="P670">
        <v>83.5</v>
      </c>
      <c r="Q670" t="s">
        <v>40</v>
      </c>
      <c r="R670" t="s">
        <v>40</v>
      </c>
      <c r="T670" t="s">
        <v>40</v>
      </c>
      <c r="U670" s="1">
        <v>45838</v>
      </c>
    </row>
    <row r="671" spans="1:21" x14ac:dyDescent="0.3">
      <c r="A671">
        <v>665</v>
      </c>
      <c r="B671">
        <v>222</v>
      </c>
      <c r="C671">
        <v>2</v>
      </c>
      <c r="D671" t="s">
        <v>19</v>
      </c>
      <c r="E671" t="s">
        <v>23</v>
      </c>
      <c r="F671">
        <v>29</v>
      </c>
      <c r="G671" t="s">
        <v>24</v>
      </c>
      <c r="I671" t="s">
        <v>33</v>
      </c>
      <c r="J671" s="1">
        <v>45808</v>
      </c>
      <c r="K671" t="s">
        <v>34</v>
      </c>
      <c r="L671" t="s">
        <v>36</v>
      </c>
      <c r="M671" t="s">
        <v>38</v>
      </c>
      <c r="N671">
        <v>4</v>
      </c>
      <c r="O671">
        <v>0.83333333333333337</v>
      </c>
      <c r="P671">
        <v>87.5</v>
      </c>
      <c r="Q671" t="s">
        <v>40</v>
      </c>
      <c r="R671" t="s">
        <v>40</v>
      </c>
      <c r="T671" t="s">
        <v>40</v>
      </c>
      <c r="U671" s="1">
        <v>45838</v>
      </c>
    </row>
    <row r="672" spans="1:21" x14ac:dyDescent="0.3">
      <c r="A672">
        <v>666</v>
      </c>
      <c r="B672">
        <v>222</v>
      </c>
      <c r="C672">
        <v>3</v>
      </c>
      <c r="D672" t="s">
        <v>19</v>
      </c>
      <c r="E672" t="s">
        <v>23</v>
      </c>
      <c r="F672">
        <v>29</v>
      </c>
      <c r="G672" t="s">
        <v>24</v>
      </c>
      <c r="I672" t="s">
        <v>33</v>
      </c>
      <c r="J672" s="1">
        <v>45808</v>
      </c>
      <c r="K672" t="s">
        <v>34</v>
      </c>
      <c r="L672" t="s">
        <v>37</v>
      </c>
      <c r="M672" t="s">
        <v>38</v>
      </c>
      <c r="N672">
        <v>4</v>
      </c>
      <c r="O672">
        <v>0.8125</v>
      </c>
      <c r="P672">
        <v>81.5</v>
      </c>
      <c r="Q672" t="s">
        <v>40</v>
      </c>
      <c r="R672" t="s">
        <v>40</v>
      </c>
      <c r="T672" t="s">
        <v>40</v>
      </c>
      <c r="U672" s="1">
        <v>45838</v>
      </c>
    </row>
    <row r="673" spans="1:21" x14ac:dyDescent="0.3">
      <c r="A673">
        <v>667</v>
      </c>
      <c r="B673">
        <v>223</v>
      </c>
      <c r="C673">
        <v>1</v>
      </c>
      <c r="D673" t="s">
        <v>21</v>
      </c>
      <c r="E673" t="s">
        <v>22</v>
      </c>
      <c r="F673">
        <v>31</v>
      </c>
      <c r="G673" t="s">
        <v>24</v>
      </c>
      <c r="I673" t="s">
        <v>31</v>
      </c>
      <c r="J673" s="1">
        <v>45783</v>
      </c>
      <c r="K673" t="s">
        <v>34</v>
      </c>
      <c r="L673" t="s">
        <v>35</v>
      </c>
      <c r="M673" t="s">
        <v>38</v>
      </c>
      <c r="N673">
        <v>4</v>
      </c>
      <c r="O673">
        <v>0.875</v>
      </c>
      <c r="P673">
        <v>59</v>
      </c>
      <c r="Q673" t="s">
        <v>39</v>
      </c>
      <c r="R673" t="s">
        <v>39</v>
      </c>
      <c r="T673" t="s">
        <v>40</v>
      </c>
      <c r="U673" s="1">
        <v>45838</v>
      </c>
    </row>
    <row r="674" spans="1:21" x14ac:dyDescent="0.3">
      <c r="A674">
        <v>668</v>
      </c>
      <c r="B674">
        <v>223</v>
      </c>
      <c r="C674">
        <v>2</v>
      </c>
      <c r="D674" t="s">
        <v>19</v>
      </c>
      <c r="E674" t="s">
        <v>22</v>
      </c>
      <c r="F674">
        <v>31</v>
      </c>
      <c r="G674" t="s">
        <v>24</v>
      </c>
      <c r="I674" t="s">
        <v>31</v>
      </c>
      <c r="J674" s="1">
        <v>45783</v>
      </c>
      <c r="K674" t="s">
        <v>34</v>
      </c>
      <c r="L674" t="s">
        <v>36</v>
      </c>
      <c r="M674" t="s">
        <v>38</v>
      </c>
      <c r="N674">
        <v>4</v>
      </c>
      <c r="O674">
        <v>0.89583333333333337</v>
      </c>
      <c r="P674">
        <v>66.5</v>
      </c>
      <c r="Q674" t="s">
        <v>39</v>
      </c>
      <c r="R674" t="s">
        <v>39</v>
      </c>
      <c r="T674" t="s">
        <v>40</v>
      </c>
      <c r="U674" s="1">
        <v>45838</v>
      </c>
    </row>
    <row r="675" spans="1:21" x14ac:dyDescent="0.3">
      <c r="A675">
        <v>669</v>
      </c>
      <c r="B675">
        <v>223</v>
      </c>
      <c r="C675">
        <v>3</v>
      </c>
      <c r="D675" t="s">
        <v>19</v>
      </c>
      <c r="E675" t="s">
        <v>22</v>
      </c>
      <c r="F675">
        <v>31</v>
      </c>
      <c r="G675" t="s">
        <v>24</v>
      </c>
      <c r="I675" t="s">
        <v>31</v>
      </c>
      <c r="J675" s="1">
        <v>45783</v>
      </c>
      <c r="K675" t="s">
        <v>34</v>
      </c>
      <c r="L675" t="s">
        <v>37</v>
      </c>
      <c r="M675" t="s">
        <v>38</v>
      </c>
      <c r="N675">
        <v>4</v>
      </c>
      <c r="O675">
        <v>0.79166666666666663</v>
      </c>
      <c r="P675">
        <v>86</v>
      </c>
      <c r="Q675" t="s">
        <v>39</v>
      </c>
      <c r="R675" t="s">
        <v>39</v>
      </c>
      <c r="T675" t="s">
        <v>40</v>
      </c>
      <c r="U675" s="1">
        <v>45838</v>
      </c>
    </row>
    <row r="676" spans="1:21" x14ac:dyDescent="0.3">
      <c r="A676">
        <v>670</v>
      </c>
      <c r="B676">
        <v>224</v>
      </c>
      <c r="C676">
        <v>1</v>
      </c>
      <c r="D676" t="s">
        <v>19</v>
      </c>
      <c r="E676" t="s">
        <v>23</v>
      </c>
      <c r="F676">
        <v>26</v>
      </c>
      <c r="G676" t="s">
        <v>25</v>
      </c>
      <c r="I676" t="s">
        <v>30</v>
      </c>
      <c r="J676" s="1">
        <v>45713</v>
      </c>
      <c r="K676" t="s">
        <v>34</v>
      </c>
      <c r="L676" t="s">
        <v>35</v>
      </c>
      <c r="M676" t="s">
        <v>38</v>
      </c>
      <c r="N676">
        <v>4</v>
      </c>
      <c r="O676">
        <v>0.89583333333333337</v>
      </c>
      <c r="P676">
        <v>65.5</v>
      </c>
      <c r="Q676" t="s">
        <v>39</v>
      </c>
      <c r="R676" t="s">
        <v>39</v>
      </c>
      <c r="T676" t="s">
        <v>40</v>
      </c>
      <c r="U676" s="1">
        <v>45838</v>
      </c>
    </row>
    <row r="677" spans="1:21" x14ac:dyDescent="0.3">
      <c r="A677">
        <v>671</v>
      </c>
      <c r="B677">
        <v>224</v>
      </c>
      <c r="C677">
        <v>2</v>
      </c>
      <c r="D677" t="s">
        <v>19</v>
      </c>
      <c r="E677" t="s">
        <v>23</v>
      </c>
      <c r="F677">
        <v>26</v>
      </c>
      <c r="G677" t="s">
        <v>25</v>
      </c>
      <c r="I677" t="s">
        <v>30</v>
      </c>
      <c r="J677" s="1">
        <v>45713</v>
      </c>
      <c r="K677" t="s">
        <v>34</v>
      </c>
      <c r="L677" t="s">
        <v>36</v>
      </c>
      <c r="M677" t="s">
        <v>38</v>
      </c>
      <c r="N677">
        <v>4</v>
      </c>
      <c r="O677">
        <v>0.8125</v>
      </c>
      <c r="P677">
        <v>76</v>
      </c>
      <c r="Q677" t="s">
        <v>39</v>
      </c>
      <c r="R677" t="s">
        <v>39</v>
      </c>
      <c r="T677" t="s">
        <v>40</v>
      </c>
      <c r="U677" s="1">
        <v>45838</v>
      </c>
    </row>
    <row r="678" spans="1:21" x14ac:dyDescent="0.3">
      <c r="A678">
        <v>672</v>
      </c>
      <c r="B678">
        <v>224</v>
      </c>
      <c r="C678">
        <v>3</v>
      </c>
      <c r="D678" t="s">
        <v>19</v>
      </c>
      <c r="E678" t="s">
        <v>23</v>
      </c>
      <c r="F678">
        <v>26</v>
      </c>
      <c r="G678" t="s">
        <v>25</v>
      </c>
      <c r="I678" t="s">
        <v>30</v>
      </c>
      <c r="J678" s="1">
        <v>45713</v>
      </c>
      <c r="K678" t="s">
        <v>34</v>
      </c>
      <c r="L678" t="s">
        <v>37</v>
      </c>
      <c r="M678" t="s">
        <v>38</v>
      </c>
      <c r="N678">
        <v>4</v>
      </c>
      <c r="O678">
        <v>0.83333333333333337</v>
      </c>
      <c r="P678">
        <v>58.5</v>
      </c>
      <c r="Q678" t="s">
        <v>39</v>
      </c>
      <c r="R678" t="s">
        <v>39</v>
      </c>
      <c r="T678" t="s">
        <v>40</v>
      </c>
      <c r="U678" s="1">
        <v>45838</v>
      </c>
    </row>
    <row r="679" spans="1:21" x14ac:dyDescent="0.3">
      <c r="A679">
        <v>673</v>
      </c>
      <c r="B679">
        <v>225</v>
      </c>
      <c r="C679">
        <v>1</v>
      </c>
      <c r="D679" t="s">
        <v>21</v>
      </c>
      <c r="E679" t="s">
        <v>23</v>
      </c>
      <c r="F679">
        <v>32</v>
      </c>
      <c r="G679" t="s">
        <v>28</v>
      </c>
      <c r="I679" t="s">
        <v>30</v>
      </c>
      <c r="J679" s="1">
        <v>45683</v>
      </c>
      <c r="K679" t="s">
        <v>34</v>
      </c>
      <c r="L679" t="s">
        <v>35</v>
      </c>
      <c r="M679" t="s">
        <v>38</v>
      </c>
      <c r="N679">
        <v>4</v>
      </c>
      <c r="O679">
        <v>0.77083333333333337</v>
      </c>
      <c r="P679">
        <v>72</v>
      </c>
      <c r="Q679" t="s">
        <v>40</v>
      </c>
      <c r="R679" t="s">
        <v>40</v>
      </c>
      <c r="T679" t="s">
        <v>40</v>
      </c>
      <c r="U679" s="1">
        <v>45838</v>
      </c>
    </row>
    <row r="680" spans="1:21" x14ac:dyDescent="0.3">
      <c r="A680">
        <v>674</v>
      </c>
      <c r="B680">
        <v>225</v>
      </c>
      <c r="C680">
        <v>2</v>
      </c>
      <c r="D680" t="s">
        <v>21</v>
      </c>
      <c r="E680" t="s">
        <v>23</v>
      </c>
      <c r="F680">
        <v>32</v>
      </c>
      <c r="G680" t="s">
        <v>28</v>
      </c>
      <c r="I680" t="s">
        <v>30</v>
      </c>
      <c r="J680" s="1">
        <v>45683</v>
      </c>
      <c r="K680" t="s">
        <v>34</v>
      </c>
      <c r="L680" t="s">
        <v>36</v>
      </c>
      <c r="M680" t="s">
        <v>38</v>
      </c>
      <c r="N680">
        <v>4</v>
      </c>
      <c r="O680">
        <v>0.8125</v>
      </c>
      <c r="P680">
        <v>59.5</v>
      </c>
      <c r="Q680" t="s">
        <v>40</v>
      </c>
      <c r="R680" t="s">
        <v>40</v>
      </c>
      <c r="T680" t="s">
        <v>40</v>
      </c>
      <c r="U680" s="1">
        <v>45838</v>
      </c>
    </row>
    <row r="681" spans="1:21" x14ac:dyDescent="0.3">
      <c r="A681">
        <v>675</v>
      </c>
      <c r="B681">
        <v>225</v>
      </c>
      <c r="C681">
        <v>3</v>
      </c>
      <c r="D681" t="s">
        <v>19</v>
      </c>
      <c r="E681" t="s">
        <v>23</v>
      </c>
      <c r="F681">
        <v>32</v>
      </c>
      <c r="G681" t="s">
        <v>28</v>
      </c>
      <c r="I681" t="s">
        <v>30</v>
      </c>
      <c r="J681" s="1">
        <v>45683</v>
      </c>
      <c r="K681" t="s">
        <v>34</v>
      </c>
      <c r="L681" t="s">
        <v>37</v>
      </c>
      <c r="M681" t="s">
        <v>38</v>
      </c>
      <c r="N681">
        <v>4</v>
      </c>
      <c r="O681">
        <v>0.77083333333333337</v>
      </c>
      <c r="P681">
        <v>76.5</v>
      </c>
      <c r="Q681" t="s">
        <v>40</v>
      </c>
      <c r="R681" t="s">
        <v>40</v>
      </c>
      <c r="T681" t="s">
        <v>40</v>
      </c>
      <c r="U681" s="1">
        <v>45838</v>
      </c>
    </row>
    <row r="682" spans="1:21" x14ac:dyDescent="0.3">
      <c r="A682">
        <v>676</v>
      </c>
      <c r="B682">
        <v>226</v>
      </c>
      <c r="C682">
        <v>1</v>
      </c>
      <c r="D682" t="s">
        <v>19</v>
      </c>
      <c r="E682" t="s">
        <v>23</v>
      </c>
      <c r="F682">
        <v>35</v>
      </c>
      <c r="G682" t="s">
        <v>24</v>
      </c>
      <c r="I682" t="s">
        <v>30</v>
      </c>
      <c r="J682" s="1">
        <v>45673</v>
      </c>
      <c r="K682" t="s">
        <v>34</v>
      </c>
      <c r="L682" t="s">
        <v>35</v>
      </c>
      <c r="M682" t="s">
        <v>38</v>
      </c>
      <c r="N682">
        <v>4</v>
      </c>
      <c r="O682">
        <v>0.85416666666666663</v>
      </c>
      <c r="P682">
        <v>78.5</v>
      </c>
      <c r="Q682" t="s">
        <v>39</v>
      </c>
      <c r="R682" t="s">
        <v>39</v>
      </c>
      <c r="T682" t="s">
        <v>40</v>
      </c>
      <c r="U682" s="1">
        <v>45838</v>
      </c>
    </row>
    <row r="683" spans="1:21" x14ac:dyDescent="0.3">
      <c r="A683">
        <v>677</v>
      </c>
      <c r="B683">
        <v>226</v>
      </c>
      <c r="C683">
        <v>2</v>
      </c>
      <c r="D683" t="s">
        <v>19</v>
      </c>
      <c r="E683" t="s">
        <v>23</v>
      </c>
      <c r="F683">
        <v>35</v>
      </c>
      <c r="G683" t="s">
        <v>24</v>
      </c>
      <c r="I683" t="s">
        <v>30</v>
      </c>
      <c r="J683" s="1">
        <v>45673</v>
      </c>
      <c r="K683" t="s">
        <v>34</v>
      </c>
      <c r="L683" t="s">
        <v>36</v>
      </c>
      <c r="M683" t="s">
        <v>38</v>
      </c>
      <c r="N683">
        <v>4</v>
      </c>
      <c r="O683">
        <v>0.83333333333333337</v>
      </c>
      <c r="P683">
        <v>57.5</v>
      </c>
      <c r="Q683" t="s">
        <v>39</v>
      </c>
      <c r="R683" t="s">
        <v>39</v>
      </c>
      <c r="T683" t="s">
        <v>40</v>
      </c>
      <c r="U683" s="1">
        <v>45838</v>
      </c>
    </row>
    <row r="684" spans="1:21" x14ac:dyDescent="0.3">
      <c r="A684">
        <v>678</v>
      </c>
      <c r="B684">
        <v>226</v>
      </c>
      <c r="C684">
        <v>3</v>
      </c>
      <c r="D684" t="s">
        <v>21</v>
      </c>
      <c r="E684" t="s">
        <v>23</v>
      </c>
      <c r="F684">
        <v>35</v>
      </c>
      <c r="G684" t="s">
        <v>24</v>
      </c>
      <c r="I684" t="s">
        <v>30</v>
      </c>
      <c r="J684" s="1">
        <v>45673</v>
      </c>
      <c r="K684" t="s">
        <v>34</v>
      </c>
      <c r="L684" t="s">
        <v>37</v>
      </c>
      <c r="M684" t="s">
        <v>38</v>
      </c>
      <c r="N684">
        <v>4</v>
      </c>
      <c r="O684">
        <v>0.77083333333333337</v>
      </c>
      <c r="P684">
        <v>83</v>
      </c>
      <c r="Q684" t="s">
        <v>39</v>
      </c>
      <c r="R684" t="s">
        <v>39</v>
      </c>
      <c r="T684" t="s">
        <v>40</v>
      </c>
      <c r="U684" s="1">
        <v>45838</v>
      </c>
    </row>
    <row r="685" spans="1:21" x14ac:dyDescent="0.3">
      <c r="A685">
        <v>679</v>
      </c>
      <c r="B685">
        <v>227</v>
      </c>
      <c r="C685">
        <v>1</v>
      </c>
      <c r="D685" t="s">
        <v>21</v>
      </c>
      <c r="E685" t="s">
        <v>23</v>
      </c>
      <c r="F685">
        <v>26</v>
      </c>
      <c r="G685" t="s">
        <v>28</v>
      </c>
      <c r="I685" t="s">
        <v>31</v>
      </c>
      <c r="J685" s="1">
        <v>45774</v>
      </c>
      <c r="K685" t="s">
        <v>34</v>
      </c>
      <c r="L685" t="s">
        <v>35</v>
      </c>
      <c r="M685" t="s">
        <v>38</v>
      </c>
      <c r="N685">
        <v>4</v>
      </c>
      <c r="O685">
        <v>0.89583333333333337</v>
      </c>
      <c r="P685">
        <v>63</v>
      </c>
      <c r="Q685" t="s">
        <v>40</v>
      </c>
      <c r="R685" t="s">
        <v>40</v>
      </c>
      <c r="T685" t="s">
        <v>40</v>
      </c>
      <c r="U685" s="1">
        <v>45838</v>
      </c>
    </row>
    <row r="686" spans="1:21" x14ac:dyDescent="0.3">
      <c r="A686">
        <v>680</v>
      </c>
      <c r="B686">
        <v>227</v>
      </c>
      <c r="C686">
        <v>2</v>
      </c>
      <c r="D686" t="s">
        <v>19</v>
      </c>
      <c r="E686" t="s">
        <v>23</v>
      </c>
      <c r="F686">
        <v>26</v>
      </c>
      <c r="G686" t="s">
        <v>28</v>
      </c>
      <c r="I686" t="s">
        <v>31</v>
      </c>
      <c r="J686" s="1">
        <v>45774</v>
      </c>
      <c r="K686" t="s">
        <v>34</v>
      </c>
      <c r="L686" t="s">
        <v>36</v>
      </c>
      <c r="M686" t="s">
        <v>38</v>
      </c>
      <c r="N686">
        <v>4</v>
      </c>
      <c r="O686">
        <v>0.875</v>
      </c>
      <c r="P686">
        <v>66.5</v>
      </c>
      <c r="Q686" t="s">
        <v>40</v>
      </c>
      <c r="R686" t="s">
        <v>40</v>
      </c>
      <c r="T686" t="s">
        <v>40</v>
      </c>
      <c r="U686" s="1">
        <v>45838</v>
      </c>
    </row>
    <row r="687" spans="1:21" x14ac:dyDescent="0.3">
      <c r="A687">
        <v>681</v>
      </c>
      <c r="B687">
        <v>227</v>
      </c>
      <c r="C687">
        <v>3</v>
      </c>
      <c r="D687" t="s">
        <v>21</v>
      </c>
      <c r="E687" t="s">
        <v>23</v>
      </c>
      <c r="F687">
        <v>26</v>
      </c>
      <c r="G687" t="s">
        <v>28</v>
      </c>
      <c r="I687" t="s">
        <v>31</v>
      </c>
      <c r="J687" s="1">
        <v>45774</v>
      </c>
      <c r="K687" t="s">
        <v>34</v>
      </c>
      <c r="L687" t="s">
        <v>37</v>
      </c>
      <c r="M687" t="s">
        <v>38</v>
      </c>
      <c r="N687">
        <v>4</v>
      </c>
      <c r="O687">
        <v>0.83333333333333337</v>
      </c>
      <c r="P687">
        <v>80</v>
      </c>
      <c r="Q687" t="s">
        <v>40</v>
      </c>
      <c r="R687" t="s">
        <v>40</v>
      </c>
      <c r="T687" t="s">
        <v>40</v>
      </c>
      <c r="U687" s="1">
        <v>45838</v>
      </c>
    </row>
    <row r="688" spans="1:21" x14ac:dyDescent="0.3">
      <c r="A688">
        <v>682</v>
      </c>
      <c r="B688">
        <v>228</v>
      </c>
      <c r="C688">
        <v>1</v>
      </c>
      <c r="D688" t="s">
        <v>19</v>
      </c>
      <c r="E688" t="s">
        <v>22</v>
      </c>
      <c r="F688">
        <v>24</v>
      </c>
      <c r="G688" t="s">
        <v>24</v>
      </c>
      <c r="I688" t="s">
        <v>31</v>
      </c>
      <c r="J688" s="1">
        <v>45670</v>
      </c>
      <c r="K688" t="s">
        <v>34</v>
      </c>
      <c r="L688" t="s">
        <v>35</v>
      </c>
      <c r="M688" t="s">
        <v>38</v>
      </c>
      <c r="N688">
        <v>4</v>
      </c>
      <c r="O688">
        <v>0.85416666666666663</v>
      </c>
      <c r="P688">
        <v>87</v>
      </c>
      <c r="Q688" t="s">
        <v>39</v>
      </c>
      <c r="R688" t="s">
        <v>39</v>
      </c>
      <c r="T688" t="s">
        <v>40</v>
      </c>
      <c r="U688" s="1">
        <v>45838</v>
      </c>
    </row>
    <row r="689" spans="1:21" x14ac:dyDescent="0.3">
      <c r="A689">
        <v>683</v>
      </c>
      <c r="B689">
        <v>228</v>
      </c>
      <c r="C689">
        <v>2</v>
      </c>
      <c r="D689" t="s">
        <v>21</v>
      </c>
      <c r="E689" t="s">
        <v>22</v>
      </c>
      <c r="F689">
        <v>24</v>
      </c>
      <c r="G689" t="s">
        <v>24</v>
      </c>
      <c r="I689" t="s">
        <v>31</v>
      </c>
      <c r="J689" s="1">
        <v>45670</v>
      </c>
      <c r="K689" t="s">
        <v>34</v>
      </c>
      <c r="L689" t="s">
        <v>36</v>
      </c>
      <c r="M689" t="s">
        <v>38</v>
      </c>
      <c r="N689">
        <v>4</v>
      </c>
      <c r="O689">
        <v>0.8125</v>
      </c>
      <c r="P689">
        <v>77</v>
      </c>
      <c r="Q689" t="s">
        <v>39</v>
      </c>
      <c r="R689" t="s">
        <v>39</v>
      </c>
      <c r="T689" t="s">
        <v>40</v>
      </c>
      <c r="U689" s="1">
        <v>45838</v>
      </c>
    </row>
    <row r="690" spans="1:21" x14ac:dyDescent="0.3">
      <c r="A690">
        <v>684</v>
      </c>
      <c r="B690">
        <v>228</v>
      </c>
      <c r="C690">
        <v>3</v>
      </c>
      <c r="D690" t="s">
        <v>19</v>
      </c>
      <c r="E690" t="s">
        <v>22</v>
      </c>
      <c r="F690">
        <v>24</v>
      </c>
      <c r="G690" t="s">
        <v>24</v>
      </c>
      <c r="I690" t="s">
        <v>31</v>
      </c>
      <c r="J690" s="1">
        <v>45670</v>
      </c>
      <c r="K690" t="s">
        <v>34</v>
      </c>
      <c r="L690" t="s">
        <v>37</v>
      </c>
      <c r="M690" t="s">
        <v>38</v>
      </c>
      <c r="N690">
        <v>4</v>
      </c>
      <c r="O690">
        <v>0.8125</v>
      </c>
      <c r="P690">
        <v>79.5</v>
      </c>
      <c r="Q690" t="s">
        <v>39</v>
      </c>
      <c r="R690" t="s">
        <v>39</v>
      </c>
      <c r="T690" t="s">
        <v>40</v>
      </c>
      <c r="U690" s="1">
        <v>45838</v>
      </c>
    </row>
    <row r="691" spans="1:21" x14ac:dyDescent="0.3">
      <c r="A691">
        <v>685</v>
      </c>
      <c r="B691">
        <v>229</v>
      </c>
      <c r="C691">
        <v>1</v>
      </c>
      <c r="D691" t="s">
        <v>20</v>
      </c>
      <c r="E691" t="s">
        <v>23</v>
      </c>
      <c r="F691">
        <v>25</v>
      </c>
      <c r="G691" t="s">
        <v>28</v>
      </c>
      <c r="I691" t="s">
        <v>32</v>
      </c>
      <c r="J691" s="1">
        <v>45675</v>
      </c>
      <c r="K691" t="s">
        <v>34</v>
      </c>
      <c r="L691" t="s">
        <v>35</v>
      </c>
      <c r="M691" t="s">
        <v>38</v>
      </c>
      <c r="N691">
        <v>4</v>
      </c>
      <c r="O691">
        <v>0.70833333333333337</v>
      </c>
      <c r="P691">
        <v>59</v>
      </c>
      <c r="Q691" t="s">
        <v>40</v>
      </c>
      <c r="R691" t="s">
        <v>40</v>
      </c>
      <c r="T691" t="s">
        <v>40</v>
      </c>
      <c r="U691" s="1">
        <v>45838</v>
      </c>
    </row>
    <row r="692" spans="1:21" x14ac:dyDescent="0.3">
      <c r="A692">
        <v>686</v>
      </c>
      <c r="B692">
        <v>229</v>
      </c>
      <c r="C692">
        <v>2</v>
      </c>
      <c r="D692" t="s">
        <v>19</v>
      </c>
      <c r="E692" t="s">
        <v>23</v>
      </c>
      <c r="F692">
        <v>25</v>
      </c>
      <c r="G692" t="s">
        <v>28</v>
      </c>
      <c r="I692" t="s">
        <v>32</v>
      </c>
      <c r="J692" s="1">
        <v>45675</v>
      </c>
      <c r="K692" t="s">
        <v>34</v>
      </c>
      <c r="L692" t="s">
        <v>36</v>
      </c>
      <c r="M692" t="s">
        <v>38</v>
      </c>
      <c r="N692">
        <v>4</v>
      </c>
      <c r="O692">
        <v>0.8125</v>
      </c>
      <c r="P692">
        <v>84.5</v>
      </c>
      <c r="Q692" t="s">
        <v>40</v>
      </c>
      <c r="R692" t="s">
        <v>40</v>
      </c>
      <c r="T692" t="s">
        <v>40</v>
      </c>
      <c r="U692" s="1">
        <v>45838</v>
      </c>
    </row>
    <row r="693" spans="1:21" x14ac:dyDescent="0.3">
      <c r="A693">
        <v>687</v>
      </c>
      <c r="B693">
        <v>229</v>
      </c>
      <c r="C693">
        <v>3</v>
      </c>
      <c r="D693" t="s">
        <v>21</v>
      </c>
      <c r="E693" t="s">
        <v>23</v>
      </c>
      <c r="F693">
        <v>25</v>
      </c>
      <c r="G693" t="s">
        <v>28</v>
      </c>
      <c r="I693" t="s">
        <v>32</v>
      </c>
      <c r="J693" s="1">
        <v>45675</v>
      </c>
      <c r="K693" t="s">
        <v>34</v>
      </c>
      <c r="L693" t="s">
        <v>37</v>
      </c>
      <c r="M693" t="s">
        <v>38</v>
      </c>
      <c r="N693">
        <v>4</v>
      </c>
      <c r="O693">
        <v>0.875</v>
      </c>
      <c r="P693">
        <v>72.5</v>
      </c>
      <c r="Q693" t="s">
        <v>40</v>
      </c>
      <c r="R693" t="s">
        <v>40</v>
      </c>
      <c r="T693" t="s">
        <v>40</v>
      </c>
      <c r="U693" s="1">
        <v>45838</v>
      </c>
    </row>
    <row r="694" spans="1:21" x14ac:dyDescent="0.3">
      <c r="A694">
        <v>688</v>
      </c>
      <c r="B694">
        <v>230</v>
      </c>
      <c r="C694">
        <v>1</v>
      </c>
      <c r="D694" t="s">
        <v>21</v>
      </c>
      <c r="E694" t="s">
        <v>22</v>
      </c>
      <c r="F694">
        <v>24</v>
      </c>
      <c r="G694" t="s">
        <v>28</v>
      </c>
      <c r="I694" t="s">
        <v>30</v>
      </c>
      <c r="J694" s="1">
        <v>45695</v>
      </c>
      <c r="K694" t="s">
        <v>34</v>
      </c>
      <c r="L694" t="s">
        <v>35</v>
      </c>
      <c r="M694" t="s">
        <v>38</v>
      </c>
      <c r="N694">
        <v>4</v>
      </c>
      <c r="O694">
        <v>0.79166666666666663</v>
      </c>
      <c r="P694">
        <v>67</v>
      </c>
      <c r="Q694" t="s">
        <v>39</v>
      </c>
      <c r="R694" t="s">
        <v>39</v>
      </c>
      <c r="T694" t="s">
        <v>40</v>
      </c>
      <c r="U694" s="1">
        <v>45838</v>
      </c>
    </row>
    <row r="695" spans="1:21" x14ac:dyDescent="0.3">
      <c r="A695">
        <v>689</v>
      </c>
      <c r="B695">
        <v>230</v>
      </c>
      <c r="C695">
        <v>2</v>
      </c>
      <c r="D695" t="s">
        <v>19</v>
      </c>
      <c r="E695" t="s">
        <v>22</v>
      </c>
      <c r="F695">
        <v>24</v>
      </c>
      <c r="G695" t="s">
        <v>28</v>
      </c>
      <c r="I695" t="s">
        <v>30</v>
      </c>
      <c r="J695" s="1">
        <v>45695</v>
      </c>
      <c r="K695" t="s">
        <v>34</v>
      </c>
      <c r="L695" t="s">
        <v>36</v>
      </c>
      <c r="M695" t="s">
        <v>38</v>
      </c>
      <c r="N695">
        <v>4</v>
      </c>
      <c r="O695">
        <v>0.83333333333333337</v>
      </c>
      <c r="P695">
        <v>62</v>
      </c>
      <c r="Q695" t="s">
        <v>39</v>
      </c>
      <c r="R695" t="s">
        <v>39</v>
      </c>
      <c r="T695" t="s">
        <v>40</v>
      </c>
      <c r="U695" s="1">
        <v>45838</v>
      </c>
    </row>
    <row r="696" spans="1:21" x14ac:dyDescent="0.3">
      <c r="A696">
        <v>690</v>
      </c>
      <c r="B696">
        <v>230</v>
      </c>
      <c r="C696">
        <v>3</v>
      </c>
      <c r="D696" t="s">
        <v>20</v>
      </c>
      <c r="E696" t="s">
        <v>22</v>
      </c>
      <c r="F696">
        <v>24</v>
      </c>
      <c r="G696" t="s">
        <v>28</v>
      </c>
      <c r="I696" t="s">
        <v>30</v>
      </c>
      <c r="J696" s="1">
        <v>45695</v>
      </c>
      <c r="K696" t="s">
        <v>34</v>
      </c>
      <c r="L696" t="s">
        <v>37</v>
      </c>
      <c r="M696" t="s">
        <v>38</v>
      </c>
      <c r="N696">
        <v>4</v>
      </c>
      <c r="O696">
        <v>0.8125</v>
      </c>
      <c r="P696">
        <v>69</v>
      </c>
      <c r="Q696" t="s">
        <v>39</v>
      </c>
      <c r="R696" t="s">
        <v>39</v>
      </c>
      <c r="T696" t="s">
        <v>40</v>
      </c>
      <c r="U696" s="1">
        <v>45838</v>
      </c>
    </row>
    <row r="697" spans="1:21" x14ac:dyDescent="0.3">
      <c r="A697">
        <v>691</v>
      </c>
      <c r="B697">
        <v>231</v>
      </c>
      <c r="C697">
        <v>1</v>
      </c>
      <c r="D697" t="s">
        <v>19</v>
      </c>
      <c r="E697" t="s">
        <v>22</v>
      </c>
      <c r="F697">
        <v>26</v>
      </c>
      <c r="G697" t="s">
        <v>28</v>
      </c>
      <c r="I697" t="s">
        <v>32</v>
      </c>
      <c r="J697" s="1">
        <v>45796</v>
      </c>
      <c r="K697" t="s">
        <v>34</v>
      </c>
      <c r="L697" t="s">
        <v>35</v>
      </c>
      <c r="M697" t="s">
        <v>38</v>
      </c>
      <c r="N697">
        <v>4</v>
      </c>
      <c r="O697">
        <v>0.875</v>
      </c>
      <c r="P697">
        <v>72</v>
      </c>
      <c r="Q697" t="s">
        <v>39</v>
      </c>
      <c r="R697" t="s">
        <v>40</v>
      </c>
      <c r="T697" t="s">
        <v>40</v>
      </c>
      <c r="U697" s="1">
        <v>45838</v>
      </c>
    </row>
    <row r="698" spans="1:21" x14ac:dyDescent="0.3">
      <c r="A698">
        <v>692</v>
      </c>
      <c r="B698">
        <v>231</v>
      </c>
      <c r="C698">
        <v>2</v>
      </c>
      <c r="D698" t="s">
        <v>19</v>
      </c>
      <c r="E698" t="s">
        <v>22</v>
      </c>
      <c r="F698">
        <v>26</v>
      </c>
      <c r="G698" t="s">
        <v>28</v>
      </c>
      <c r="I698" t="s">
        <v>32</v>
      </c>
      <c r="J698" s="1">
        <v>45796</v>
      </c>
      <c r="K698" t="s">
        <v>34</v>
      </c>
      <c r="L698" t="s">
        <v>36</v>
      </c>
      <c r="M698" t="s">
        <v>38</v>
      </c>
      <c r="N698">
        <v>4</v>
      </c>
      <c r="O698">
        <v>0.77083333333333337</v>
      </c>
      <c r="P698">
        <v>75</v>
      </c>
      <c r="Q698" t="s">
        <v>39</v>
      </c>
      <c r="R698" t="s">
        <v>40</v>
      </c>
      <c r="T698" t="s">
        <v>40</v>
      </c>
      <c r="U698" s="1">
        <v>45838</v>
      </c>
    </row>
    <row r="699" spans="1:21" x14ac:dyDescent="0.3">
      <c r="A699">
        <v>693</v>
      </c>
      <c r="B699">
        <v>231</v>
      </c>
      <c r="C699">
        <v>3</v>
      </c>
      <c r="D699" t="s">
        <v>21</v>
      </c>
      <c r="E699" t="s">
        <v>22</v>
      </c>
      <c r="F699">
        <v>26</v>
      </c>
      <c r="G699" t="s">
        <v>28</v>
      </c>
      <c r="I699" t="s">
        <v>32</v>
      </c>
      <c r="J699" s="1">
        <v>45796</v>
      </c>
      <c r="K699" t="s">
        <v>34</v>
      </c>
      <c r="L699" t="s">
        <v>37</v>
      </c>
      <c r="M699" t="s">
        <v>38</v>
      </c>
      <c r="N699">
        <v>4</v>
      </c>
      <c r="O699">
        <v>0.85416666666666663</v>
      </c>
      <c r="P699">
        <v>86</v>
      </c>
      <c r="Q699" t="s">
        <v>39</v>
      </c>
      <c r="R699" t="s">
        <v>40</v>
      </c>
      <c r="T699" t="s">
        <v>40</v>
      </c>
      <c r="U699" s="1">
        <v>45838</v>
      </c>
    </row>
    <row r="700" spans="1:21" x14ac:dyDescent="0.3">
      <c r="A700">
        <v>694</v>
      </c>
      <c r="B700">
        <v>232</v>
      </c>
      <c r="C700">
        <v>1</v>
      </c>
      <c r="D700" t="s">
        <v>19</v>
      </c>
      <c r="E700" t="s">
        <v>23</v>
      </c>
      <c r="F700">
        <v>23</v>
      </c>
      <c r="G700" t="s">
        <v>25</v>
      </c>
      <c r="I700" t="s">
        <v>31</v>
      </c>
      <c r="J700" s="1">
        <v>45691</v>
      </c>
      <c r="K700" t="s">
        <v>34</v>
      </c>
      <c r="L700" t="s">
        <v>35</v>
      </c>
      <c r="M700" t="s">
        <v>38</v>
      </c>
      <c r="N700">
        <v>4</v>
      </c>
      <c r="O700">
        <v>0.72916666666666663</v>
      </c>
      <c r="P700">
        <v>79</v>
      </c>
      <c r="Q700" t="s">
        <v>40</v>
      </c>
      <c r="R700" t="s">
        <v>40</v>
      </c>
      <c r="T700" t="s">
        <v>40</v>
      </c>
      <c r="U700" s="1">
        <v>45838</v>
      </c>
    </row>
    <row r="701" spans="1:21" x14ac:dyDescent="0.3">
      <c r="A701">
        <v>695</v>
      </c>
      <c r="B701">
        <v>232</v>
      </c>
      <c r="C701">
        <v>2</v>
      </c>
      <c r="D701" t="s">
        <v>20</v>
      </c>
      <c r="E701" t="s">
        <v>23</v>
      </c>
      <c r="F701">
        <v>23</v>
      </c>
      <c r="G701" t="s">
        <v>25</v>
      </c>
      <c r="I701" t="s">
        <v>31</v>
      </c>
      <c r="J701" s="1">
        <v>45691</v>
      </c>
      <c r="K701" t="s">
        <v>34</v>
      </c>
      <c r="L701" t="s">
        <v>36</v>
      </c>
      <c r="M701" t="s">
        <v>38</v>
      </c>
      <c r="N701">
        <v>4</v>
      </c>
      <c r="O701">
        <v>0.89583333333333337</v>
      </c>
      <c r="P701">
        <v>67</v>
      </c>
      <c r="Q701" t="s">
        <v>40</v>
      </c>
      <c r="R701" t="s">
        <v>40</v>
      </c>
      <c r="T701" t="s">
        <v>40</v>
      </c>
      <c r="U701" s="1">
        <v>45838</v>
      </c>
    </row>
    <row r="702" spans="1:21" x14ac:dyDescent="0.3">
      <c r="A702">
        <v>696</v>
      </c>
      <c r="B702">
        <v>232</v>
      </c>
      <c r="C702">
        <v>3</v>
      </c>
      <c r="D702" t="s">
        <v>21</v>
      </c>
      <c r="E702" t="s">
        <v>23</v>
      </c>
      <c r="F702">
        <v>23</v>
      </c>
      <c r="G702" t="s">
        <v>25</v>
      </c>
      <c r="I702" t="s">
        <v>31</v>
      </c>
      <c r="J702" s="1">
        <v>45691</v>
      </c>
      <c r="K702" t="s">
        <v>34</v>
      </c>
      <c r="L702" t="s">
        <v>37</v>
      </c>
      <c r="M702" t="s">
        <v>38</v>
      </c>
      <c r="N702">
        <v>4</v>
      </c>
      <c r="O702">
        <v>0.83333333333333337</v>
      </c>
      <c r="P702">
        <v>68.5</v>
      </c>
      <c r="Q702" t="s">
        <v>40</v>
      </c>
      <c r="R702" t="s">
        <v>40</v>
      </c>
      <c r="T702" t="s">
        <v>40</v>
      </c>
      <c r="U702" s="1">
        <v>45838</v>
      </c>
    </row>
    <row r="703" spans="1:21" x14ac:dyDescent="0.3">
      <c r="A703">
        <v>697</v>
      </c>
      <c r="B703">
        <v>233</v>
      </c>
      <c r="C703">
        <v>1</v>
      </c>
      <c r="D703" t="s">
        <v>19</v>
      </c>
      <c r="E703" t="s">
        <v>22</v>
      </c>
      <c r="F703">
        <v>29</v>
      </c>
      <c r="G703" t="s">
        <v>28</v>
      </c>
      <c r="I703" t="s">
        <v>30</v>
      </c>
      <c r="J703" s="1">
        <v>45662</v>
      </c>
      <c r="K703" t="s">
        <v>34</v>
      </c>
      <c r="L703" t="s">
        <v>35</v>
      </c>
      <c r="M703" t="s">
        <v>38</v>
      </c>
      <c r="N703">
        <v>4</v>
      </c>
      <c r="O703">
        <v>0.875</v>
      </c>
      <c r="P703">
        <v>57.5</v>
      </c>
      <c r="Q703" t="s">
        <v>39</v>
      </c>
      <c r="R703" t="s">
        <v>39</v>
      </c>
      <c r="T703" t="s">
        <v>40</v>
      </c>
      <c r="U703" s="1">
        <v>45838</v>
      </c>
    </row>
    <row r="704" spans="1:21" x14ac:dyDescent="0.3">
      <c r="A704">
        <v>698</v>
      </c>
      <c r="B704">
        <v>233</v>
      </c>
      <c r="C704">
        <v>2</v>
      </c>
      <c r="D704" t="s">
        <v>21</v>
      </c>
      <c r="E704" t="s">
        <v>22</v>
      </c>
      <c r="F704">
        <v>29</v>
      </c>
      <c r="G704" t="s">
        <v>28</v>
      </c>
      <c r="I704" t="s">
        <v>30</v>
      </c>
      <c r="J704" s="1">
        <v>45662</v>
      </c>
      <c r="K704" t="s">
        <v>34</v>
      </c>
      <c r="L704" t="s">
        <v>36</v>
      </c>
      <c r="M704" t="s">
        <v>38</v>
      </c>
      <c r="N704">
        <v>4</v>
      </c>
      <c r="O704">
        <v>0.77083333333333337</v>
      </c>
      <c r="P704">
        <v>67.5</v>
      </c>
      <c r="Q704" t="s">
        <v>39</v>
      </c>
      <c r="R704" t="s">
        <v>39</v>
      </c>
      <c r="T704" t="s">
        <v>40</v>
      </c>
      <c r="U704" s="1">
        <v>45838</v>
      </c>
    </row>
    <row r="705" spans="1:21" x14ac:dyDescent="0.3">
      <c r="A705">
        <v>699</v>
      </c>
      <c r="B705">
        <v>233</v>
      </c>
      <c r="C705">
        <v>3</v>
      </c>
      <c r="D705" t="s">
        <v>19</v>
      </c>
      <c r="E705" t="s">
        <v>22</v>
      </c>
      <c r="F705">
        <v>29</v>
      </c>
      <c r="G705" t="s">
        <v>28</v>
      </c>
      <c r="I705" t="s">
        <v>30</v>
      </c>
      <c r="J705" s="1">
        <v>45662</v>
      </c>
      <c r="K705" t="s">
        <v>34</v>
      </c>
      <c r="L705" t="s">
        <v>37</v>
      </c>
      <c r="M705" t="s">
        <v>38</v>
      </c>
      <c r="N705">
        <v>4</v>
      </c>
      <c r="O705">
        <v>0.85416666666666663</v>
      </c>
      <c r="P705">
        <v>74</v>
      </c>
      <c r="Q705" t="s">
        <v>39</v>
      </c>
      <c r="R705" t="s">
        <v>39</v>
      </c>
      <c r="T705" t="s">
        <v>40</v>
      </c>
      <c r="U705" s="1">
        <v>45838</v>
      </c>
    </row>
    <row r="706" spans="1:21" x14ac:dyDescent="0.3">
      <c r="A706">
        <v>700</v>
      </c>
      <c r="B706">
        <v>234</v>
      </c>
      <c r="C706">
        <v>1</v>
      </c>
      <c r="D706" t="s">
        <v>19</v>
      </c>
      <c r="E706" t="s">
        <v>22</v>
      </c>
      <c r="F706">
        <v>26</v>
      </c>
      <c r="G706" t="s">
        <v>25</v>
      </c>
      <c r="I706" t="s">
        <v>32</v>
      </c>
      <c r="J706" s="1">
        <v>45765</v>
      </c>
      <c r="K706" t="s">
        <v>34</v>
      </c>
      <c r="L706" t="s">
        <v>35</v>
      </c>
      <c r="M706" t="s">
        <v>38</v>
      </c>
      <c r="N706">
        <v>4</v>
      </c>
      <c r="O706">
        <v>0.79166666666666663</v>
      </c>
      <c r="P706">
        <v>74</v>
      </c>
      <c r="Q706" t="s">
        <v>39</v>
      </c>
      <c r="R706" t="s">
        <v>39</v>
      </c>
      <c r="T706" t="s">
        <v>40</v>
      </c>
      <c r="U706" s="1">
        <v>45838</v>
      </c>
    </row>
    <row r="707" spans="1:21" x14ac:dyDescent="0.3">
      <c r="A707">
        <v>701</v>
      </c>
      <c r="B707">
        <v>234</v>
      </c>
      <c r="C707">
        <v>2</v>
      </c>
      <c r="D707" t="s">
        <v>21</v>
      </c>
      <c r="E707" t="s">
        <v>22</v>
      </c>
      <c r="F707">
        <v>26</v>
      </c>
      <c r="G707" t="s">
        <v>25</v>
      </c>
      <c r="I707" t="s">
        <v>32</v>
      </c>
      <c r="J707" s="1">
        <v>45765</v>
      </c>
      <c r="K707" t="s">
        <v>34</v>
      </c>
      <c r="L707" t="s">
        <v>36</v>
      </c>
      <c r="M707" t="s">
        <v>38</v>
      </c>
      <c r="N707">
        <v>4</v>
      </c>
      <c r="O707">
        <v>0.75</v>
      </c>
      <c r="P707">
        <v>72</v>
      </c>
      <c r="Q707" t="s">
        <v>39</v>
      </c>
      <c r="R707" t="s">
        <v>39</v>
      </c>
      <c r="T707" t="s">
        <v>40</v>
      </c>
      <c r="U707" s="1">
        <v>45838</v>
      </c>
    </row>
    <row r="708" spans="1:21" x14ac:dyDescent="0.3">
      <c r="A708">
        <v>702</v>
      </c>
      <c r="B708">
        <v>234</v>
      </c>
      <c r="C708">
        <v>3</v>
      </c>
      <c r="D708" t="s">
        <v>19</v>
      </c>
      <c r="E708" t="s">
        <v>22</v>
      </c>
      <c r="F708">
        <v>26</v>
      </c>
      <c r="G708" t="s">
        <v>25</v>
      </c>
      <c r="I708" t="s">
        <v>32</v>
      </c>
      <c r="J708" s="1">
        <v>45765</v>
      </c>
      <c r="K708" t="s">
        <v>34</v>
      </c>
      <c r="L708" t="s">
        <v>37</v>
      </c>
      <c r="M708" t="s">
        <v>38</v>
      </c>
      <c r="N708">
        <v>4</v>
      </c>
      <c r="O708">
        <v>0.875</v>
      </c>
      <c r="P708">
        <v>66.5</v>
      </c>
      <c r="Q708" t="s">
        <v>39</v>
      </c>
      <c r="R708" t="s">
        <v>39</v>
      </c>
      <c r="T708" t="s">
        <v>40</v>
      </c>
      <c r="U708" s="1">
        <v>45838</v>
      </c>
    </row>
    <row r="709" spans="1:21" x14ac:dyDescent="0.3">
      <c r="A709">
        <v>703</v>
      </c>
      <c r="B709">
        <v>235</v>
      </c>
      <c r="C709">
        <v>1</v>
      </c>
      <c r="D709" t="s">
        <v>19</v>
      </c>
      <c r="E709" t="s">
        <v>22</v>
      </c>
      <c r="F709">
        <v>20</v>
      </c>
      <c r="G709" t="s">
        <v>27</v>
      </c>
      <c r="I709" t="s">
        <v>33</v>
      </c>
      <c r="J709" s="1">
        <v>45750</v>
      </c>
      <c r="K709" t="s">
        <v>34</v>
      </c>
      <c r="L709" t="s">
        <v>35</v>
      </c>
      <c r="M709" t="s">
        <v>38</v>
      </c>
      <c r="N709">
        <v>4</v>
      </c>
      <c r="O709">
        <v>0.75</v>
      </c>
      <c r="P709">
        <v>53.5</v>
      </c>
      <c r="Q709" t="s">
        <v>39</v>
      </c>
      <c r="R709" t="s">
        <v>40</v>
      </c>
      <c r="T709" t="s">
        <v>40</v>
      </c>
      <c r="U709" s="1">
        <v>45838</v>
      </c>
    </row>
    <row r="710" spans="1:21" x14ac:dyDescent="0.3">
      <c r="A710">
        <v>704</v>
      </c>
      <c r="B710">
        <v>235</v>
      </c>
      <c r="C710">
        <v>2</v>
      </c>
      <c r="D710" t="s">
        <v>19</v>
      </c>
      <c r="E710" t="s">
        <v>22</v>
      </c>
      <c r="F710">
        <v>20</v>
      </c>
      <c r="G710" t="s">
        <v>27</v>
      </c>
      <c r="I710" t="s">
        <v>33</v>
      </c>
      <c r="J710" s="1">
        <v>45750</v>
      </c>
      <c r="K710" t="s">
        <v>34</v>
      </c>
      <c r="L710" t="s">
        <v>36</v>
      </c>
      <c r="M710" t="s">
        <v>38</v>
      </c>
      <c r="N710">
        <v>4</v>
      </c>
      <c r="O710">
        <v>0.83333333333333337</v>
      </c>
      <c r="P710">
        <v>92</v>
      </c>
      <c r="Q710" t="s">
        <v>39</v>
      </c>
      <c r="R710" t="s">
        <v>40</v>
      </c>
      <c r="T710" t="s">
        <v>40</v>
      </c>
      <c r="U710" s="1">
        <v>45838</v>
      </c>
    </row>
    <row r="711" spans="1:21" x14ac:dyDescent="0.3">
      <c r="A711">
        <v>705</v>
      </c>
      <c r="B711">
        <v>235</v>
      </c>
      <c r="C711">
        <v>3</v>
      </c>
      <c r="D711" t="s">
        <v>19</v>
      </c>
      <c r="E711" t="s">
        <v>22</v>
      </c>
      <c r="F711">
        <v>20</v>
      </c>
      <c r="G711" t="s">
        <v>27</v>
      </c>
      <c r="I711" t="s">
        <v>33</v>
      </c>
      <c r="J711" s="1">
        <v>45750</v>
      </c>
      <c r="K711" t="s">
        <v>34</v>
      </c>
      <c r="L711" t="s">
        <v>37</v>
      </c>
      <c r="M711" t="s">
        <v>38</v>
      </c>
      <c r="N711">
        <v>4</v>
      </c>
      <c r="O711">
        <v>0.875</v>
      </c>
      <c r="P711">
        <v>72.5</v>
      </c>
      <c r="Q711" t="s">
        <v>39</v>
      </c>
      <c r="R711" t="s">
        <v>40</v>
      </c>
      <c r="T711" t="s">
        <v>40</v>
      </c>
      <c r="U711" s="1">
        <v>45838</v>
      </c>
    </row>
    <row r="712" spans="1:21" x14ac:dyDescent="0.3">
      <c r="A712">
        <v>706</v>
      </c>
      <c r="B712">
        <v>236</v>
      </c>
      <c r="C712">
        <v>1</v>
      </c>
      <c r="D712" t="s">
        <v>19</v>
      </c>
      <c r="E712" t="s">
        <v>22</v>
      </c>
      <c r="F712">
        <v>32</v>
      </c>
      <c r="G712" t="s">
        <v>26</v>
      </c>
      <c r="I712" t="s">
        <v>32</v>
      </c>
      <c r="J712" s="1">
        <v>45669</v>
      </c>
      <c r="K712" t="s">
        <v>34</v>
      </c>
      <c r="L712" t="s">
        <v>35</v>
      </c>
      <c r="M712" t="s">
        <v>38</v>
      </c>
      <c r="N712">
        <v>4</v>
      </c>
      <c r="O712">
        <v>0.83333333333333337</v>
      </c>
      <c r="P712">
        <v>65</v>
      </c>
      <c r="Q712" t="s">
        <v>39</v>
      </c>
      <c r="R712" t="s">
        <v>39</v>
      </c>
      <c r="T712" t="s">
        <v>40</v>
      </c>
      <c r="U712" s="1">
        <v>45838</v>
      </c>
    </row>
    <row r="713" spans="1:21" x14ac:dyDescent="0.3">
      <c r="A713">
        <v>707</v>
      </c>
      <c r="B713">
        <v>236</v>
      </c>
      <c r="C713">
        <v>2</v>
      </c>
      <c r="D713" t="s">
        <v>19</v>
      </c>
      <c r="E713" t="s">
        <v>22</v>
      </c>
      <c r="F713">
        <v>32</v>
      </c>
      <c r="G713" t="s">
        <v>26</v>
      </c>
      <c r="I713" t="s">
        <v>32</v>
      </c>
      <c r="J713" s="1">
        <v>45669</v>
      </c>
      <c r="K713" t="s">
        <v>34</v>
      </c>
      <c r="L713" t="s">
        <v>36</v>
      </c>
      <c r="M713" t="s">
        <v>38</v>
      </c>
      <c r="N713">
        <v>4</v>
      </c>
      <c r="O713">
        <v>0.79166666666666663</v>
      </c>
      <c r="P713">
        <v>60.5</v>
      </c>
      <c r="Q713" t="s">
        <v>39</v>
      </c>
      <c r="R713" t="s">
        <v>39</v>
      </c>
      <c r="T713" t="s">
        <v>40</v>
      </c>
      <c r="U713" s="1">
        <v>45838</v>
      </c>
    </row>
    <row r="714" spans="1:21" x14ac:dyDescent="0.3">
      <c r="A714">
        <v>708</v>
      </c>
      <c r="B714">
        <v>236</v>
      </c>
      <c r="C714">
        <v>3</v>
      </c>
      <c r="D714" t="s">
        <v>19</v>
      </c>
      <c r="E714" t="s">
        <v>22</v>
      </c>
      <c r="F714">
        <v>32</v>
      </c>
      <c r="G714" t="s">
        <v>26</v>
      </c>
      <c r="I714" t="s">
        <v>32</v>
      </c>
      <c r="J714" s="1">
        <v>45669</v>
      </c>
      <c r="K714" t="s">
        <v>34</v>
      </c>
      <c r="L714" t="s">
        <v>37</v>
      </c>
      <c r="M714" t="s">
        <v>38</v>
      </c>
      <c r="N714">
        <v>4</v>
      </c>
      <c r="O714">
        <v>0.83333333333333337</v>
      </c>
      <c r="P714">
        <v>70</v>
      </c>
      <c r="Q714" t="s">
        <v>39</v>
      </c>
      <c r="R714" t="s">
        <v>39</v>
      </c>
      <c r="T714" t="s">
        <v>40</v>
      </c>
      <c r="U714" s="1">
        <v>45838</v>
      </c>
    </row>
    <row r="715" spans="1:21" x14ac:dyDescent="0.3">
      <c r="A715">
        <v>709</v>
      </c>
      <c r="B715">
        <v>237</v>
      </c>
      <c r="C715">
        <v>1</v>
      </c>
      <c r="D715" t="s">
        <v>19</v>
      </c>
      <c r="E715" t="s">
        <v>23</v>
      </c>
      <c r="F715">
        <v>32</v>
      </c>
      <c r="G715" t="s">
        <v>24</v>
      </c>
      <c r="I715" t="s">
        <v>31</v>
      </c>
      <c r="J715" s="1">
        <v>45673</v>
      </c>
      <c r="K715" t="s">
        <v>34</v>
      </c>
      <c r="L715" t="s">
        <v>35</v>
      </c>
      <c r="M715" t="s">
        <v>38</v>
      </c>
      <c r="N715">
        <v>4</v>
      </c>
      <c r="O715">
        <v>0.85416666666666663</v>
      </c>
      <c r="P715">
        <v>60.5</v>
      </c>
      <c r="Q715" t="s">
        <v>39</v>
      </c>
      <c r="R715" t="s">
        <v>39</v>
      </c>
      <c r="T715" t="s">
        <v>40</v>
      </c>
      <c r="U715" s="1">
        <v>45838</v>
      </c>
    </row>
    <row r="716" spans="1:21" x14ac:dyDescent="0.3">
      <c r="A716">
        <v>710</v>
      </c>
      <c r="B716">
        <v>237</v>
      </c>
      <c r="C716">
        <v>2</v>
      </c>
      <c r="D716" t="s">
        <v>19</v>
      </c>
      <c r="E716" t="s">
        <v>23</v>
      </c>
      <c r="F716">
        <v>32</v>
      </c>
      <c r="G716" t="s">
        <v>24</v>
      </c>
      <c r="I716" t="s">
        <v>31</v>
      </c>
      <c r="J716" s="1">
        <v>45673</v>
      </c>
      <c r="K716" t="s">
        <v>34</v>
      </c>
      <c r="L716" t="s">
        <v>36</v>
      </c>
      <c r="M716" t="s">
        <v>38</v>
      </c>
      <c r="N716">
        <v>4</v>
      </c>
      <c r="O716">
        <v>0.79166666666666663</v>
      </c>
      <c r="P716">
        <v>67.5</v>
      </c>
      <c r="Q716" t="s">
        <v>39</v>
      </c>
      <c r="R716" t="s">
        <v>39</v>
      </c>
      <c r="T716" t="s">
        <v>40</v>
      </c>
      <c r="U716" s="1">
        <v>45838</v>
      </c>
    </row>
    <row r="717" spans="1:21" x14ac:dyDescent="0.3">
      <c r="A717">
        <v>711</v>
      </c>
      <c r="B717">
        <v>237</v>
      </c>
      <c r="C717">
        <v>3</v>
      </c>
      <c r="D717" t="s">
        <v>19</v>
      </c>
      <c r="E717" t="s">
        <v>23</v>
      </c>
      <c r="F717">
        <v>32</v>
      </c>
      <c r="G717" t="s">
        <v>24</v>
      </c>
      <c r="I717" t="s">
        <v>31</v>
      </c>
      <c r="J717" s="1">
        <v>45673</v>
      </c>
      <c r="K717" t="s">
        <v>34</v>
      </c>
      <c r="L717" t="s">
        <v>37</v>
      </c>
      <c r="M717" t="s">
        <v>38</v>
      </c>
      <c r="N717">
        <v>4</v>
      </c>
      <c r="O717">
        <v>0.9375</v>
      </c>
      <c r="P717">
        <v>93.5</v>
      </c>
      <c r="Q717" t="s">
        <v>39</v>
      </c>
      <c r="R717" t="s">
        <v>39</v>
      </c>
      <c r="T717" t="s">
        <v>40</v>
      </c>
      <c r="U717" s="1">
        <v>45838</v>
      </c>
    </row>
    <row r="718" spans="1:21" x14ac:dyDescent="0.3">
      <c r="A718">
        <v>712</v>
      </c>
      <c r="B718">
        <v>238</v>
      </c>
      <c r="C718">
        <v>1</v>
      </c>
      <c r="D718" t="s">
        <v>21</v>
      </c>
      <c r="E718" t="s">
        <v>23</v>
      </c>
      <c r="F718">
        <v>30</v>
      </c>
      <c r="G718" t="s">
        <v>27</v>
      </c>
      <c r="I718" t="s">
        <v>31</v>
      </c>
      <c r="J718" s="1">
        <v>45783</v>
      </c>
      <c r="K718" t="s">
        <v>34</v>
      </c>
      <c r="L718" t="s">
        <v>35</v>
      </c>
      <c r="M718" t="s">
        <v>38</v>
      </c>
      <c r="N718">
        <v>4</v>
      </c>
      <c r="O718">
        <v>0.85416666666666663</v>
      </c>
      <c r="P718">
        <v>90.5</v>
      </c>
      <c r="Q718" t="s">
        <v>40</v>
      </c>
      <c r="R718" t="s">
        <v>40</v>
      </c>
      <c r="T718" t="s">
        <v>40</v>
      </c>
      <c r="U718" s="1">
        <v>45838</v>
      </c>
    </row>
    <row r="719" spans="1:21" x14ac:dyDescent="0.3">
      <c r="A719">
        <v>713</v>
      </c>
      <c r="B719">
        <v>238</v>
      </c>
      <c r="C719">
        <v>2</v>
      </c>
      <c r="D719" t="s">
        <v>19</v>
      </c>
      <c r="E719" t="s">
        <v>23</v>
      </c>
      <c r="F719">
        <v>30</v>
      </c>
      <c r="G719" t="s">
        <v>27</v>
      </c>
      <c r="I719" t="s">
        <v>31</v>
      </c>
      <c r="J719" s="1">
        <v>45783</v>
      </c>
      <c r="K719" t="s">
        <v>34</v>
      </c>
      <c r="L719" t="s">
        <v>36</v>
      </c>
      <c r="M719" t="s">
        <v>38</v>
      </c>
      <c r="N719">
        <v>4</v>
      </c>
      <c r="O719">
        <v>0.79166666666666663</v>
      </c>
      <c r="P719">
        <v>67.5</v>
      </c>
      <c r="Q719" t="s">
        <v>40</v>
      </c>
      <c r="R719" t="s">
        <v>40</v>
      </c>
      <c r="T719" t="s">
        <v>40</v>
      </c>
      <c r="U719" s="1">
        <v>45838</v>
      </c>
    </row>
    <row r="720" spans="1:21" x14ac:dyDescent="0.3">
      <c r="A720">
        <v>714</v>
      </c>
      <c r="B720">
        <v>238</v>
      </c>
      <c r="C720">
        <v>3</v>
      </c>
      <c r="D720" t="s">
        <v>19</v>
      </c>
      <c r="E720" t="s">
        <v>23</v>
      </c>
      <c r="F720">
        <v>30</v>
      </c>
      <c r="G720" t="s">
        <v>27</v>
      </c>
      <c r="I720" t="s">
        <v>31</v>
      </c>
      <c r="J720" s="1">
        <v>45783</v>
      </c>
      <c r="K720" t="s">
        <v>34</v>
      </c>
      <c r="L720" t="s">
        <v>37</v>
      </c>
      <c r="M720" t="s">
        <v>38</v>
      </c>
      <c r="N720">
        <v>4</v>
      </c>
      <c r="O720">
        <v>0.83333333333333337</v>
      </c>
      <c r="P720">
        <v>51</v>
      </c>
      <c r="Q720" t="s">
        <v>40</v>
      </c>
      <c r="R720" t="s">
        <v>40</v>
      </c>
      <c r="T720" t="s">
        <v>40</v>
      </c>
      <c r="U720" s="1">
        <v>45838</v>
      </c>
    </row>
    <row r="721" spans="1:21" x14ac:dyDescent="0.3">
      <c r="A721">
        <v>715</v>
      </c>
      <c r="B721">
        <v>239</v>
      </c>
      <c r="C721">
        <v>1</v>
      </c>
      <c r="D721" t="s">
        <v>21</v>
      </c>
      <c r="E721" t="s">
        <v>23</v>
      </c>
      <c r="F721">
        <v>20</v>
      </c>
      <c r="G721" t="s">
        <v>25</v>
      </c>
      <c r="I721" t="s">
        <v>30</v>
      </c>
      <c r="J721" s="1">
        <v>45695</v>
      </c>
      <c r="K721" t="s">
        <v>34</v>
      </c>
      <c r="L721" t="s">
        <v>35</v>
      </c>
      <c r="M721" t="s">
        <v>38</v>
      </c>
      <c r="N721">
        <v>4</v>
      </c>
      <c r="O721">
        <v>0.91666666666666663</v>
      </c>
      <c r="P721">
        <v>75.5</v>
      </c>
      <c r="Q721" t="s">
        <v>39</v>
      </c>
      <c r="R721" t="s">
        <v>39</v>
      </c>
      <c r="T721" t="s">
        <v>40</v>
      </c>
      <c r="U721" s="1">
        <v>45838</v>
      </c>
    </row>
    <row r="722" spans="1:21" x14ac:dyDescent="0.3">
      <c r="A722">
        <v>716</v>
      </c>
      <c r="B722">
        <v>239</v>
      </c>
      <c r="C722">
        <v>2</v>
      </c>
      <c r="D722" t="s">
        <v>20</v>
      </c>
      <c r="E722" t="s">
        <v>23</v>
      </c>
      <c r="F722">
        <v>20</v>
      </c>
      <c r="G722" t="s">
        <v>25</v>
      </c>
      <c r="I722" t="s">
        <v>30</v>
      </c>
      <c r="J722" s="1">
        <v>45695</v>
      </c>
      <c r="K722" t="s">
        <v>34</v>
      </c>
      <c r="L722" t="s">
        <v>36</v>
      </c>
      <c r="M722" t="s">
        <v>38</v>
      </c>
      <c r="N722">
        <v>4</v>
      </c>
      <c r="O722">
        <v>0.875</v>
      </c>
      <c r="P722">
        <v>70</v>
      </c>
      <c r="Q722" t="s">
        <v>39</v>
      </c>
      <c r="R722" t="s">
        <v>39</v>
      </c>
      <c r="T722" t="s">
        <v>40</v>
      </c>
      <c r="U722" s="1">
        <v>45838</v>
      </c>
    </row>
    <row r="723" spans="1:21" x14ac:dyDescent="0.3">
      <c r="A723">
        <v>717</v>
      </c>
      <c r="B723">
        <v>239</v>
      </c>
      <c r="C723">
        <v>3</v>
      </c>
      <c r="D723" t="s">
        <v>19</v>
      </c>
      <c r="E723" t="s">
        <v>23</v>
      </c>
      <c r="F723">
        <v>20</v>
      </c>
      <c r="G723" t="s">
        <v>25</v>
      </c>
      <c r="I723" t="s">
        <v>30</v>
      </c>
      <c r="J723" s="1">
        <v>45695</v>
      </c>
      <c r="K723" t="s">
        <v>34</v>
      </c>
      <c r="L723" t="s">
        <v>37</v>
      </c>
      <c r="M723" t="s">
        <v>38</v>
      </c>
      <c r="N723">
        <v>4</v>
      </c>
      <c r="O723">
        <v>0.79166666666666663</v>
      </c>
      <c r="P723">
        <v>76</v>
      </c>
      <c r="Q723" t="s">
        <v>39</v>
      </c>
      <c r="R723" t="s">
        <v>39</v>
      </c>
      <c r="T723" t="s">
        <v>40</v>
      </c>
      <c r="U723" s="1">
        <v>45838</v>
      </c>
    </row>
    <row r="724" spans="1:21" x14ac:dyDescent="0.3">
      <c r="A724">
        <v>718</v>
      </c>
      <c r="B724">
        <v>240</v>
      </c>
      <c r="C724">
        <v>1</v>
      </c>
      <c r="D724" t="s">
        <v>19</v>
      </c>
      <c r="E724" t="s">
        <v>22</v>
      </c>
      <c r="F724">
        <v>22</v>
      </c>
      <c r="G724" t="s">
        <v>29</v>
      </c>
      <c r="I724" t="s">
        <v>30</v>
      </c>
      <c r="J724" s="1">
        <v>45755</v>
      </c>
      <c r="K724" t="s">
        <v>34</v>
      </c>
      <c r="L724" t="s">
        <v>35</v>
      </c>
      <c r="M724" t="s">
        <v>38</v>
      </c>
      <c r="N724">
        <v>4</v>
      </c>
      <c r="O724">
        <v>0.85416666666666663</v>
      </c>
      <c r="P724">
        <v>59.5</v>
      </c>
      <c r="Q724" t="s">
        <v>40</v>
      </c>
      <c r="R724" t="s">
        <v>40</v>
      </c>
      <c r="T724" t="s">
        <v>40</v>
      </c>
      <c r="U724" s="1">
        <v>45838</v>
      </c>
    </row>
    <row r="725" spans="1:21" x14ac:dyDescent="0.3">
      <c r="A725">
        <v>719</v>
      </c>
      <c r="B725">
        <v>240</v>
      </c>
      <c r="C725">
        <v>2</v>
      </c>
      <c r="D725" t="s">
        <v>20</v>
      </c>
      <c r="E725" t="s">
        <v>22</v>
      </c>
      <c r="F725">
        <v>22</v>
      </c>
      <c r="G725" t="s">
        <v>29</v>
      </c>
      <c r="I725" t="s">
        <v>30</v>
      </c>
      <c r="J725" s="1">
        <v>45755</v>
      </c>
      <c r="K725" t="s">
        <v>34</v>
      </c>
      <c r="L725" t="s">
        <v>36</v>
      </c>
      <c r="M725" t="s">
        <v>38</v>
      </c>
      <c r="N725">
        <v>4</v>
      </c>
      <c r="O725">
        <v>0.6875</v>
      </c>
      <c r="P725">
        <v>85.5</v>
      </c>
      <c r="Q725" t="s">
        <v>40</v>
      </c>
      <c r="R725" t="s">
        <v>40</v>
      </c>
      <c r="T725" t="s">
        <v>40</v>
      </c>
      <c r="U725" s="1">
        <v>45838</v>
      </c>
    </row>
    <row r="726" spans="1:21" x14ac:dyDescent="0.3">
      <c r="A726">
        <v>720</v>
      </c>
      <c r="B726">
        <v>240</v>
      </c>
      <c r="C726">
        <v>3</v>
      </c>
      <c r="D726" t="s">
        <v>21</v>
      </c>
      <c r="E726" t="s">
        <v>22</v>
      </c>
      <c r="F726">
        <v>22</v>
      </c>
      <c r="G726" t="s">
        <v>29</v>
      </c>
      <c r="I726" t="s">
        <v>30</v>
      </c>
      <c r="J726" s="1">
        <v>45755</v>
      </c>
      <c r="K726" t="s">
        <v>34</v>
      </c>
      <c r="L726" t="s">
        <v>37</v>
      </c>
      <c r="M726" t="s">
        <v>38</v>
      </c>
      <c r="N726">
        <v>4</v>
      </c>
      <c r="O726">
        <v>0.8125</v>
      </c>
      <c r="P726">
        <v>73</v>
      </c>
      <c r="Q726" t="s">
        <v>40</v>
      </c>
      <c r="R726" t="s">
        <v>40</v>
      </c>
      <c r="T726" t="s">
        <v>40</v>
      </c>
      <c r="U726" s="1">
        <v>45838</v>
      </c>
    </row>
    <row r="727" spans="1:21" x14ac:dyDescent="0.3">
      <c r="A727">
        <v>721</v>
      </c>
      <c r="B727">
        <v>241</v>
      </c>
      <c r="C727">
        <v>1</v>
      </c>
      <c r="D727" t="s">
        <v>20</v>
      </c>
      <c r="E727" t="s">
        <v>23</v>
      </c>
      <c r="F727">
        <v>32</v>
      </c>
      <c r="G727" t="s">
        <v>26</v>
      </c>
      <c r="I727" t="s">
        <v>33</v>
      </c>
      <c r="J727" s="1">
        <v>45683</v>
      </c>
      <c r="K727" t="s">
        <v>34</v>
      </c>
      <c r="L727" t="s">
        <v>35</v>
      </c>
      <c r="M727" t="s">
        <v>38</v>
      </c>
      <c r="N727">
        <v>4</v>
      </c>
      <c r="O727">
        <v>0.83333333333333337</v>
      </c>
      <c r="P727">
        <v>52</v>
      </c>
      <c r="Q727" t="s">
        <v>39</v>
      </c>
      <c r="R727" t="s">
        <v>39</v>
      </c>
      <c r="T727" t="s">
        <v>40</v>
      </c>
      <c r="U727" s="1">
        <v>45838</v>
      </c>
    </row>
    <row r="728" spans="1:21" x14ac:dyDescent="0.3">
      <c r="A728">
        <v>722</v>
      </c>
      <c r="B728">
        <v>241</v>
      </c>
      <c r="C728">
        <v>2</v>
      </c>
      <c r="D728" t="s">
        <v>20</v>
      </c>
      <c r="E728" t="s">
        <v>23</v>
      </c>
      <c r="F728">
        <v>32</v>
      </c>
      <c r="G728" t="s">
        <v>26</v>
      </c>
      <c r="I728" t="s">
        <v>33</v>
      </c>
      <c r="J728" s="1">
        <v>45683</v>
      </c>
      <c r="K728" t="s">
        <v>34</v>
      </c>
      <c r="L728" t="s">
        <v>36</v>
      </c>
      <c r="M728" t="s">
        <v>38</v>
      </c>
      <c r="N728">
        <v>4</v>
      </c>
      <c r="O728">
        <v>0.875</v>
      </c>
      <c r="P728">
        <v>67.5</v>
      </c>
      <c r="Q728" t="s">
        <v>39</v>
      </c>
      <c r="R728" t="s">
        <v>39</v>
      </c>
      <c r="T728" t="s">
        <v>40</v>
      </c>
      <c r="U728" s="1">
        <v>45838</v>
      </c>
    </row>
    <row r="729" spans="1:21" x14ac:dyDescent="0.3">
      <c r="A729">
        <v>723</v>
      </c>
      <c r="B729">
        <v>241</v>
      </c>
      <c r="C729">
        <v>3</v>
      </c>
      <c r="D729" t="s">
        <v>21</v>
      </c>
      <c r="E729" t="s">
        <v>23</v>
      </c>
      <c r="F729">
        <v>32</v>
      </c>
      <c r="G729" t="s">
        <v>26</v>
      </c>
      <c r="I729" t="s">
        <v>33</v>
      </c>
      <c r="J729" s="1">
        <v>45683</v>
      </c>
      <c r="K729" t="s">
        <v>34</v>
      </c>
      <c r="L729" t="s">
        <v>37</v>
      </c>
      <c r="M729" t="s">
        <v>38</v>
      </c>
      <c r="N729">
        <v>4</v>
      </c>
      <c r="O729">
        <v>0.875</v>
      </c>
      <c r="P729">
        <v>67</v>
      </c>
      <c r="Q729" t="s">
        <v>39</v>
      </c>
      <c r="R729" t="s">
        <v>39</v>
      </c>
      <c r="T729" t="s">
        <v>40</v>
      </c>
      <c r="U729" s="1">
        <v>45838</v>
      </c>
    </row>
    <row r="730" spans="1:21" x14ac:dyDescent="0.3">
      <c r="A730">
        <v>724</v>
      </c>
      <c r="B730">
        <v>242</v>
      </c>
      <c r="C730">
        <v>1</v>
      </c>
      <c r="D730" t="s">
        <v>19</v>
      </c>
      <c r="E730" t="s">
        <v>22</v>
      </c>
      <c r="F730">
        <v>35</v>
      </c>
      <c r="G730" t="s">
        <v>24</v>
      </c>
      <c r="I730" t="s">
        <v>32</v>
      </c>
      <c r="J730" s="1">
        <v>45768</v>
      </c>
      <c r="K730" t="s">
        <v>34</v>
      </c>
      <c r="L730" t="s">
        <v>35</v>
      </c>
      <c r="M730" t="s">
        <v>38</v>
      </c>
      <c r="N730">
        <v>4</v>
      </c>
      <c r="O730">
        <v>0.6875</v>
      </c>
      <c r="P730">
        <v>53.5</v>
      </c>
      <c r="Q730" t="s">
        <v>39</v>
      </c>
      <c r="R730" t="s">
        <v>39</v>
      </c>
      <c r="T730" t="s">
        <v>40</v>
      </c>
      <c r="U730" s="1">
        <v>45838</v>
      </c>
    </row>
    <row r="731" spans="1:21" x14ac:dyDescent="0.3">
      <c r="A731">
        <v>725</v>
      </c>
      <c r="B731">
        <v>242</v>
      </c>
      <c r="C731">
        <v>2</v>
      </c>
      <c r="D731" t="s">
        <v>21</v>
      </c>
      <c r="E731" t="s">
        <v>22</v>
      </c>
      <c r="F731">
        <v>35</v>
      </c>
      <c r="G731" t="s">
        <v>24</v>
      </c>
      <c r="I731" t="s">
        <v>32</v>
      </c>
      <c r="J731" s="1">
        <v>45768</v>
      </c>
      <c r="K731" t="s">
        <v>34</v>
      </c>
      <c r="L731" t="s">
        <v>36</v>
      </c>
      <c r="M731" t="s">
        <v>38</v>
      </c>
      <c r="N731">
        <v>4</v>
      </c>
      <c r="O731">
        <v>0.83333333333333337</v>
      </c>
      <c r="P731">
        <v>81.5</v>
      </c>
      <c r="Q731" t="s">
        <v>39</v>
      </c>
      <c r="R731" t="s">
        <v>39</v>
      </c>
      <c r="T731" t="s">
        <v>40</v>
      </c>
      <c r="U731" s="1">
        <v>45838</v>
      </c>
    </row>
    <row r="732" spans="1:21" x14ac:dyDescent="0.3">
      <c r="A732">
        <v>726</v>
      </c>
      <c r="B732">
        <v>242</v>
      </c>
      <c r="C732">
        <v>3</v>
      </c>
      <c r="D732" t="s">
        <v>19</v>
      </c>
      <c r="E732" t="s">
        <v>22</v>
      </c>
      <c r="F732">
        <v>35</v>
      </c>
      <c r="G732" t="s">
        <v>24</v>
      </c>
      <c r="I732" t="s">
        <v>32</v>
      </c>
      <c r="J732" s="1">
        <v>45768</v>
      </c>
      <c r="K732" t="s">
        <v>34</v>
      </c>
      <c r="L732" t="s">
        <v>37</v>
      </c>
      <c r="M732" t="s">
        <v>38</v>
      </c>
      <c r="N732">
        <v>4</v>
      </c>
      <c r="O732">
        <v>0.75</v>
      </c>
      <c r="P732">
        <v>59</v>
      </c>
      <c r="Q732" t="s">
        <v>39</v>
      </c>
      <c r="R732" t="s">
        <v>39</v>
      </c>
      <c r="T732" t="s">
        <v>40</v>
      </c>
      <c r="U732" s="1">
        <v>45838</v>
      </c>
    </row>
    <row r="733" spans="1:21" x14ac:dyDescent="0.3">
      <c r="A733">
        <v>727</v>
      </c>
      <c r="B733">
        <v>243</v>
      </c>
      <c r="C733">
        <v>1</v>
      </c>
      <c r="D733" t="s">
        <v>21</v>
      </c>
      <c r="E733" t="s">
        <v>23</v>
      </c>
      <c r="F733">
        <v>25</v>
      </c>
      <c r="G733" t="s">
        <v>27</v>
      </c>
      <c r="I733" t="s">
        <v>30</v>
      </c>
      <c r="J733" s="1">
        <v>45774</v>
      </c>
      <c r="K733" t="s">
        <v>34</v>
      </c>
      <c r="L733" t="s">
        <v>35</v>
      </c>
      <c r="M733" t="s">
        <v>38</v>
      </c>
      <c r="N733">
        <v>4</v>
      </c>
      <c r="O733">
        <v>0.875</v>
      </c>
      <c r="P733">
        <v>80</v>
      </c>
      <c r="Q733" t="s">
        <v>39</v>
      </c>
      <c r="R733" t="s">
        <v>39</v>
      </c>
      <c r="T733" t="s">
        <v>39</v>
      </c>
      <c r="U733" s="1">
        <v>45838</v>
      </c>
    </row>
    <row r="734" spans="1:21" x14ac:dyDescent="0.3">
      <c r="A734">
        <v>728</v>
      </c>
      <c r="B734">
        <v>243</v>
      </c>
      <c r="C734">
        <v>2</v>
      </c>
      <c r="D734" t="s">
        <v>21</v>
      </c>
      <c r="E734" t="s">
        <v>23</v>
      </c>
      <c r="F734">
        <v>25</v>
      </c>
      <c r="G734" t="s">
        <v>27</v>
      </c>
      <c r="I734" t="s">
        <v>30</v>
      </c>
      <c r="J734" s="1">
        <v>45774</v>
      </c>
      <c r="K734" t="s">
        <v>34</v>
      </c>
      <c r="L734" t="s">
        <v>36</v>
      </c>
      <c r="M734" t="s">
        <v>38</v>
      </c>
      <c r="N734">
        <v>4</v>
      </c>
      <c r="O734">
        <v>0.8125</v>
      </c>
      <c r="P734">
        <v>74</v>
      </c>
      <c r="Q734" t="s">
        <v>39</v>
      </c>
      <c r="R734" t="s">
        <v>39</v>
      </c>
      <c r="T734" t="s">
        <v>39</v>
      </c>
      <c r="U734" s="1">
        <v>45838</v>
      </c>
    </row>
    <row r="735" spans="1:21" x14ac:dyDescent="0.3">
      <c r="A735">
        <v>729</v>
      </c>
      <c r="B735">
        <v>243</v>
      </c>
      <c r="C735">
        <v>3</v>
      </c>
      <c r="D735" t="s">
        <v>21</v>
      </c>
      <c r="E735" t="s">
        <v>23</v>
      </c>
      <c r="F735">
        <v>25</v>
      </c>
      <c r="G735" t="s">
        <v>27</v>
      </c>
      <c r="I735" t="s">
        <v>30</v>
      </c>
      <c r="J735" s="1">
        <v>45774</v>
      </c>
      <c r="K735" t="s">
        <v>34</v>
      </c>
      <c r="L735" t="s">
        <v>37</v>
      </c>
      <c r="M735" t="s">
        <v>38</v>
      </c>
      <c r="N735">
        <v>4</v>
      </c>
      <c r="O735">
        <v>0.85416666666666663</v>
      </c>
      <c r="P735">
        <v>68.5</v>
      </c>
      <c r="Q735" t="s">
        <v>39</v>
      </c>
      <c r="R735" t="s">
        <v>39</v>
      </c>
      <c r="T735" t="s">
        <v>39</v>
      </c>
      <c r="U735" s="1">
        <v>45838</v>
      </c>
    </row>
    <row r="736" spans="1:21" x14ac:dyDescent="0.3">
      <c r="A736">
        <v>730</v>
      </c>
      <c r="B736">
        <v>244</v>
      </c>
      <c r="C736">
        <v>1</v>
      </c>
      <c r="D736" t="s">
        <v>19</v>
      </c>
      <c r="E736" t="s">
        <v>23</v>
      </c>
      <c r="F736">
        <v>31</v>
      </c>
      <c r="G736" t="s">
        <v>24</v>
      </c>
      <c r="I736" t="s">
        <v>31</v>
      </c>
      <c r="J736" s="1">
        <v>45738</v>
      </c>
      <c r="K736" t="s">
        <v>34</v>
      </c>
      <c r="L736" t="s">
        <v>35</v>
      </c>
      <c r="M736" t="s">
        <v>38</v>
      </c>
      <c r="N736">
        <v>4</v>
      </c>
      <c r="O736">
        <v>0.77083333333333337</v>
      </c>
      <c r="P736">
        <v>66.5</v>
      </c>
      <c r="Q736" t="s">
        <v>40</v>
      </c>
      <c r="R736" t="s">
        <v>40</v>
      </c>
      <c r="T736" t="s">
        <v>40</v>
      </c>
      <c r="U736" s="1">
        <v>45838</v>
      </c>
    </row>
    <row r="737" spans="1:21" x14ac:dyDescent="0.3">
      <c r="A737">
        <v>731</v>
      </c>
      <c r="B737">
        <v>244</v>
      </c>
      <c r="C737">
        <v>2</v>
      </c>
      <c r="D737" t="s">
        <v>19</v>
      </c>
      <c r="E737" t="s">
        <v>23</v>
      </c>
      <c r="F737">
        <v>31</v>
      </c>
      <c r="G737" t="s">
        <v>24</v>
      </c>
      <c r="I737" t="s">
        <v>31</v>
      </c>
      <c r="J737" s="1">
        <v>45738</v>
      </c>
      <c r="K737" t="s">
        <v>34</v>
      </c>
      <c r="L737" t="s">
        <v>36</v>
      </c>
      <c r="M737" t="s">
        <v>38</v>
      </c>
      <c r="N737">
        <v>4</v>
      </c>
      <c r="O737">
        <v>0.8125</v>
      </c>
      <c r="P737">
        <v>73.5</v>
      </c>
      <c r="Q737" t="s">
        <v>40</v>
      </c>
      <c r="R737" t="s">
        <v>40</v>
      </c>
      <c r="T737" t="s">
        <v>40</v>
      </c>
      <c r="U737" s="1">
        <v>45838</v>
      </c>
    </row>
    <row r="738" spans="1:21" x14ac:dyDescent="0.3">
      <c r="A738">
        <v>732</v>
      </c>
      <c r="B738">
        <v>244</v>
      </c>
      <c r="C738">
        <v>3</v>
      </c>
      <c r="D738" t="s">
        <v>19</v>
      </c>
      <c r="E738" t="s">
        <v>23</v>
      </c>
      <c r="F738">
        <v>31</v>
      </c>
      <c r="G738" t="s">
        <v>24</v>
      </c>
      <c r="I738" t="s">
        <v>31</v>
      </c>
      <c r="J738" s="1">
        <v>45738</v>
      </c>
      <c r="K738" t="s">
        <v>34</v>
      </c>
      <c r="L738" t="s">
        <v>37</v>
      </c>
      <c r="M738" t="s">
        <v>38</v>
      </c>
      <c r="N738">
        <v>4</v>
      </c>
      <c r="O738">
        <v>0.79166666666666663</v>
      </c>
      <c r="P738">
        <v>80</v>
      </c>
      <c r="Q738" t="s">
        <v>40</v>
      </c>
      <c r="R738" t="s">
        <v>40</v>
      </c>
      <c r="T738" t="s">
        <v>40</v>
      </c>
      <c r="U738" s="1">
        <v>45838</v>
      </c>
    </row>
    <row r="739" spans="1:21" x14ac:dyDescent="0.3">
      <c r="A739">
        <v>733</v>
      </c>
      <c r="B739">
        <v>245</v>
      </c>
      <c r="C739">
        <v>1</v>
      </c>
      <c r="D739" t="s">
        <v>19</v>
      </c>
      <c r="E739" t="s">
        <v>23</v>
      </c>
      <c r="F739">
        <v>28</v>
      </c>
      <c r="G739" t="s">
        <v>24</v>
      </c>
      <c r="I739" t="s">
        <v>30</v>
      </c>
      <c r="J739" s="1">
        <v>45753</v>
      </c>
      <c r="K739" t="s">
        <v>34</v>
      </c>
      <c r="L739" t="s">
        <v>35</v>
      </c>
      <c r="M739" t="s">
        <v>38</v>
      </c>
      <c r="N739">
        <v>4</v>
      </c>
      <c r="O739">
        <v>0.83333333333333337</v>
      </c>
      <c r="P739">
        <v>72</v>
      </c>
      <c r="Q739" t="s">
        <v>40</v>
      </c>
      <c r="R739" t="s">
        <v>40</v>
      </c>
      <c r="T739" t="s">
        <v>40</v>
      </c>
      <c r="U739" s="1">
        <v>45838</v>
      </c>
    </row>
    <row r="740" spans="1:21" x14ac:dyDescent="0.3">
      <c r="A740">
        <v>734</v>
      </c>
      <c r="B740">
        <v>245</v>
      </c>
      <c r="C740">
        <v>2</v>
      </c>
      <c r="D740" t="s">
        <v>19</v>
      </c>
      <c r="E740" t="s">
        <v>23</v>
      </c>
      <c r="F740">
        <v>28</v>
      </c>
      <c r="G740" t="s">
        <v>24</v>
      </c>
      <c r="I740" t="s">
        <v>30</v>
      </c>
      <c r="J740" s="1">
        <v>45753</v>
      </c>
      <c r="K740" t="s">
        <v>34</v>
      </c>
      <c r="L740" t="s">
        <v>36</v>
      </c>
      <c r="M740" t="s">
        <v>38</v>
      </c>
      <c r="N740">
        <v>4</v>
      </c>
      <c r="O740">
        <v>0.72916666666666663</v>
      </c>
      <c r="P740">
        <v>66</v>
      </c>
      <c r="Q740" t="s">
        <v>40</v>
      </c>
      <c r="R740" t="s">
        <v>40</v>
      </c>
      <c r="T740" t="s">
        <v>40</v>
      </c>
      <c r="U740" s="1">
        <v>45838</v>
      </c>
    </row>
    <row r="741" spans="1:21" x14ac:dyDescent="0.3">
      <c r="A741">
        <v>735</v>
      </c>
      <c r="B741">
        <v>245</v>
      </c>
      <c r="C741">
        <v>3</v>
      </c>
      <c r="D741" t="s">
        <v>19</v>
      </c>
      <c r="E741" t="s">
        <v>23</v>
      </c>
      <c r="F741">
        <v>28</v>
      </c>
      <c r="G741" t="s">
        <v>24</v>
      </c>
      <c r="I741" t="s">
        <v>30</v>
      </c>
      <c r="J741" s="1">
        <v>45753</v>
      </c>
      <c r="K741" t="s">
        <v>34</v>
      </c>
      <c r="L741" t="s">
        <v>37</v>
      </c>
      <c r="M741" t="s">
        <v>38</v>
      </c>
      <c r="N741">
        <v>4</v>
      </c>
      <c r="O741">
        <v>0.70833333333333337</v>
      </c>
      <c r="P741">
        <v>83</v>
      </c>
      <c r="Q741" t="s">
        <v>40</v>
      </c>
      <c r="R741" t="s">
        <v>40</v>
      </c>
      <c r="T741" t="s">
        <v>40</v>
      </c>
      <c r="U741" s="1">
        <v>45838</v>
      </c>
    </row>
    <row r="742" spans="1:21" x14ac:dyDescent="0.3">
      <c r="A742">
        <v>736</v>
      </c>
      <c r="B742">
        <v>246</v>
      </c>
      <c r="C742">
        <v>1</v>
      </c>
      <c r="D742" t="s">
        <v>19</v>
      </c>
      <c r="E742" t="s">
        <v>22</v>
      </c>
      <c r="F742">
        <v>33</v>
      </c>
      <c r="G742" t="s">
        <v>25</v>
      </c>
      <c r="I742" t="s">
        <v>31</v>
      </c>
      <c r="J742" s="1">
        <v>45679</v>
      </c>
      <c r="K742" t="s">
        <v>34</v>
      </c>
      <c r="L742" t="s">
        <v>35</v>
      </c>
      <c r="M742" t="s">
        <v>38</v>
      </c>
      <c r="N742">
        <v>4</v>
      </c>
      <c r="O742">
        <v>0.83333333333333337</v>
      </c>
      <c r="P742">
        <v>51</v>
      </c>
      <c r="Q742" t="s">
        <v>39</v>
      </c>
      <c r="R742" t="s">
        <v>39</v>
      </c>
      <c r="T742" t="s">
        <v>39</v>
      </c>
      <c r="U742" s="1">
        <v>45838</v>
      </c>
    </row>
    <row r="743" spans="1:21" x14ac:dyDescent="0.3">
      <c r="A743">
        <v>737</v>
      </c>
      <c r="B743">
        <v>246</v>
      </c>
      <c r="C743">
        <v>2</v>
      </c>
      <c r="D743" t="s">
        <v>20</v>
      </c>
      <c r="E743" t="s">
        <v>22</v>
      </c>
      <c r="F743">
        <v>33</v>
      </c>
      <c r="G743" t="s">
        <v>25</v>
      </c>
      <c r="I743" t="s">
        <v>31</v>
      </c>
      <c r="J743" s="1">
        <v>45679</v>
      </c>
      <c r="K743" t="s">
        <v>34</v>
      </c>
      <c r="L743" t="s">
        <v>36</v>
      </c>
      <c r="M743" t="s">
        <v>38</v>
      </c>
      <c r="N743">
        <v>4</v>
      </c>
      <c r="O743">
        <v>0.83333333333333337</v>
      </c>
      <c r="P743">
        <v>62</v>
      </c>
      <c r="Q743" t="s">
        <v>39</v>
      </c>
      <c r="R743" t="s">
        <v>39</v>
      </c>
      <c r="T743" t="s">
        <v>39</v>
      </c>
      <c r="U743" s="1">
        <v>45838</v>
      </c>
    </row>
    <row r="744" spans="1:21" x14ac:dyDescent="0.3">
      <c r="A744">
        <v>738</v>
      </c>
      <c r="B744">
        <v>246</v>
      </c>
      <c r="C744">
        <v>3</v>
      </c>
      <c r="D744" t="s">
        <v>19</v>
      </c>
      <c r="E744" t="s">
        <v>22</v>
      </c>
      <c r="F744">
        <v>33</v>
      </c>
      <c r="G744" t="s">
        <v>25</v>
      </c>
      <c r="I744" t="s">
        <v>31</v>
      </c>
      <c r="J744" s="1">
        <v>45679</v>
      </c>
      <c r="K744" t="s">
        <v>34</v>
      </c>
      <c r="L744" t="s">
        <v>37</v>
      </c>
      <c r="M744" t="s">
        <v>38</v>
      </c>
      <c r="N744">
        <v>4</v>
      </c>
      <c r="O744">
        <v>0.83333333333333337</v>
      </c>
      <c r="P744">
        <v>85.5</v>
      </c>
      <c r="Q744" t="s">
        <v>39</v>
      </c>
      <c r="R744" t="s">
        <v>39</v>
      </c>
      <c r="T744" t="s">
        <v>39</v>
      </c>
      <c r="U744" s="1">
        <v>45838</v>
      </c>
    </row>
    <row r="745" spans="1:21" x14ac:dyDescent="0.3">
      <c r="A745">
        <v>739</v>
      </c>
      <c r="B745">
        <v>247</v>
      </c>
      <c r="C745">
        <v>1</v>
      </c>
      <c r="D745" t="s">
        <v>19</v>
      </c>
      <c r="E745" t="s">
        <v>22</v>
      </c>
      <c r="F745">
        <v>31</v>
      </c>
      <c r="G745" t="s">
        <v>25</v>
      </c>
      <c r="I745" t="s">
        <v>30</v>
      </c>
      <c r="J745" s="1">
        <v>45691</v>
      </c>
      <c r="K745" t="s">
        <v>34</v>
      </c>
      <c r="L745" t="s">
        <v>35</v>
      </c>
      <c r="M745" t="s">
        <v>38</v>
      </c>
      <c r="N745">
        <v>4</v>
      </c>
      <c r="O745">
        <v>0.875</v>
      </c>
      <c r="P745">
        <v>57</v>
      </c>
      <c r="Q745" t="s">
        <v>39</v>
      </c>
      <c r="R745" t="s">
        <v>39</v>
      </c>
      <c r="T745" t="s">
        <v>40</v>
      </c>
      <c r="U745" s="1">
        <v>45838</v>
      </c>
    </row>
    <row r="746" spans="1:21" x14ac:dyDescent="0.3">
      <c r="A746">
        <v>740</v>
      </c>
      <c r="B746">
        <v>247</v>
      </c>
      <c r="C746">
        <v>2</v>
      </c>
      <c r="D746" t="s">
        <v>19</v>
      </c>
      <c r="E746" t="s">
        <v>22</v>
      </c>
      <c r="F746">
        <v>31</v>
      </c>
      <c r="G746" t="s">
        <v>25</v>
      </c>
      <c r="I746" t="s">
        <v>30</v>
      </c>
      <c r="J746" s="1">
        <v>45691</v>
      </c>
      <c r="K746" t="s">
        <v>34</v>
      </c>
      <c r="L746" t="s">
        <v>36</v>
      </c>
      <c r="M746" t="s">
        <v>38</v>
      </c>
      <c r="N746">
        <v>4</v>
      </c>
      <c r="O746">
        <v>0.72916666666666663</v>
      </c>
      <c r="P746">
        <v>46.5</v>
      </c>
      <c r="Q746" t="s">
        <v>39</v>
      </c>
      <c r="R746" t="s">
        <v>39</v>
      </c>
      <c r="T746" t="s">
        <v>40</v>
      </c>
      <c r="U746" s="1">
        <v>45838</v>
      </c>
    </row>
    <row r="747" spans="1:21" x14ac:dyDescent="0.3">
      <c r="A747">
        <v>741</v>
      </c>
      <c r="B747">
        <v>247</v>
      </c>
      <c r="C747">
        <v>3</v>
      </c>
      <c r="D747" t="s">
        <v>20</v>
      </c>
      <c r="E747" t="s">
        <v>22</v>
      </c>
      <c r="F747">
        <v>31</v>
      </c>
      <c r="G747" t="s">
        <v>25</v>
      </c>
      <c r="I747" t="s">
        <v>30</v>
      </c>
      <c r="J747" s="1">
        <v>45691</v>
      </c>
      <c r="K747" t="s">
        <v>34</v>
      </c>
      <c r="L747" t="s">
        <v>37</v>
      </c>
      <c r="M747" t="s">
        <v>38</v>
      </c>
      <c r="N747">
        <v>4</v>
      </c>
      <c r="O747">
        <v>0.6875</v>
      </c>
      <c r="P747">
        <v>63.5</v>
      </c>
      <c r="Q747" t="s">
        <v>39</v>
      </c>
      <c r="R747" t="s">
        <v>39</v>
      </c>
      <c r="T747" t="s">
        <v>40</v>
      </c>
      <c r="U747" s="1">
        <v>45838</v>
      </c>
    </row>
    <row r="748" spans="1:21" x14ac:dyDescent="0.3">
      <c r="A748">
        <v>742</v>
      </c>
      <c r="B748">
        <v>248</v>
      </c>
      <c r="C748">
        <v>1</v>
      </c>
      <c r="D748" t="s">
        <v>19</v>
      </c>
      <c r="E748" t="s">
        <v>22</v>
      </c>
      <c r="F748">
        <v>35</v>
      </c>
      <c r="G748" t="s">
        <v>26</v>
      </c>
      <c r="I748" t="s">
        <v>30</v>
      </c>
      <c r="J748" s="1">
        <v>45689</v>
      </c>
      <c r="K748" t="s">
        <v>34</v>
      </c>
      <c r="L748" t="s">
        <v>35</v>
      </c>
      <c r="M748" t="s">
        <v>38</v>
      </c>
      <c r="N748">
        <v>4</v>
      </c>
      <c r="O748">
        <v>0.85416666666666663</v>
      </c>
      <c r="P748">
        <v>71</v>
      </c>
      <c r="Q748" t="s">
        <v>39</v>
      </c>
      <c r="R748" t="s">
        <v>40</v>
      </c>
      <c r="T748" t="s">
        <v>40</v>
      </c>
      <c r="U748" s="1">
        <v>45838</v>
      </c>
    </row>
    <row r="749" spans="1:21" x14ac:dyDescent="0.3">
      <c r="A749">
        <v>743</v>
      </c>
      <c r="B749">
        <v>248</v>
      </c>
      <c r="C749">
        <v>2</v>
      </c>
      <c r="D749" t="s">
        <v>20</v>
      </c>
      <c r="E749" t="s">
        <v>22</v>
      </c>
      <c r="F749">
        <v>35</v>
      </c>
      <c r="G749" t="s">
        <v>26</v>
      </c>
      <c r="I749" t="s">
        <v>30</v>
      </c>
      <c r="J749" s="1">
        <v>45689</v>
      </c>
      <c r="K749" t="s">
        <v>34</v>
      </c>
      <c r="L749" t="s">
        <v>36</v>
      </c>
      <c r="M749" t="s">
        <v>38</v>
      </c>
      <c r="N749">
        <v>4</v>
      </c>
      <c r="O749">
        <v>0.85416666666666663</v>
      </c>
      <c r="P749">
        <v>95</v>
      </c>
      <c r="Q749" t="s">
        <v>39</v>
      </c>
      <c r="R749" t="s">
        <v>40</v>
      </c>
      <c r="T749" t="s">
        <v>40</v>
      </c>
      <c r="U749" s="1">
        <v>45838</v>
      </c>
    </row>
    <row r="750" spans="1:21" x14ac:dyDescent="0.3">
      <c r="A750">
        <v>744</v>
      </c>
      <c r="B750">
        <v>248</v>
      </c>
      <c r="C750">
        <v>3</v>
      </c>
      <c r="D750" t="s">
        <v>19</v>
      </c>
      <c r="E750" t="s">
        <v>22</v>
      </c>
      <c r="F750">
        <v>35</v>
      </c>
      <c r="G750" t="s">
        <v>26</v>
      </c>
      <c r="I750" t="s">
        <v>30</v>
      </c>
      <c r="J750" s="1">
        <v>45689</v>
      </c>
      <c r="K750" t="s">
        <v>34</v>
      </c>
      <c r="L750" t="s">
        <v>37</v>
      </c>
      <c r="M750" t="s">
        <v>38</v>
      </c>
      <c r="N750">
        <v>4</v>
      </c>
      <c r="O750">
        <v>0.79166666666666663</v>
      </c>
      <c r="P750">
        <v>50</v>
      </c>
      <c r="Q750" t="s">
        <v>39</v>
      </c>
      <c r="R750" t="s">
        <v>40</v>
      </c>
      <c r="T750" t="s">
        <v>40</v>
      </c>
      <c r="U750" s="1">
        <v>45838</v>
      </c>
    </row>
    <row r="751" spans="1:21" x14ac:dyDescent="0.3">
      <c r="A751">
        <v>745</v>
      </c>
      <c r="B751">
        <v>249</v>
      </c>
      <c r="C751">
        <v>1</v>
      </c>
      <c r="D751" t="s">
        <v>19</v>
      </c>
      <c r="E751" t="s">
        <v>23</v>
      </c>
      <c r="F751">
        <v>29</v>
      </c>
      <c r="G751" t="s">
        <v>24</v>
      </c>
      <c r="I751" t="s">
        <v>33</v>
      </c>
      <c r="J751" s="1">
        <v>45671</v>
      </c>
      <c r="K751" t="s">
        <v>34</v>
      </c>
      <c r="L751" t="s">
        <v>35</v>
      </c>
      <c r="M751" t="s">
        <v>38</v>
      </c>
      <c r="N751">
        <v>4</v>
      </c>
      <c r="O751">
        <v>0.8125</v>
      </c>
      <c r="P751">
        <v>51</v>
      </c>
      <c r="Q751" t="s">
        <v>39</v>
      </c>
      <c r="R751" t="s">
        <v>39</v>
      </c>
      <c r="T751" t="s">
        <v>39</v>
      </c>
      <c r="U751" s="1">
        <v>45838</v>
      </c>
    </row>
    <row r="752" spans="1:21" x14ac:dyDescent="0.3">
      <c r="A752">
        <v>746</v>
      </c>
      <c r="B752">
        <v>249</v>
      </c>
      <c r="C752">
        <v>2</v>
      </c>
      <c r="D752" t="s">
        <v>21</v>
      </c>
      <c r="E752" t="s">
        <v>23</v>
      </c>
      <c r="F752">
        <v>29</v>
      </c>
      <c r="G752" t="s">
        <v>24</v>
      </c>
      <c r="I752" t="s">
        <v>33</v>
      </c>
      <c r="J752" s="1">
        <v>45671</v>
      </c>
      <c r="K752" t="s">
        <v>34</v>
      </c>
      <c r="L752" t="s">
        <v>36</v>
      </c>
      <c r="M752" t="s">
        <v>38</v>
      </c>
      <c r="N752">
        <v>4</v>
      </c>
      <c r="O752">
        <v>0.79166666666666663</v>
      </c>
      <c r="P752">
        <v>86.5</v>
      </c>
      <c r="Q752" t="s">
        <v>39</v>
      </c>
      <c r="R752" t="s">
        <v>39</v>
      </c>
      <c r="T752" t="s">
        <v>39</v>
      </c>
      <c r="U752" s="1">
        <v>45838</v>
      </c>
    </row>
    <row r="753" spans="1:21" x14ac:dyDescent="0.3">
      <c r="A753">
        <v>747</v>
      </c>
      <c r="B753">
        <v>249</v>
      </c>
      <c r="C753">
        <v>3</v>
      </c>
      <c r="D753" t="s">
        <v>21</v>
      </c>
      <c r="E753" t="s">
        <v>23</v>
      </c>
      <c r="F753">
        <v>29</v>
      </c>
      <c r="G753" t="s">
        <v>24</v>
      </c>
      <c r="I753" t="s">
        <v>33</v>
      </c>
      <c r="J753" s="1">
        <v>45671</v>
      </c>
      <c r="K753" t="s">
        <v>34</v>
      </c>
      <c r="L753" t="s">
        <v>37</v>
      </c>
      <c r="M753" t="s">
        <v>38</v>
      </c>
      <c r="N753">
        <v>4</v>
      </c>
      <c r="O753">
        <v>0.72916666666666663</v>
      </c>
      <c r="P753">
        <v>64.5</v>
      </c>
      <c r="Q753" t="s">
        <v>39</v>
      </c>
      <c r="R753" t="s">
        <v>39</v>
      </c>
      <c r="T753" t="s">
        <v>39</v>
      </c>
      <c r="U753" s="1">
        <v>45838</v>
      </c>
    </row>
    <row r="754" spans="1:21" x14ac:dyDescent="0.3">
      <c r="A754">
        <v>748</v>
      </c>
      <c r="B754">
        <v>250</v>
      </c>
      <c r="C754">
        <v>1</v>
      </c>
      <c r="D754" t="s">
        <v>21</v>
      </c>
      <c r="E754" t="s">
        <v>23</v>
      </c>
      <c r="F754">
        <v>27</v>
      </c>
      <c r="G754" t="s">
        <v>29</v>
      </c>
      <c r="I754" t="s">
        <v>31</v>
      </c>
      <c r="J754" s="1">
        <v>45805</v>
      </c>
      <c r="K754" t="s">
        <v>34</v>
      </c>
      <c r="L754" t="s">
        <v>35</v>
      </c>
      <c r="M754" t="s">
        <v>38</v>
      </c>
      <c r="N754">
        <v>4</v>
      </c>
      <c r="O754">
        <v>0.72916666666666663</v>
      </c>
      <c r="P754">
        <v>59.5</v>
      </c>
      <c r="Q754" t="s">
        <v>39</v>
      </c>
      <c r="R754" t="s">
        <v>39</v>
      </c>
      <c r="T754" t="s">
        <v>39</v>
      </c>
      <c r="U754" s="1">
        <v>45838</v>
      </c>
    </row>
    <row r="755" spans="1:21" x14ac:dyDescent="0.3">
      <c r="A755">
        <v>749</v>
      </c>
      <c r="B755">
        <v>250</v>
      </c>
      <c r="C755">
        <v>2</v>
      </c>
      <c r="D755" t="s">
        <v>19</v>
      </c>
      <c r="E755" t="s">
        <v>23</v>
      </c>
      <c r="F755">
        <v>27</v>
      </c>
      <c r="G755" t="s">
        <v>29</v>
      </c>
      <c r="I755" t="s">
        <v>31</v>
      </c>
      <c r="J755" s="1">
        <v>45805</v>
      </c>
      <c r="K755" t="s">
        <v>34</v>
      </c>
      <c r="L755" t="s">
        <v>36</v>
      </c>
      <c r="M755" t="s">
        <v>38</v>
      </c>
      <c r="N755">
        <v>4</v>
      </c>
      <c r="O755">
        <v>0.79166666666666663</v>
      </c>
      <c r="P755">
        <v>64</v>
      </c>
      <c r="Q755" t="s">
        <v>39</v>
      </c>
      <c r="R755" t="s">
        <v>39</v>
      </c>
      <c r="T755" t="s">
        <v>39</v>
      </c>
      <c r="U755" s="1">
        <v>45838</v>
      </c>
    </row>
    <row r="756" spans="1:21" x14ac:dyDescent="0.3">
      <c r="A756">
        <v>750</v>
      </c>
      <c r="B756">
        <v>250</v>
      </c>
      <c r="C756">
        <v>3</v>
      </c>
      <c r="D756" t="s">
        <v>19</v>
      </c>
      <c r="E756" t="s">
        <v>23</v>
      </c>
      <c r="F756">
        <v>27</v>
      </c>
      <c r="G756" t="s">
        <v>29</v>
      </c>
      <c r="I756" t="s">
        <v>31</v>
      </c>
      <c r="J756" s="1">
        <v>45805</v>
      </c>
      <c r="K756" t="s">
        <v>34</v>
      </c>
      <c r="L756" t="s">
        <v>37</v>
      </c>
      <c r="M756" t="s">
        <v>38</v>
      </c>
      <c r="N756">
        <v>4</v>
      </c>
      <c r="O756">
        <v>0.875</v>
      </c>
      <c r="P756">
        <v>74.5</v>
      </c>
      <c r="Q756" t="s">
        <v>39</v>
      </c>
      <c r="R756" t="s">
        <v>39</v>
      </c>
      <c r="T756" t="s">
        <v>39</v>
      </c>
      <c r="U756" s="1">
        <v>45838</v>
      </c>
    </row>
    <row r="757" spans="1:21" x14ac:dyDescent="0.3">
      <c r="A757">
        <v>751</v>
      </c>
      <c r="B757">
        <v>251</v>
      </c>
      <c r="C757">
        <v>1</v>
      </c>
      <c r="D757" t="s">
        <v>19</v>
      </c>
      <c r="E757" t="s">
        <v>22</v>
      </c>
      <c r="F757">
        <v>22</v>
      </c>
      <c r="G757" t="s">
        <v>24</v>
      </c>
      <c r="I757" t="s">
        <v>33</v>
      </c>
      <c r="J757" s="1">
        <v>45715</v>
      </c>
      <c r="K757" t="s">
        <v>34</v>
      </c>
      <c r="L757" t="s">
        <v>35</v>
      </c>
      <c r="M757" t="s">
        <v>38</v>
      </c>
      <c r="N757">
        <v>4</v>
      </c>
      <c r="O757">
        <v>0.89583333333333337</v>
      </c>
      <c r="P757">
        <v>77</v>
      </c>
      <c r="Q757" t="s">
        <v>39</v>
      </c>
      <c r="R757" t="s">
        <v>39</v>
      </c>
      <c r="T757" t="s">
        <v>39</v>
      </c>
      <c r="U757" s="1">
        <v>45838</v>
      </c>
    </row>
    <row r="758" spans="1:21" x14ac:dyDescent="0.3">
      <c r="A758">
        <v>752</v>
      </c>
      <c r="B758">
        <v>251</v>
      </c>
      <c r="C758">
        <v>2</v>
      </c>
      <c r="D758" t="s">
        <v>19</v>
      </c>
      <c r="E758" t="s">
        <v>22</v>
      </c>
      <c r="F758">
        <v>22</v>
      </c>
      <c r="G758" t="s">
        <v>24</v>
      </c>
      <c r="I758" t="s">
        <v>33</v>
      </c>
      <c r="J758" s="1">
        <v>45715</v>
      </c>
      <c r="K758" t="s">
        <v>34</v>
      </c>
      <c r="L758" t="s">
        <v>36</v>
      </c>
      <c r="M758" t="s">
        <v>38</v>
      </c>
      <c r="N758">
        <v>4</v>
      </c>
      <c r="O758">
        <v>0.72916666666666663</v>
      </c>
      <c r="P758">
        <v>70</v>
      </c>
      <c r="Q758" t="s">
        <v>39</v>
      </c>
      <c r="R758" t="s">
        <v>39</v>
      </c>
      <c r="T758" t="s">
        <v>39</v>
      </c>
      <c r="U758" s="1">
        <v>45838</v>
      </c>
    </row>
    <row r="759" spans="1:21" x14ac:dyDescent="0.3">
      <c r="A759">
        <v>753</v>
      </c>
      <c r="B759">
        <v>251</v>
      </c>
      <c r="C759">
        <v>3</v>
      </c>
      <c r="D759" t="s">
        <v>19</v>
      </c>
      <c r="E759" t="s">
        <v>22</v>
      </c>
      <c r="F759">
        <v>22</v>
      </c>
      <c r="G759" t="s">
        <v>24</v>
      </c>
      <c r="I759" t="s">
        <v>33</v>
      </c>
      <c r="J759" s="1">
        <v>45715</v>
      </c>
      <c r="K759" t="s">
        <v>34</v>
      </c>
      <c r="L759" t="s">
        <v>37</v>
      </c>
      <c r="M759" t="s">
        <v>38</v>
      </c>
      <c r="N759">
        <v>4</v>
      </c>
      <c r="O759">
        <v>0.77083333333333337</v>
      </c>
      <c r="P759">
        <v>55</v>
      </c>
      <c r="Q759" t="s">
        <v>39</v>
      </c>
      <c r="R759" t="s">
        <v>39</v>
      </c>
      <c r="T759" t="s">
        <v>39</v>
      </c>
      <c r="U759" s="1">
        <v>45838</v>
      </c>
    </row>
    <row r="760" spans="1:21" x14ac:dyDescent="0.3">
      <c r="A760">
        <v>754</v>
      </c>
      <c r="B760">
        <v>252</v>
      </c>
      <c r="C760">
        <v>1</v>
      </c>
      <c r="D760" t="s">
        <v>19</v>
      </c>
      <c r="E760" t="s">
        <v>22</v>
      </c>
      <c r="F760">
        <v>29</v>
      </c>
      <c r="G760" t="s">
        <v>26</v>
      </c>
      <c r="I760" t="s">
        <v>30</v>
      </c>
      <c r="J760" s="1">
        <v>45687</v>
      </c>
      <c r="K760" t="s">
        <v>34</v>
      </c>
      <c r="L760" t="s">
        <v>35</v>
      </c>
      <c r="M760" t="s">
        <v>38</v>
      </c>
      <c r="N760">
        <v>4</v>
      </c>
      <c r="O760">
        <v>0.83333333333333337</v>
      </c>
      <c r="P760">
        <v>61</v>
      </c>
      <c r="Q760" t="s">
        <v>39</v>
      </c>
      <c r="R760" t="s">
        <v>40</v>
      </c>
      <c r="T760" t="s">
        <v>40</v>
      </c>
      <c r="U760" s="1">
        <v>45838</v>
      </c>
    </row>
    <row r="761" spans="1:21" x14ac:dyDescent="0.3">
      <c r="A761">
        <v>755</v>
      </c>
      <c r="B761">
        <v>252</v>
      </c>
      <c r="C761">
        <v>2</v>
      </c>
      <c r="D761" t="s">
        <v>19</v>
      </c>
      <c r="E761" t="s">
        <v>22</v>
      </c>
      <c r="F761">
        <v>29</v>
      </c>
      <c r="G761" t="s">
        <v>26</v>
      </c>
      <c r="I761" t="s">
        <v>30</v>
      </c>
      <c r="J761" s="1">
        <v>45687</v>
      </c>
      <c r="K761" t="s">
        <v>34</v>
      </c>
      <c r="L761" t="s">
        <v>36</v>
      </c>
      <c r="M761" t="s">
        <v>38</v>
      </c>
      <c r="N761">
        <v>4</v>
      </c>
      <c r="O761">
        <v>0.83333333333333337</v>
      </c>
      <c r="P761">
        <v>51</v>
      </c>
      <c r="Q761" t="s">
        <v>39</v>
      </c>
      <c r="R761" t="s">
        <v>40</v>
      </c>
      <c r="T761" t="s">
        <v>40</v>
      </c>
      <c r="U761" s="1">
        <v>45838</v>
      </c>
    </row>
    <row r="762" spans="1:21" x14ac:dyDescent="0.3">
      <c r="A762">
        <v>756</v>
      </c>
      <c r="B762">
        <v>252</v>
      </c>
      <c r="C762">
        <v>3</v>
      </c>
      <c r="D762" t="s">
        <v>19</v>
      </c>
      <c r="E762" t="s">
        <v>22</v>
      </c>
      <c r="F762">
        <v>29</v>
      </c>
      <c r="G762" t="s">
        <v>26</v>
      </c>
      <c r="I762" t="s">
        <v>30</v>
      </c>
      <c r="J762" s="1">
        <v>45687</v>
      </c>
      <c r="K762" t="s">
        <v>34</v>
      </c>
      <c r="L762" t="s">
        <v>37</v>
      </c>
      <c r="M762" t="s">
        <v>38</v>
      </c>
      <c r="N762">
        <v>4</v>
      </c>
      <c r="O762">
        <v>0.875</v>
      </c>
      <c r="P762">
        <v>66</v>
      </c>
      <c r="Q762" t="s">
        <v>39</v>
      </c>
      <c r="R762" t="s">
        <v>40</v>
      </c>
      <c r="T762" t="s">
        <v>40</v>
      </c>
      <c r="U762" s="1">
        <v>45838</v>
      </c>
    </row>
    <row r="763" spans="1:21" x14ac:dyDescent="0.3">
      <c r="A763">
        <v>757</v>
      </c>
      <c r="B763">
        <v>253</v>
      </c>
      <c r="C763">
        <v>1</v>
      </c>
      <c r="D763" t="s">
        <v>19</v>
      </c>
      <c r="E763" t="s">
        <v>23</v>
      </c>
      <c r="F763">
        <v>25</v>
      </c>
      <c r="G763" t="s">
        <v>27</v>
      </c>
      <c r="I763" t="s">
        <v>31</v>
      </c>
      <c r="J763" s="1">
        <v>45726</v>
      </c>
      <c r="K763" t="s">
        <v>34</v>
      </c>
      <c r="L763" t="s">
        <v>35</v>
      </c>
      <c r="M763" t="s">
        <v>38</v>
      </c>
      <c r="N763">
        <v>4</v>
      </c>
      <c r="O763">
        <v>0.83333333333333337</v>
      </c>
      <c r="P763">
        <v>74.5</v>
      </c>
      <c r="Q763" t="s">
        <v>39</v>
      </c>
      <c r="R763" t="s">
        <v>40</v>
      </c>
      <c r="T763" t="s">
        <v>40</v>
      </c>
      <c r="U763" s="1">
        <v>45838</v>
      </c>
    </row>
    <row r="764" spans="1:21" x14ac:dyDescent="0.3">
      <c r="A764">
        <v>758</v>
      </c>
      <c r="B764">
        <v>253</v>
      </c>
      <c r="C764">
        <v>2</v>
      </c>
      <c r="D764" t="s">
        <v>21</v>
      </c>
      <c r="E764" t="s">
        <v>23</v>
      </c>
      <c r="F764">
        <v>25</v>
      </c>
      <c r="G764" t="s">
        <v>27</v>
      </c>
      <c r="I764" t="s">
        <v>31</v>
      </c>
      <c r="J764" s="1">
        <v>45726</v>
      </c>
      <c r="K764" t="s">
        <v>34</v>
      </c>
      <c r="L764" t="s">
        <v>36</v>
      </c>
      <c r="M764" t="s">
        <v>38</v>
      </c>
      <c r="N764">
        <v>4</v>
      </c>
      <c r="O764">
        <v>0.77083333333333337</v>
      </c>
      <c r="P764">
        <v>70</v>
      </c>
      <c r="Q764" t="s">
        <v>39</v>
      </c>
      <c r="R764" t="s">
        <v>40</v>
      </c>
      <c r="T764" t="s">
        <v>40</v>
      </c>
      <c r="U764" s="1">
        <v>45838</v>
      </c>
    </row>
    <row r="765" spans="1:21" x14ac:dyDescent="0.3">
      <c r="A765">
        <v>759</v>
      </c>
      <c r="B765">
        <v>253</v>
      </c>
      <c r="C765">
        <v>3</v>
      </c>
      <c r="D765" t="s">
        <v>19</v>
      </c>
      <c r="E765" t="s">
        <v>23</v>
      </c>
      <c r="F765">
        <v>25</v>
      </c>
      <c r="G765" t="s">
        <v>27</v>
      </c>
      <c r="I765" t="s">
        <v>31</v>
      </c>
      <c r="J765" s="1">
        <v>45726</v>
      </c>
      <c r="K765" t="s">
        <v>34</v>
      </c>
      <c r="L765" t="s">
        <v>37</v>
      </c>
      <c r="M765" t="s">
        <v>38</v>
      </c>
      <c r="N765">
        <v>4</v>
      </c>
      <c r="O765">
        <v>0.79166666666666663</v>
      </c>
      <c r="P765">
        <v>80.5</v>
      </c>
      <c r="Q765" t="s">
        <v>39</v>
      </c>
      <c r="R765" t="s">
        <v>40</v>
      </c>
      <c r="T765" t="s">
        <v>40</v>
      </c>
      <c r="U765" s="1">
        <v>45838</v>
      </c>
    </row>
    <row r="766" spans="1:21" x14ac:dyDescent="0.3">
      <c r="A766">
        <v>760</v>
      </c>
      <c r="B766">
        <v>254</v>
      </c>
      <c r="C766">
        <v>1</v>
      </c>
      <c r="D766" t="s">
        <v>19</v>
      </c>
      <c r="E766" t="s">
        <v>22</v>
      </c>
      <c r="F766">
        <v>23</v>
      </c>
      <c r="G766" t="s">
        <v>29</v>
      </c>
      <c r="I766" t="s">
        <v>30</v>
      </c>
      <c r="J766" s="1">
        <v>45744</v>
      </c>
      <c r="K766" t="s">
        <v>34</v>
      </c>
      <c r="L766" t="s">
        <v>35</v>
      </c>
      <c r="M766" t="s">
        <v>38</v>
      </c>
      <c r="N766">
        <v>4</v>
      </c>
      <c r="O766">
        <v>0.75</v>
      </c>
      <c r="P766">
        <v>73</v>
      </c>
      <c r="Q766" t="s">
        <v>39</v>
      </c>
      <c r="R766" t="s">
        <v>40</v>
      </c>
      <c r="T766" t="s">
        <v>39</v>
      </c>
      <c r="U766" s="1">
        <v>45838</v>
      </c>
    </row>
    <row r="767" spans="1:21" x14ac:dyDescent="0.3">
      <c r="A767">
        <v>761</v>
      </c>
      <c r="B767">
        <v>254</v>
      </c>
      <c r="C767">
        <v>2</v>
      </c>
      <c r="D767" t="s">
        <v>19</v>
      </c>
      <c r="E767" t="s">
        <v>22</v>
      </c>
      <c r="F767">
        <v>23</v>
      </c>
      <c r="G767" t="s">
        <v>29</v>
      </c>
      <c r="I767" t="s">
        <v>30</v>
      </c>
      <c r="J767" s="1">
        <v>45744</v>
      </c>
      <c r="K767" t="s">
        <v>34</v>
      </c>
      <c r="L767" t="s">
        <v>36</v>
      </c>
      <c r="M767" t="s">
        <v>38</v>
      </c>
      <c r="N767">
        <v>4</v>
      </c>
      <c r="O767">
        <v>0.89583333333333337</v>
      </c>
      <c r="P767">
        <v>81.5</v>
      </c>
      <c r="Q767" t="s">
        <v>39</v>
      </c>
      <c r="R767" t="s">
        <v>40</v>
      </c>
      <c r="T767" t="s">
        <v>39</v>
      </c>
      <c r="U767" s="1">
        <v>45838</v>
      </c>
    </row>
    <row r="768" spans="1:21" x14ac:dyDescent="0.3">
      <c r="A768">
        <v>762</v>
      </c>
      <c r="B768">
        <v>254</v>
      </c>
      <c r="C768">
        <v>3</v>
      </c>
      <c r="D768" t="s">
        <v>19</v>
      </c>
      <c r="E768" t="s">
        <v>22</v>
      </c>
      <c r="F768">
        <v>23</v>
      </c>
      <c r="G768" t="s">
        <v>29</v>
      </c>
      <c r="I768" t="s">
        <v>30</v>
      </c>
      <c r="J768" s="1">
        <v>45744</v>
      </c>
      <c r="K768" t="s">
        <v>34</v>
      </c>
      <c r="L768" t="s">
        <v>37</v>
      </c>
      <c r="M768" t="s">
        <v>38</v>
      </c>
      <c r="N768">
        <v>4</v>
      </c>
      <c r="O768">
        <v>0.875</v>
      </c>
      <c r="P768">
        <v>81</v>
      </c>
      <c r="Q768" t="s">
        <v>39</v>
      </c>
      <c r="R768" t="s">
        <v>40</v>
      </c>
      <c r="T768" t="s">
        <v>39</v>
      </c>
      <c r="U768" s="1">
        <v>45838</v>
      </c>
    </row>
    <row r="769" spans="1:21" x14ac:dyDescent="0.3">
      <c r="A769">
        <v>763</v>
      </c>
      <c r="B769">
        <v>255</v>
      </c>
      <c r="C769">
        <v>1</v>
      </c>
      <c r="D769" t="s">
        <v>19</v>
      </c>
      <c r="E769" t="s">
        <v>23</v>
      </c>
      <c r="F769">
        <v>18</v>
      </c>
      <c r="G769" t="s">
        <v>28</v>
      </c>
      <c r="I769" t="s">
        <v>32</v>
      </c>
      <c r="J769" s="1">
        <v>45802</v>
      </c>
      <c r="K769" t="s">
        <v>34</v>
      </c>
      <c r="L769" t="s">
        <v>35</v>
      </c>
      <c r="M769" t="s">
        <v>38</v>
      </c>
      <c r="N769">
        <v>4</v>
      </c>
      <c r="O769">
        <v>0.77083333333333337</v>
      </c>
      <c r="P769">
        <v>55.5</v>
      </c>
      <c r="Q769" t="s">
        <v>39</v>
      </c>
      <c r="R769" t="s">
        <v>39</v>
      </c>
      <c r="T769" t="s">
        <v>40</v>
      </c>
      <c r="U769" s="1">
        <v>45838</v>
      </c>
    </row>
    <row r="770" spans="1:21" x14ac:dyDescent="0.3">
      <c r="A770">
        <v>764</v>
      </c>
      <c r="B770">
        <v>255</v>
      </c>
      <c r="C770">
        <v>2</v>
      </c>
      <c r="D770" t="s">
        <v>21</v>
      </c>
      <c r="E770" t="s">
        <v>23</v>
      </c>
      <c r="F770">
        <v>18</v>
      </c>
      <c r="G770" t="s">
        <v>28</v>
      </c>
      <c r="I770" t="s">
        <v>32</v>
      </c>
      <c r="J770" s="1">
        <v>45802</v>
      </c>
      <c r="K770" t="s">
        <v>34</v>
      </c>
      <c r="L770" t="s">
        <v>36</v>
      </c>
      <c r="M770" t="s">
        <v>38</v>
      </c>
      <c r="N770">
        <v>4</v>
      </c>
      <c r="O770">
        <v>0.6875</v>
      </c>
      <c r="P770">
        <v>69</v>
      </c>
      <c r="Q770" t="s">
        <v>39</v>
      </c>
      <c r="R770" t="s">
        <v>39</v>
      </c>
      <c r="T770" t="s">
        <v>40</v>
      </c>
      <c r="U770" s="1">
        <v>45838</v>
      </c>
    </row>
    <row r="771" spans="1:21" x14ac:dyDescent="0.3">
      <c r="A771">
        <v>765</v>
      </c>
      <c r="B771">
        <v>255</v>
      </c>
      <c r="C771">
        <v>3</v>
      </c>
      <c r="D771" t="s">
        <v>19</v>
      </c>
      <c r="E771" t="s">
        <v>23</v>
      </c>
      <c r="F771">
        <v>18</v>
      </c>
      <c r="G771" t="s">
        <v>28</v>
      </c>
      <c r="I771" t="s">
        <v>32</v>
      </c>
      <c r="J771" s="1">
        <v>45802</v>
      </c>
      <c r="K771" t="s">
        <v>34</v>
      </c>
      <c r="L771" t="s">
        <v>37</v>
      </c>
      <c r="M771" t="s">
        <v>38</v>
      </c>
      <c r="N771">
        <v>4</v>
      </c>
      <c r="O771">
        <v>0.83333333333333337</v>
      </c>
      <c r="P771">
        <v>70.5</v>
      </c>
      <c r="Q771" t="s">
        <v>39</v>
      </c>
      <c r="R771" t="s">
        <v>39</v>
      </c>
      <c r="T771" t="s">
        <v>40</v>
      </c>
      <c r="U771" s="1">
        <v>45838</v>
      </c>
    </row>
    <row r="772" spans="1:21" x14ac:dyDescent="0.3">
      <c r="A772">
        <v>766</v>
      </c>
      <c r="B772">
        <v>256</v>
      </c>
      <c r="C772">
        <v>1</v>
      </c>
      <c r="D772" t="s">
        <v>19</v>
      </c>
      <c r="E772" t="s">
        <v>23</v>
      </c>
      <c r="F772">
        <v>20</v>
      </c>
      <c r="G772" t="s">
        <v>28</v>
      </c>
      <c r="I772" t="s">
        <v>31</v>
      </c>
      <c r="J772" s="1">
        <v>45681</v>
      </c>
      <c r="K772" t="s">
        <v>34</v>
      </c>
      <c r="L772" t="s">
        <v>35</v>
      </c>
      <c r="M772" t="s">
        <v>38</v>
      </c>
      <c r="N772">
        <v>4</v>
      </c>
      <c r="O772">
        <v>0.83333333333333337</v>
      </c>
      <c r="P772">
        <v>82.5</v>
      </c>
      <c r="Q772" t="s">
        <v>40</v>
      </c>
      <c r="R772" t="s">
        <v>40</v>
      </c>
      <c r="T772" t="s">
        <v>40</v>
      </c>
      <c r="U772" s="1">
        <v>45838</v>
      </c>
    </row>
    <row r="773" spans="1:21" x14ac:dyDescent="0.3">
      <c r="A773">
        <v>767</v>
      </c>
      <c r="B773">
        <v>256</v>
      </c>
      <c r="C773">
        <v>2</v>
      </c>
      <c r="D773" t="s">
        <v>21</v>
      </c>
      <c r="E773" t="s">
        <v>23</v>
      </c>
      <c r="F773">
        <v>20</v>
      </c>
      <c r="G773" t="s">
        <v>28</v>
      </c>
      <c r="I773" t="s">
        <v>31</v>
      </c>
      <c r="J773" s="1">
        <v>45681</v>
      </c>
      <c r="K773" t="s">
        <v>34</v>
      </c>
      <c r="L773" t="s">
        <v>36</v>
      </c>
      <c r="M773" t="s">
        <v>38</v>
      </c>
      <c r="N773">
        <v>4</v>
      </c>
      <c r="O773">
        <v>0.875</v>
      </c>
      <c r="P773">
        <v>60</v>
      </c>
      <c r="Q773" t="s">
        <v>40</v>
      </c>
      <c r="R773" t="s">
        <v>40</v>
      </c>
      <c r="T773" t="s">
        <v>40</v>
      </c>
      <c r="U773" s="1">
        <v>45838</v>
      </c>
    </row>
    <row r="774" spans="1:21" x14ac:dyDescent="0.3">
      <c r="A774">
        <v>768</v>
      </c>
      <c r="B774">
        <v>256</v>
      </c>
      <c r="C774">
        <v>3</v>
      </c>
      <c r="D774" t="s">
        <v>19</v>
      </c>
      <c r="E774" t="s">
        <v>23</v>
      </c>
      <c r="F774">
        <v>20</v>
      </c>
      <c r="G774" t="s">
        <v>28</v>
      </c>
      <c r="I774" t="s">
        <v>31</v>
      </c>
      <c r="J774" s="1">
        <v>45681</v>
      </c>
      <c r="K774" t="s">
        <v>34</v>
      </c>
      <c r="L774" t="s">
        <v>37</v>
      </c>
      <c r="M774" t="s">
        <v>38</v>
      </c>
      <c r="N774">
        <v>4</v>
      </c>
      <c r="O774">
        <v>0.83333333333333337</v>
      </c>
      <c r="P774">
        <v>48.5</v>
      </c>
      <c r="Q774" t="s">
        <v>40</v>
      </c>
      <c r="R774" t="s">
        <v>40</v>
      </c>
      <c r="T774" t="s">
        <v>40</v>
      </c>
      <c r="U774" s="1">
        <v>45838</v>
      </c>
    </row>
    <row r="775" spans="1:21" x14ac:dyDescent="0.3">
      <c r="A775">
        <v>769</v>
      </c>
      <c r="B775">
        <v>257</v>
      </c>
      <c r="C775">
        <v>1</v>
      </c>
      <c r="D775" t="s">
        <v>19</v>
      </c>
      <c r="E775" t="s">
        <v>22</v>
      </c>
      <c r="F775">
        <v>30</v>
      </c>
      <c r="G775" t="s">
        <v>27</v>
      </c>
      <c r="I775" t="s">
        <v>33</v>
      </c>
      <c r="J775" s="1">
        <v>45745</v>
      </c>
      <c r="K775" t="s">
        <v>34</v>
      </c>
      <c r="L775" t="s">
        <v>35</v>
      </c>
      <c r="M775" t="s">
        <v>38</v>
      </c>
      <c r="N775">
        <v>4</v>
      </c>
      <c r="O775">
        <v>0.8125</v>
      </c>
      <c r="P775">
        <v>73.5</v>
      </c>
      <c r="Q775" t="s">
        <v>39</v>
      </c>
      <c r="R775" t="s">
        <v>40</v>
      </c>
      <c r="T775" t="s">
        <v>40</v>
      </c>
      <c r="U775" s="1">
        <v>45838</v>
      </c>
    </row>
    <row r="776" spans="1:21" x14ac:dyDescent="0.3">
      <c r="A776">
        <v>770</v>
      </c>
      <c r="B776">
        <v>257</v>
      </c>
      <c r="C776">
        <v>2</v>
      </c>
      <c r="D776" t="s">
        <v>21</v>
      </c>
      <c r="E776" t="s">
        <v>22</v>
      </c>
      <c r="F776">
        <v>30</v>
      </c>
      <c r="G776" t="s">
        <v>27</v>
      </c>
      <c r="I776" t="s">
        <v>33</v>
      </c>
      <c r="J776" s="1">
        <v>45745</v>
      </c>
      <c r="K776" t="s">
        <v>34</v>
      </c>
      <c r="L776" t="s">
        <v>36</v>
      </c>
      <c r="M776" t="s">
        <v>38</v>
      </c>
      <c r="N776">
        <v>4</v>
      </c>
      <c r="O776">
        <v>0.79166666666666663</v>
      </c>
      <c r="P776">
        <v>69.5</v>
      </c>
      <c r="Q776" t="s">
        <v>39</v>
      </c>
      <c r="R776" t="s">
        <v>40</v>
      </c>
      <c r="T776" t="s">
        <v>40</v>
      </c>
      <c r="U776" s="1">
        <v>45838</v>
      </c>
    </row>
    <row r="777" spans="1:21" x14ac:dyDescent="0.3">
      <c r="A777">
        <v>771</v>
      </c>
      <c r="B777">
        <v>257</v>
      </c>
      <c r="C777">
        <v>3</v>
      </c>
      <c r="D777" t="s">
        <v>19</v>
      </c>
      <c r="E777" t="s">
        <v>22</v>
      </c>
      <c r="F777">
        <v>30</v>
      </c>
      <c r="G777" t="s">
        <v>27</v>
      </c>
      <c r="I777" t="s">
        <v>33</v>
      </c>
      <c r="J777" s="1">
        <v>45745</v>
      </c>
      <c r="K777" t="s">
        <v>34</v>
      </c>
      <c r="L777" t="s">
        <v>37</v>
      </c>
      <c r="M777" t="s">
        <v>38</v>
      </c>
      <c r="N777">
        <v>4</v>
      </c>
      <c r="O777">
        <v>0.79166666666666663</v>
      </c>
      <c r="P777">
        <v>68.5</v>
      </c>
      <c r="Q777" t="s">
        <v>39</v>
      </c>
      <c r="R777" t="s">
        <v>40</v>
      </c>
      <c r="T777" t="s">
        <v>40</v>
      </c>
      <c r="U777" s="1">
        <v>45838</v>
      </c>
    </row>
    <row r="778" spans="1:21" x14ac:dyDescent="0.3">
      <c r="A778">
        <v>772</v>
      </c>
      <c r="B778">
        <v>258</v>
      </c>
      <c r="C778">
        <v>1</v>
      </c>
      <c r="D778" t="s">
        <v>19</v>
      </c>
      <c r="E778" t="s">
        <v>22</v>
      </c>
      <c r="F778">
        <v>29</v>
      </c>
      <c r="G778" t="s">
        <v>29</v>
      </c>
      <c r="I778" t="s">
        <v>30</v>
      </c>
      <c r="J778" s="1">
        <v>45803</v>
      </c>
      <c r="K778" t="s">
        <v>34</v>
      </c>
      <c r="L778" t="s">
        <v>35</v>
      </c>
      <c r="M778" t="s">
        <v>38</v>
      </c>
      <c r="N778">
        <v>4</v>
      </c>
      <c r="O778">
        <v>0.79166666666666663</v>
      </c>
      <c r="P778">
        <v>59</v>
      </c>
      <c r="Q778" t="s">
        <v>40</v>
      </c>
      <c r="R778" t="s">
        <v>40</v>
      </c>
      <c r="T778" t="s">
        <v>40</v>
      </c>
      <c r="U778" s="1">
        <v>45838</v>
      </c>
    </row>
    <row r="779" spans="1:21" x14ac:dyDescent="0.3">
      <c r="A779">
        <v>773</v>
      </c>
      <c r="B779">
        <v>258</v>
      </c>
      <c r="C779">
        <v>2</v>
      </c>
      <c r="D779" t="s">
        <v>20</v>
      </c>
      <c r="E779" t="s">
        <v>22</v>
      </c>
      <c r="F779">
        <v>29</v>
      </c>
      <c r="G779" t="s">
        <v>29</v>
      </c>
      <c r="I779" t="s">
        <v>30</v>
      </c>
      <c r="J779" s="1">
        <v>45803</v>
      </c>
      <c r="K779" t="s">
        <v>34</v>
      </c>
      <c r="L779" t="s">
        <v>36</v>
      </c>
      <c r="M779" t="s">
        <v>38</v>
      </c>
      <c r="N779">
        <v>4</v>
      </c>
      <c r="O779">
        <v>0.79166666666666663</v>
      </c>
      <c r="P779">
        <v>56</v>
      </c>
      <c r="Q779" t="s">
        <v>40</v>
      </c>
      <c r="R779" t="s">
        <v>40</v>
      </c>
      <c r="T779" t="s">
        <v>40</v>
      </c>
      <c r="U779" s="1">
        <v>45838</v>
      </c>
    </row>
    <row r="780" spans="1:21" x14ac:dyDescent="0.3">
      <c r="A780">
        <v>774</v>
      </c>
      <c r="B780">
        <v>258</v>
      </c>
      <c r="C780">
        <v>3</v>
      </c>
      <c r="D780" t="s">
        <v>19</v>
      </c>
      <c r="E780" t="s">
        <v>22</v>
      </c>
      <c r="F780">
        <v>29</v>
      </c>
      <c r="G780" t="s">
        <v>29</v>
      </c>
      <c r="I780" t="s">
        <v>30</v>
      </c>
      <c r="J780" s="1">
        <v>45803</v>
      </c>
      <c r="K780" t="s">
        <v>34</v>
      </c>
      <c r="L780" t="s">
        <v>37</v>
      </c>
      <c r="M780" t="s">
        <v>38</v>
      </c>
      <c r="N780">
        <v>4</v>
      </c>
      <c r="O780">
        <v>0.8125</v>
      </c>
      <c r="P780">
        <v>64</v>
      </c>
      <c r="Q780" t="s">
        <v>40</v>
      </c>
      <c r="R780" t="s">
        <v>40</v>
      </c>
      <c r="T780" t="s">
        <v>40</v>
      </c>
      <c r="U780" s="1">
        <v>45838</v>
      </c>
    </row>
    <row r="781" spans="1:21" x14ac:dyDescent="0.3">
      <c r="A781">
        <v>775</v>
      </c>
      <c r="B781">
        <v>259</v>
      </c>
      <c r="C781">
        <v>1</v>
      </c>
      <c r="D781" t="s">
        <v>21</v>
      </c>
      <c r="E781" t="s">
        <v>22</v>
      </c>
      <c r="F781">
        <v>19</v>
      </c>
      <c r="G781" t="s">
        <v>28</v>
      </c>
      <c r="I781" t="s">
        <v>32</v>
      </c>
      <c r="J781" s="1">
        <v>45670</v>
      </c>
      <c r="K781" t="s">
        <v>34</v>
      </c>
      <c r="L781" t="s">
        <v>35</v>
      </c>
      <c r="M781" t="s">
        <v>38</v>
      </c>
      <c r="N781">
        <v>4</v>
      </c>
      <c r="O781">
        <v>0.89583333333333337</v>
      </c>
      <c r="P781">
        <v>72.5</v>
      </c>
      <c r="Q781" t="s">
        <v>40</v>
      </c>
      <c r="R781" t="s">
        <v>40</v>
      </c>
      <c r="T781" t="s">
        <v>40</v>
      </c>
      <c r="U781" s="1">
        <v>45838</v>
      </c>
    </row>
    <row r="782" spans="1:21" x14ac:dyDescent="0.3">
      <c r="A782">
        <v>776</v>
      </c>
      <c r="B782">
        <v>259</v>
      </c>
      <c r="C782">
        <v>2</v>
      </c>
      <c r="D782" t="s">
        <v>19</v>
      </c>
      <c r="E782" t="s">
        <v>22</v>
      </c>
      <c r="F782">
        <v>19</v>
      </c>
      <c r="G782" t="s">
        <v>28</v>
      </c>
      <c r="I782" t="s">
        <v>32</v>
      </c>
      <c r="J782" s="1">
        <v>45670</v>
      </c>
      <c r="K782" t="s">
        <v>34</v>
      </c>
      <c r="L782" t="s">
        <v>36</v>
      </c>
      <c r="M782" t="s">
        <v>38</v>
      </c>
      <c r="N782">
        <v>4</v>
      </c>
      <c r="O782">
        <v>0.8125</v>
      </c>
      <c r="P782">
        <v>78.5</v>
      </c>
      <c r="Q782" t="s">
        <v>40</v>
      </c>
      <c r="R782" t="s">
        <v>40</v>
      </c>
      <c r="T782" t="s">
        <v>40</v>
      </c>
      <c r="U782" s="1">
        <v>45838</v>
      </c>
    </row>
    <row r="783" spans="1:21" x14ac:dyDescent="0.3">
      <c r="A783">
        <v>777</v>
      </c>
      <c r="B783">
        <v>259</v>
      </c>
      <c r="C783">
        <v>3</v>
      </c>
      <c r="D783" t="s">
        <v>19</v>
      </c>
      <c r="E783" t="s">
        <v>22</v>
      </c>
      <c r="F783">
        <v>19</v>
      </c>
      <c r="G783" t="s">
        <v>28</v>
      </c>
      <c r="I783" t="s">
        <v>32</v>
      </c>
      <c r="J783" s="1">
        <v>45670</v>
      </c>
      <c r="K783" t="s">
        <v>34</v>
      </c>
      <c r="L783" t="s">
        <v>37</v>
      </c>
      <c r="M783" t="s">
        <v>38</v>
      </c>
      <c r="N783">
        <v>4</v>
      </c>
      <c r="O783">
        <v>0.85416666666666663</v>
      </c>
      <c r="P783">
        <v>70</v>
      </c>
      <c r="Q783" t="s">
        <v>40</v>
      </c>
      <c r="R783" t="s">
        <v>40</v>
      </c>
      <c r="T783" t="s">
        <v>40</v>
      </c>
      <c r="U783" s="1">
        <v>45838</v>
      </c>
    </row>
    <row r="784" spans="1:21" x14ac:dyDescent="0.3">
      <c r="A784">
        <v>778</v>
      </c>
      <c r="B784">
        <v>260</v>
      </c>
      <c r="C784">
        <v>1</v>
      </c>
      <c r="D784" t="s">
        <v>19</v>
      </c>
      <c r="E784" t="s">
        <v>22</v>
      </c>
      <c r="F784">
        <v>26</v>
      </c>
      <c r="G784" t="s">
        <v>27</v>
      </c>
      <c r="I784" t="s">
        <v>33</v>
      </c>
      <c r="J784" s="1">
        <v>45782</v>
      </c>
      <c r="K784" t="s">
        <v>34</v>
      </c>
      <c r="L784" t="s">
        <v>35</v>
      </c>
      <c r="M784" t="s">
        <v>38</v>
      </c>
      <c r="N784">
        <v>4</v>
      </c>
      <c r="O784">
        <v>0.85416666666666663</v>
      </c>
      <c r="P784">
        <v>76.5</v>
      </c>
      <c r="Q784" t="s">
        <v>40</v>
      </c>
      <c r="R784" t="s">
        <v>40</v>
      </c>
      <c r="T784" t="s">
        <v>40</v>
      </c>
      <c r="U784" s="1">
        <v>45838</v>
      </c>
    </row>
    <row r="785" spans="1:21" x14ac:dyDescent="0.3">
      <c r="A785">
        <v>779</v>
      </c>
      <c r="B785">
        <v>260</v>
      </c>
      <c r="C785">
        <v>2</v>
      </c>
      <c r="D785" t="s">
        <v>20</v>
      </c>
      <c r="E785" t="s">
        <v>22</v>
      </c>
      <c r="F785">
        <v>26</v>
      </c>
      <c r="G785" t="s">
        <v>27</v>
      </c>
      <c r="I785" t="s">
        <v>33</v>
      </c>
      <c r="J785" s="1">
        <v>45782</v>
      </c>
      <c r="K785" t="s">
        <v>34</v>
      </c>
      <c r="L785" t="s">
        <v>36</v>
      </c>
      <c r="M785" t="s">
        <v>38</v>
      </c>
      <c r="N785">
        <v>4</v>
      </c>
      <c r="O785">
        <v>0.8125</v>
      </c>
      <c r="P785">
        <v>68.5</v>
      </c>
      <c r="Q785" t="s">
        <v>40</v>
      </c>
      <c r="R785" t="s">
        <v>40</v>
      </c>
      <c r="T785" t="s">
        <v>40</v>
      </c>
      <c r="U785" s="1">
        <v>45838</v>
      </c>
    </row>
    <row r="786" spans="1:21" x14ac:dyDescent="0.3">
      <c r="A786">
        <v>780</v>
      </c>
      <c r="B786">
        <v>260</v>
      </c>
      <c r="C786">
        <v>3</v>
      </c>
      <c r="D786" t="s">
        <v>19</v>
      </c>
      <c r="E786" t="s">
        <v>22</v>
      </c>
      <c r="F786">
        <v>26</v>
      </c>
      <c r="G786" t="s">
        <v>27</v>
      </c>
      <c r="I786" t="s">
        <v>33</v>
      </c>
      <c r="J786" s="1">
        <v>45782</v>
      </c>
      <c r="K786" t="s">
        <v>34</v>
      </c>
      <c r="L786" t="s">
        <v>37</v>
      </c>
      <c r="M786" t="s">
        <v>38</v>
      </c>
      <c r="N786">
        <v>4</v>
      </c>
      <c r="O786">
        <v>0.91666666666666663</v>
      </c>
      <c r="P786">
        <v>73</v>
      </c>
      <c r="Q786" t="s">
        <v>40</v>
      </c>
      <c r="R786" t="s">
        <v>40</v>
      </c>
      <c r="T786" t="s">
        <v>40</v>
      </c>
      <c r="U786" s="1">
        <v>45838</v>
      </c>
    </row>
    <row r="787" spans="1:21" x14ac:dyDescent="0.3">
      <c r="A787">
        <v>781</v>
      </c>
      <c r="B787">
        <v>261</v>
      </c>
      <c r="C787">
        <v>1</v>
      </c>
      <c r="D787" t="s">
        <v>19</v>
      </c>
      <c r="E787" t="s">
        <v>23</v>
      </c>
      <c r="F787">
        <v>31</v>
      </c>
      <c r="G787" t="s">
        <v>29</v>
      </c>
      <c r="I787" t="s">
        <v>32</v>
      </c>
      <c r="J787" s="1">
        <v>45789</v>
      </c>
      <c r="K787" t="s">
        <v>34</v>
      </c>
      <c r="L787" t="s">
        <v>35</v>
      </c>
      <c r="M787" t="s">
        <v>38</v>
      </c>
      <c r="N787">
        <v>4</v>
      </c>
      <c r="O787">
        <v>0.85416666666666663</v>
      </c>
      <c r="P787">
        <v>69</v>
      </c>
      <c r="Q787" t="s">
        <v>40</v>
      </c>
      <c r="R787" t="s">
        <v>40</v>
      </c>
      <c r="T787" t="s">
        <v>40</v>
      </c>
      <c r="U787" s="1">
        <v>45838</v>
      </c>
    </row>
    <row r="788" spans="1:21" x14ac:dyDescent="0.3">
      <c r="A788">
        <v>782</v>
      </c>
      <c r="B788">
        <v>261</v>
      </c>
      <c r="C788">
        <v>2</v>
      </c>
      <c r="D788" t="s">
        <v>19</v>
      </c>
      <c r="E788" t="s">
        <v>23</v>
      </c>
      <c r="F788">
        <v>31</v>
      </c>
      <c r="G788" t="s">
        <v>29</v>
      </c>
      <c r="I788" t="s">
        <v>32</v>
      </c>
      <c r="J788" s="1">
        <v>45789</v>
      </c>
      <c r="K788" t="s">
        <v>34</v>
      </c>
      <c r="L788" t="s">
        <v>36</v>
      </c>
      <c r="M788" t="s">
        <v>38</v>
      </c>
      <c r="N788">
        <v>4</v>
      </c>
      <c r="O788">
        <v>0.83333333333333337</v>
      </c>
      <c r="P788">
        <v>51</v>
      </c>
      <c r="Q788" t="s">
        <v>40</v>
      </c>
      <c r="R788" t="s">
        <v>40</v>
      </c>
      <c r="T788" t="s">
        <v>40</v>
      </c>
      <c r="U788" s="1">
        <v>45838</v>
      </c>
    </row>
    <row r="789" spans="1:21" x14ac:dyDescent="0.3">
      <c r="A789">
        <v>783</v>
      </c>
      <c r="B789">
        <v>261</v>
      </c>
      <c r="C789">
        <v>3</v>
      </c>
      <c r="D789" t="s">
        <v>19</v>
      </c>
      <c r="E789" t="s">
        <v>23</v>
      </c>
      <c r="F789">
        <v>31</v>
      </c>
      <c r="G789" t="s">
        <v>29</v>
      </c>
      <c r="I789" t="s">
        <v>32</v>
      </c>
      <c r="J789" s="1">
        <v>45789</v>
      </c>
      <c r="K789" t="s">
        <v>34</v>
      </c>
      <c r="L789" t="s">
        <v>37</v>
      </c>
      <c r="M789" t="s">
        <v>38</v>
      </c>
      <c r="N789">
        <v>4</v>
      </c>
      <c r="O789">
        <v>0.85416666666666663</v>
      </c>
      <c r="P789">
        <v>67</v>
      </c>
      <c r="Q789" t="s">
        <v>40</v>
      </c>
      <c r="R789" t="s">
        <v>40</v>
      </c>
      <c r="T789" t="s">
        <v>40</v>
      </c>
      <c r="U789" s="1">
        <v>45838</v>
      </c>
    </row>
    <row r="790" spans="1:21" x14ac:dyDescent="0.3">
      <c r="A790">
        <v>784</v>
      </c>
      <c r="B790">
        <v>262</v>
      </c>
      <c r="C790">
        <v>1</v>
      </c>
      <c r="D790" t="s">
        <v>20</v>
      </c>
      <c r="E790" t="s">
        <v>22</v>
      </c>
      <c r="F790">
        <v>29</v>
      </c>
      <c r="G790" t="s">
        <v>27</v>
      </c>
      <c r="I790" t="s">
        <v>31</v>
      </c>
      <c r="J790" s="1">
        <v>45730</v>
      </c>
      <c r="K790" t="s">
        <v>34</v>
      </c>
      <c r="L790" t="s">
        <v>35</v>
      </c>
      <c r="M790" t="s">
        <v>38</v>
      </c>
      <c r="N790">
        <v>4</v>
      </c>
      <c r="O790">
        <v>0.8125</v>
      </c>
      <c r="P790">
        <v>69.5</v>
      </c>
      <c r="Q790" t="s">
        <v>39</v>
      </c>
      <c r="R790" t="s">
        <v>39</v>
      </c>
      <c r="T790" t="s">
        <v>40</v>
      </c>
      <c r="U790" s="1">
        <v>45838</v>
      </c>
    </row>
    <row r="791" spans="1:21" x14ac:dyDescent="0.3">
      <c r="A791">
        <v>785</v>
      </c>
      <c r="B791">
        <v>262</v>
      </c>
      <c r="C791">
        <v>2</v>
      </c>
      <c r="D791" t="s">
        <v>19</v>
      </c>
      <c r="E791" t="s">
        <v>22</v>
      </c>
      <c r="F791">
        <v>29</v>
      </c>
      <c r="G791" t="s">
        <v>27</v>
      </c>
      <c r="I791" t="s">
        <v>31</v>
      </c>
      <c r="J791" s="1">
        <v>45730</v>
      </c>
      <c r="K791" t="s">
        <v>34</v>
      </c>
      <c r="L791" t="s">
        <v>36</v>
      </c>
      <c r="M791" t="s">
        <v>38</v>
      </c>
      <c r="N791">
        <v>4</v>
      </c>
      <c r="O791">
        <v>0.77083333333333337</v>
      </c>
      <c r="P791">
        <v>54</v>
      </c>
      <c r="Q791" t="s">
        <v>39</v>
      </c>
      <c r="R791" t="s">
        <v>39</v>
      </c>
      <c r="T791" t="s">
        <v>40</v>
      </c>
      <c r="U791" s="1">
        <v>45838</v>
      </c>
    </row>
    <row r="792" spans="1:21" x14ac:dyDescent="0.3">
      <c r="A792">
        <v>786</v>
      </c>
      <c r="B792">
        <v>262</v>
      </c>
      <c r="C792">
        <v>3</v>
      </c>
      <c r="D792" t="s">
        <v>19</v>
      </c>
      <c r="E792" t="s">
        <v>22</v>
      </c>
      <c r="F792">
        <v>29</v>
      </c>
      <c r="G792" t="s">
        <v>27</v>
      </c>
      <c r="I792" t="s">
        <v>31</v>
      </c>
      <c r="J792" s="1">
        <v>45730</v>
      </c>
      <c r="K792" t="s">
        <v>34</v>
      </c>
      <c r="L792" t="s">
        <v>37</v>
      </c>
      <c r="M792" t="s">
        <v>38</v>
      </c>
      <c r="N792">
        <v>4</v>
      </c>
      <c r="O792">
        <v>0.85416666666666663</v>
      </c>
      <c r="P792">
        <v>76</v>
      </c>
      <c r="Q792" t="s">
        <v>39</v>
      </c>
      <c r="R792" t="s">
        <v>39</v>
      </c>
      <c r="T792" t="s">
        <v>40</v>
      </c>
      <c r="U792" s="1">
        <v>45838</v>
      </c>
    </row>
    <row r="793" spans="1:21" x14ac:dyDescent="0.3">
      <c r="A793">
        <v>787</v>
      </c>
      <c r="B793">
        <v>263</v>
      </c>
      <c r="C793">
        <v>1</v>
      </c>
      <c r="D793" t="s">
        <v>19</v>
      </c>
      <c r="E793" t="s">
        <v>23</v>
      </c>
      <c r="F793">
        <v>34</v>
      </c>
      <c r="G793" t="s">
        <v>24</v>
      </c>
      <c r="I793" t="s">
        <v>30</v>
      </c>
      <c r="J793" s="1">
        <v>45669</v>
      </c>
      <c r="K793" t="s">
        <v>34</v>
      </c>
      <c r="L793" t="s">
        <v>35</v>
      </c>
      <c r="M793" t="s">
        <v>38</v>
      </c>
      <c r="N793">
        <v>4</v>
      </c>
      <c r="O793">
        <v>0.8125</v>
      </c>
      <c r="P793">
        <v>74</v>
      </c>
      <c r="Q793" t="s">
        <v>39</v>
      </c>
      <c r="R793" t="s">
        <v>40</v>
      </c>
      <c r="T793" t="s">
        <v>39</v>
      </c>
      <c r="U793" s="1">
        <v>45838</v>
      </c>
    </row>
    <row r="794" spans="1:21" x14ac:dyDescent="0.3">
      <c r="A794">
        <v>788</v>
      </c>
      <c r="B794">
        <v>263</v>
      </c>
      <c r="C794">
        <v>2</v>
      </c>
      <c r="D794" t="s">
        <v>21</v>
      </c>
      <c r="E794" t="s">
        <v>23</v>
      </c>
      <c r="F794">
        <v>34</v>
      </c>
      <c r="G794" t="s">
        <v>24</v>
      </c>
      <c r="I794" t="s">
        <v>30</v>
      </c>
      <c r="J794" s="1">
        <v>45669</v>
      </c>
      <c r="K794" t="s">
        <v>34</v>
      </c>
      <c r="L794" t="s">
        <v>36</v>
      </c>
      <c r="M794" t="s">
        <v>38</v>
      </c>
      <c r="N794">
        <v>4</v>
      </c>
      <c r="O794">
        <v>0.77083333333333337</v>
      </c>
      <c r="P794">
        <v>71.5</v>
      </c>
      <c r="Q794" t="s">
        <v>39</v>
      </c>
      <c r="R794" t="s">
        <v>40</v>
      </c>
      <c r="T794" t="s">
        <v>39</v>
      </c>
      <c r="U794" s="1">
        <v>45838</v>
      </c>
    </row>
    <row r="795" spans="1:21" x14ac:dyDescent="0.3">
      <c r="A795">
        <v>789</v>
      </c>
      <c r="B795">
        <v>263</v>
      </c>
      <c r="C795">
        <v>3</v>
      </c>
      <c r="D795" t="s">
        <v>19</v>
      </c>
      <c r="E795" t="s">
        <v>23</v>
      </c>
      <c r="F795">
        <v>34</v>
      </c>
      <c r="G795" t="s">
        <v>24</v>
      </c>
      <c r="I795" t="s">
        <v>30</v>
      </c>
      <c r="J795" s="1">
        <v>45669</v>
      </c>
      <c r="K795" t="s">
        <v>34</v>
      </c>
      <c r="L795" t="s">
        <v>37</v>
      </c>
      <c r="M795" t="s">
        <v>38</v>
      </c>
      <c r="N795">
        <v>4</v>
      </c>
      <c r="O795">
        <v>0.83333333333333337</v>
      </c>
      <c r="P795">
        <v>94</v>
      </c>
      <c r="Q795" t="s">
        <v>39</v>
      </c>
      <c r="R795" t="s">
        <v>40</v>
      </c>
      <c r="T795" t="s">
        <v>39</v>
      </c>
      <c r="U795" s="1">
        <v>45838</v>
      </c>
    </row>
    <row r="796" spans="1:21" x14ac:dyDescent="0.3">
      <c r="A796">
        <v>790</v>
      </c>
      <c r="B796">
        <v>264</v>
      </c>
      <c r="C796">
        <v>1</v>
      </c>
      <c r="D796" t="s">
        <v>19</v>
      </c>
      <c r="E796" t="s">
        <v>22</v>
      </c>
      <c r="F796">
        <v>30</v>
      </c>
      <c r="G796" t="s">
        <v>26</v>
      </c>
      <c r="I796" t="s">
        <v>31</v>
      </c>
      <c r="J796" s="1">
        <v>45659</v>
      </c>
      <c r="K796" t="s">
        <v>34</v>
      </c>
      <c r="L796" t="s">
        <v>35</v>
      </c>
      <c r="M796" t="s">
        <v>38</v>
      </c>
      <c r="N796">
        <v>4</v>
      </c>
      <c r="O796">
        <v>0.70833333333333337</v>
      </c>
      <c r="P796">
        <v>80</v>
      </c>
      <c r="Q796" t="s">
        <v>39</v>
      </c>
      <c r="R796" t="s">
        <v>39</v>
      </c>
      <c r="T796" t="s">
        <v>40</v>
      </c>
      <c r="U796" s="1">
        <v>45838</v>
      </c>
    </row>
    <row r="797" spans="1:21" x14ac:dyDescent="0.3">
      <c r="A797">
        <v>791</v>
      </c>
      <c r="B797">
        <v>264</v>
      </c>
      <c r="C797">
        <v>2</v>
      </c>
      <c r="D797" t="s">
        <v>21</v>
      </c>
      <c r="E797" t="s">
        <v>22</v>
      </c>
      <c r="F797">
        <v>30</v>
      </c>
      <c r="G797" t="s">
        <v>26</v>
      </c>
      <c r="I797" t="s">
        <v>31</v>
      </c>
      <c r="J797" s="1">
        <v>45659</v>
      </c>
      <c r="K797" t="s">
        <v>34</v>
      </c>
      <c r="L797" t="s">
        <v>36</v>
      </c>
      <c r="M797" t="s">
        <v>38</v>
      </c>
      <c r="N797">
        <v>4</v>
      </c>
      <c r="O797">
        <v>0.79166666666666663</v>
      </c>
      <c r="P797">
        <v>71</v>
      </c>
      <c r="Q797" t="s">
        <v>39</v>
      </c>
      <c r="R797" t="s">
        <v>39</v>
      </c>
      <c r="T797" t="s">
        <v>40</v>
      </c>
      <c r="U797" s="1">
        <v>45838</v>
      </c>
    </row>
    <row r="798" spans="1:21" x14ac:dyDescent="0.3">
      <c r="A798">
        <v>792</v>
      </c>
      <c r="B798">
        <v>264</v>
      </c>
      <c r="C798">
        <v>3</v>
      </c>
      <c r="D798" t="s">
        <v>19</v>
      </c>
      <c r="E798" t="s">
        <v>22</v>
      </c>
      <c r="F798">
        <v>30</v>
      </c>
      <c r="G798" t="s">
        <v>26</v>
      </c>
      <c r="I798" t="s">
        <v>31</v>
      </c>
      <c r="J798" s="1">
        <v>45659</v>
      </c>
      <c r="K798" t="s">
        <v>34</v>
      </c>
      <c r="L798" t="s">
        <v>37</v>
      </c>
      <c r="M798" t="s">
        <v>38</v>
      </c>
      <c r="N798">
        <v>4</v>
      </c>
      <c r="O798">
        <v>0.89583333333333337</v>
      </c>
      <c r="P798">
        <v>76</v>
      </c>
      <c r="Q798" t="s">
        <v>39</v>
      </c>
      <c r="R798" t="s">
        <v>39</v>
      </c>
      <c r="T798" t="s">
        <v>40</v>
      </c>
      <c r="U798" s="1">
        <v>45838</v>
      </c>
    </row>
    <row r="799" spans="1:21" x14ac:dyDescent="0.3">
      <c r="A799">
        <v>793</v>
      </c>
      <c r="B799">
        <v>265</v>
      </c>
      <c r="C799">
        <v>1</v>
      </c>
      <c r="D799" t="s">
        <v>19</v>
      </c>
      <c r="E799" t="s">
        <v>22</v>
      </c>
      <c r="F799">
        <v>27</v>
      </c>
      <c r="G799" t="s">
        <v>28</v>
      </c>
      <c r="I799" t="s">
        <v>32</v>
      </c>
      <c r="J799" s="1">
        <v>45723</v>
      </c>
      <c r="K799" t="s">
        <v>34</v>
      </c>
      <c r="L799" t="s">
        <v>35</v>
      </c>
      <c r="M799" t="s">
        <v>38</v>
      </c>
      <c r="N799">
        <v>4</v>
      </c>
      <c r="O799">
        <v>0.83333333333333337</v>
      </c>
      <c r="P799">
        <v>82.5</v>
      </c>
      <c r="Q799" t="s">
        <v>39</v>
      </c>
      <c r="R799" t="s">
        <v>40</v>
      </c>
      <c r="T799" t="s">
        <v>39</v>
      </c>
      <c r="U799" s="1">
        <v>45838</v>
      </c>
    </row>
    <row r="800" spans="1:21" x14ac:dyDescent="0.3">
      <c r="A800">
        <v>794</v>
      </c>
      <c r="B800">
        <v>265</v>
      </c>
      <c r="C800">
        <v>2</v>
      </c>
      <c r="D800" t="s">
        <v>19</v>
      </c>
      <c r="E800" t="s">
        <v>22</v>
      </c>
      <c r="F800">
        <v>27</v>
      </c>
      <c r="G800" t="s">
        <v>28</v>
      </c>
      <c r="I800" t="s">
        <v>32</v>
      </c>
      <c r="J800" s="1">
        <v>45723</v>
      </c>
      <c r="K800" t="s">
        <v>34</v>
      </c>
      <c r="L800" t="s">
        <v>36</v>
      </c>
      <c r="M800" t="s">
        <v>38</v>
      </c>
      <c r="N800">
        <v>4</v>
      </c>
      <c r="O800">
        <v>0.8125</v>
      </c>
      <c r="P800">
        <v>81.5</v>
      </c>
      <c r="Q800" t="s">
        <v>39</v>
      </c>
      <c r="R800" t="s">
        <v>40</v>
      </c>
      <c r="T800" t="s">
        <v>39</v>
      </c>
      <c r="U800" s="1">
        <v>45838</v>
      </c>
    </row>
    <row r="801" spans="1:21" x14ac:dyDescent="0.3">
      <c r="A801">
        <v>795</v>
      </c>
      <c r="B801">
        <v>265</v>
      </c>
      <c r="C801">
        <v>3</v>
      </c>
      <c r="D801" t="s">
        <v>19</v>
      </c>
      <c r="E801" t="s">
        <v>22</v>
      </c>
      <c r="F801">
        <v>27</v>
      </c>
      <c r="G801" t="s">
        <v>28</v>
      </c>
      <c r="I801" t="s">
        <v>32</v>
      </c>
      <c r="J801" s="1">
        <v>45723</v>
      </c>
      <c r="K801" t="s">
        <v>34</v>
      </c>
      <c r="L801" t="s">
        <v>37</v>
      </c>
      <c r="M801" t="s">
        <v>38</v>
      </c>
      <c r="N801">
        <v>4</v>
      </c>
      <c r="O801">
        <v>0.91666666666666663</v>
      </c>
      <c r="P801">
        <v>83</v>
      </c>
      <c r="Q801" t="s">
        <v>39</v>
      </c>
      <c r="R801" t="s">
        <v>40</v>
      </c>
      <c r="T801" t="s">
        <v>39</v>
      </c>
      <c r="U801" s="1">
        <v>45838</v>
      </c>
    </row>
    <row r="802" spans="1:21" x14ac:dyDescent="0.3">
      <c r="A802">
        <v>796</v>
      </c>
      <c r="B802">
        <v>266</v>
      </c>
      <c r="C802">
        <v>1</v>
      </c>
      <c r="D802" t="s">
        <v>19</v>
      </c>
      <c r="E802" t="s">
        <v>23</v>
      </c>
      <c r="F802">
        <v>28</v>
      </c>
      <c r="G802" t="s">
        <v>25</v>
      </c>
      <c r="I802" t="s">
        <v>31</v>
      </c>
      <c r="J802" s="1">
        <v>45785</v>
      </c>
      <c r="K802" t="s">
        <v>34</v>
      </c>
      <c r="L802" t="s">
        <v>35</v>
      </c>
      <c r="M802" t="s">
        <v>38</v>
      </c>
      <c r="N802">
        <v>4</v>
      </c>
      <c r="O802">
        <v>0.91666666666666663</v>
      </c>
      <c r="P802">
        <v>71</v>
      </c>
      <c r="Q802" t="s">
        <v>39</v>
      </c>
      <c r="R802" t="s">
        <v>39</v>
      </c>
      <c r="T802" t="s">
        <v>40</v>
      </c>
      <c r="U802" s="1">
        <v>45838</v>
      </c>
    </row>
    <row r="803" spans="1:21" x14ac:dyDescent="0.3">
      <c r="A803">
        <v>797</v>
      </c>
      <c r="B803">
        <v>266</v>
      </c>
      <c r="C803">
        <v>2</v>
      </c>
      <c r="D803" t="s">
        <v>19</v>
      </c>
      <c r="E803" t="s">
        <v>23</v>
      </c>
      <c r="F803">
        <v>28</v>
      </c>
      <c r="G803" t="s">
        <v>25</v>
      </c>
      <c r="I803" t="s">
        <v>31</v>
      </c>
      <c r="J803" s="1">
        <v>45785</v>
      </c>
      <c r="K803" t="s">
        <v>34</v>
      </c>
      <c r="L803" t="s">
        <v>36</v>
      </c>
      <c r="M803" t="s">
        <v>38</v>
      </c>
      <c r="N803">
        <v>4</v>
      </c>
      <c r="O803">
        <v>0.79166666666666663</v>
      </c>
      <c r="P803">
        <v>79.5</v>
      </c>
      <c r="Q803" t="s">
        <v>39</v>
      </c>
      <c r="R803" t="s">
        <v>39</v>
      </c>
      <c r="T803" t="s">
        <v>40</v>
      </c>
      <c r="U803" s="1">
        <v>45838</v>
      </c>
    </row>
    <row r="804" spans="1:21" x14ac:dyDescent="0.3">
      <c r="A804">
        <v>798</v>
      </c>
      <c r="B804">
        <v>266</v>
      </c>
      <c r="C804">
        <v>3</v>
      </c>
      <c r="D804" t="s">
        <v>21</v>
      </c>
      <c r="E804" t="s">
        <v>23</v>
      </c>
      <c r="F804">
        <v>28</v>
      </c>
      <c r="G804" t="s">
        <v>25</v>
      </c>
      <c r="I804" t="s">
        <v>31</v>
      </c>
      <c r="J804" s="1">
        <v>45785</v>
      </c>
      <c r="K804" t="s">
        <v>34</v>
      </c>
      <c r="L804" t="s">
        <v>37</v>
      </c>
      <c r="M804" t="s">
        <v>38</v>
      </c>
      <c r="N804">
        <v>4</v>
      </c>
      <c r="O804">
        <v>0.79166666666666663</v>
      </c>
      <c r="P804">
        <v>75.5</v>
      </c>
      <c r="Q804" t="s">
        <v>39</v>
      </c>
      <c r="R804" t="s">
        <v>39</v>
      </c>
      <c r="T804" t="s">
        <v>40</v>
      </c>
      <c r="U804" s="1">
        <v>45838</v>
      </c>
    </row>
    <row r="805" spans="1:21" x14ac:dyDescent="0.3">
      <c r="A805">
        <v>799</v>
      </c>
      <c r="B805">
        <v>267</v>
      </c>
      <c r="C805">
        <v>1</v>
      </c>
      <c r="D805" t="s">
        <v>21</v>
      </c>
      <c r="E805" t="s">
        <v>23</v>
      </c>
      <c r="F805">
        <v>23</v>
      </c>
      <c r="G805" t="s">
        <v>28</v>
      </c>
      <c r="I805" t="s">
        <v>33</v>
      </c>
      <c r="J805" s="1">
        <v>45794</v>
      </c>
      <c r="K805" t="s">
        <v>34</v>
      </c>
      <c r="L805" t="s">
        <v>35</v>
      </c>
      <c r="M805" t="s">
        <v>38</v>
      </c>
      <c r="N805">
        <v>4</v>
      </c>
      <c r="O805">
        <v>0.85416666666666663</v>
      </c>
      <c r="P805">
        <v>76.5</v>
      </c>
      <c r="Q805" t="s">
        <v>39</v>
      </c>
      <c r="R805" t="s">
        <v>39</v>
      </c>
      <c r="T805" t="s">
        <v>40</v>
      </c>
      <c r="U805" s="1">
        <v>45838</v>
      </c>
    </row>
    <row r="806" spans="1:21" x14ac:dyDescent="0.3">
      <c r="A806">
        <v>800</v>
      </c>
      <c r="B806">
        <v>267</v>
      </c>
      <c r="C806">
        <v>2</v>
      </c>
      <c r="D806" t="s">
        <v>20</v>
      </c>
      <c r="E806" t="s">
        <v>23</v>
      </c>
      <c r="F806">
        <v>23</v>
      </c>
      <c r="G806" t="s">
        <v>28</v>
      </c>
      <c r="I806" t="s">
        <v>33</v>
      </c>
      <c r="J806" s="1">
        <v>45794</v>
      </c>
      <c r="K806" t="s">
        <v>34</v>
      </c>
      <c r="L806" t="s">
        <v>36</v>
      </c>
      <c r="M806" t="s">
        <v>38</v>
      </c>
      <c r="N806">
        <v>4</v>
      </c>
      <c r="O806">
        <v>0.85416666666666663</v>
      </c>
      <c r="P806">
        <v>77.5</v>
      </c>
      <c r="Q806" t="s">
        <v>39</v>
      </c>
      <c r="R806" t="s">
        <v>39</v>
      </c>
      <c r="T806" t="s">
        <v>40</v>
      </c>
      <c r="U806" s="1">
        <v>45838</v>
      </c>
    </row>
    <row r="807" spans="1:21" x14ac:dyDescent="0.3">
      <c r="A807">
        <v>801</v>
      </c>
      <c r="B807">
        <v>267</v>
      </c>
      <c r="C807">
        <v>3</v>
      </c>
      <c r="D807" t="s">
        <v>19</v>
      </c>
      <c r="E807" t="s">
        <v>23</v>
      </c>
      <c r="F807">
        <v>23</v>
      </c>
      <c r="G807" t="s">
        <v>28</v>
      </c>
      <c r="I807" t="s">
        <v>33</v>
      </c>
      <c r="J807" s="1">
        <v>45794</v>
      </c>
      <c r="K807" t="s">
        <v>34</v>
      </c>
      <c r="L807" t="s">
        <v>37</v>
      </c>
      <c r="M807" t="s">
        <v>38</v>
      </c>
      <c r="N807">
        <v>4</v>
      </c>
      <c r="O807">
        <v>0.85416666666666663</v>
      </c>
      <c r="P807">
        <v>94.5</v>
      </c>
      <c r="Q807" t="s">
        <v>39</v>
      </c>
      <c r="R807" t="s">
        <v>39</v>
      </c>
      <c r="T807" t="s">
        <v>40</v>
      </c>
      <c r="U807" s="1">
        <v>45838</v>
      </c>
    </row>
    <row r="808" spans="1:21" x14ac:dyDescent="0.3">
      <c r="A808">
        <v>802</v>
      </c>
      <c r="B808">
        <v>268</v>
      </c>
      <c r="C808">
        <v>1</v>
      </c>
      <c r="D808" t="s">
        <v>19</v>
      </c>
      <c r="E808" t="s">
        <v>22</v>
      </c>
      <c r="F808">
        <v>34</v>
      </c>
      <c r="G808" t="s">
        <v>26</v>
      </c>
      <c r="I808" t="s">
        <v>30</v>
      </c>
      <c r="J808" s="1">
        <v>45676</v>
      </c>
      <c r="K808" t="s">
        <v>34</v>
      </c>
      <c r="L808" t="s">
        <v>35</v>
      </c>
      <c r="M808" t="s">
        <v>38</v>
      </c>
      <c r="N808">
        <v>4</v>
      </c>
      <c r="O808">
        <v>0.66666666666666663</v>
      </c>
      <c r="P808">
        <v>67.5</v>
      </c>
      <c r="Q808" t="s">
        <v>39</v>
      </c>
      <c r="R808" t="s">
        <v>39</v>
      </c>
      <c r="T808" t="s">
        <v>40</v>
      </c>
      <c r="U808" s="1">
        <v>45838</v>
      </c>
    </row>
    <row r="809" spans="1:21" x14ac:dyDescent="0.3">
      <c r="A809">
        <v>803</v>
      </c>
      <c r="B809">
        <v>268</v>
      </c>
      <c r="C809">
        <v>2</v>
      </c>
      <c r="D809" t="s">
        <v>19</v>
      </c>
      <c r="E809" t="s">
        <v>22</v>
      </c>
      <c r="F809">
        <v>34</v>
      </c>
      <c r="G809" t="s">
        <v>26</v>
      </c>
      <c r="I809" t="s">
        <v>30</v>
      </c>
      <c r="J809" s="1">
        <v>45676</v>
      </c>
      <c r="K809" t="s">
        <v>34</v>
      </c>
      <c r="L809" t="s">
        <v>36</v>
      </c>
      <c r="M809" t="s">
        <v>38</v>
      </c>
      <c r="N809">
        <v>4</v>
      </c>
      <c r="O809">
        <v>0.875</v>
      </c>
      <c r="P809">
        <v>86</v>
      </c>
      <c r="Q809" t="s">
        <v>39</v>
      </c>
      <c r="R809" t="s">
        <v>39</v>
      </c>
      <c r="T809" t="s">
        <v>40</v>
      </c>
      <c r="U809" s="1">
        <v>45838</v>
      </c>
    </row>
    <row r="810" spans="1:21" x14ac:dyDescent="0.3">
      <c r="A810">
        <v>804</v>
      </c>
      <c r="B810">
        <v>268</v>
      </c>
      <c r="C810">
        <v>3</v>
      </c>
      <c r="D810" t="s">
        <v>19</v>
      </c>
      <c r="E810" t="s">
        <v>22</v>
      </c>
      <c r="F810">
        <v>34</v>
      </c>
      <c r="G810" t="s">
        <v>26</v>
      </c>
      <c r="I810" t="s">
        <v>30</v>
      </c>
      <c r="J810" s="1">
        <v>45676</v>
      </c>
      <c r="K810" t="s">
        <v>34</v>
      </c>
      <c r="L810" t="s">
        <v>37</v>
      </c>
      <c r="M810" t="s">
        <v>38</v>
      </c>
      <c r="N810">
        <v>4</v>
      </c>
      <c r="O810">
        <v>0.89583333333333337</v>
      </c>
      <c r="P810">
        <v>67</v>
      </c>
      <c r="Q810" t="s">
        <v>39</v>
      </c>
      <c r="R810" t="s">
        <v>39</v>
      </c>
      <c r="T810" t="s">
        <v>40</v>
      </c>
      <c r="U810" s="1">
        <v>45838</v>
      </c>
    </row>
    <row r="811" spans="1:21" x14ac:dyDescent="0.3">
      <c r="A811">
        <v>805</v>
      </c>
      <c r="B811">
        <v>269</v>
      </c>
      <c r="C811">
        <v>1</v>
      </c>
      <c r="D811" t="s">
        <v>21</v>
      </c>
      <c r="E811" t="s">
        <v>23</v>
      </c>
      <c r="F811">
        <v>19</v>
      </c>
      <c r="G811" t="s">
        <v>27</v>
      </c>
      <c r="I811" t="s">
        <v>31</v>
      </c>
      <c r="J811" s="1">
        <v>45775</v>
      </c>
      <c r="K811" t="s">
        <v>34</v>
      </c>
      <c r="L811" t="s">
        <v>35</v>
      </c>
      <c r="M811" t="s">
        <v>38</v>
      </c>
      <c r="N811">
        <v>4</v>
      </c>
      <c r="O811">
        <v>0.8125</v>
      </c>
      <c r="P811">
        <v>82</v>
      </c>
      <c r="Q811" t="s">
        <v>39</v>
      </c>
      <c r="R811" t="s">
        <v>39</v>
      </c>
      <c r="T811" t="s">
        <v>40</v>
      </c>
      <c r="U811" s="1">
        <v>45838</v>
      </c>
    </row>
    <row r="812" spans="1:21" x14ac:dyDescent="0.3">
      <c r="A812">
        <v>806</v>
      </c>
      <c r="B812">
        <v>269</v>
      </c>
      <c r="C812">
        <v>2</v>
      </c>
      <c r="D812" t="s">
        <v>19</v>
      </c>
      <c r="E812" t="s">
        <v>23</v>
      </c>
      <c r="F812">
        <v>19</v>
      </c>
      <c r="G812" t="s">
        <v>27</v>
      </c>
      <c r="I812" t="s">
        <v>31</v>
      </c>
      <c r="J812" s="1">
        <v>45775</v>
      </c>
      <c r="K812" t="s">
        <v>34</v>
      </c>
      <c r="L812" t="s">
        <v>36</v>
      </c>
      <c r="M812" t="s">
        <v>38</v>
      </c>
      <c r="N812">
        <v>4</v>
      </c>
      <c r="O812">
        <v>0.83333333333333337</v>
      </c>
      <c r="P812">
        <v>67.5</v>
      </c>
      <c r="Q812" t="s">
        <v>39</v>
      </c>
      <c r="R812" t="s">
        <v>39</v>
      </c>
      <c r="T812" t="s">
        <v>40</v>
      </c>
      <c r="U812" s="1">
        <v>45838</v>
      </c>
    </row>
    <row r="813" spans="1:21" x14ac:dyDescent="0.3">
      <c r="A813">
        <v>807</v>
      </c>
      <c r="B813">
        <v>269</v>
      </c>
      <c r="C813">
        <v>3</v>
      </c>
      <c r="D813" t="s">
        <v>19</v>
      </c>
      <c r="E813" t="s">
        <v>23</v>
      </c>
      <c r="F813">
        <v>19</v>
      </c>
      <c r="G813" t="s">
        <v>27</v>
      </c>
      <c r="I813" t="s">
        <v>31</v>
      </c>
      <c r="J813" s="1">
        <v>45775</v>
      </c>
      <c r="K813" t="s">
        <v>34</v>
      </c>
      <c r="L813" t="s">
        <v>37</v>
      </c>
      <c r="M813" t="s">
        <v>38</v>
      </c>
      <c r="N813">
        <v>4</v>
      </c>
      <c r="O813">
        <v>0.70833333333333337</v>
      </c>
      <c r="P813">
        <v>48</v>
      </c>
      <c r="Q813" t="s">
        <v>39</v>
      </c>
      <c r="R813" t="s">
        <v>39</v>
      </c>
      <c r="T813" t="s">
        <v>40</v>
      </c>
      <c r="U813" s="1">
        <v>45838</v>
      </c>
    </row>
    <row r="814" spans="1:21" x14ac:dyDescent="0.3">
      <c r="A814">
        <v>808</v>
      </c>
      <c r="B814">
        <v>270</v>
      </c>
      <c r="C814">
        <v>1</v>
      </c>
      <c r="D814" t="s">
        <v>20</v>
      </c>
      <c r="E814" t="s">
        <v>22</v>
      </c>
      <c r="F814">
        <v>28</v>
      </c>
      <c r="G814" t="s">
        <v>26</v>
      </c>
      <c r="I814" t="s">
        <v>33</v>
      </c>
      <c r="J814" s="1">
        <v>45804</v>
      </c>
      <c r="K814" t="s">
        <v>34</v>
      </c>
      <c r="L814" t="s">
        <v>35</v>
      </c>
      <c r="M814" t="s">
        <v>38</v>
      </c>
      <c r="N814">
        <v>4</v>
      </c>
      <c r="O814">
        <v>0.83333333333333337</v>
      </c>
      <c r="P814">
        <v>75.5</v>
      </c>
      <c r="Q814" t="s">
        <v>39</v>
      </c>
      <c r="R814" t="s">
        <v>39</v>
      </c>
      <c r="T814" t="s">
        <v>40</v>
      </c>
      <c r="U814" s="1">
        <v>45838</v>
      </c>
    </row>
    <row r="815" spans="1:21" x14ac:dyDescent="0.3">
      <c r="A815">
        <v>809</v>
      </c>
      <c r="B815">
        <v>270</v>
      </c>
      <c r="C815">
        <v>2</v>
      </c>
      <c r="D815" t="s">
        <v>19</v>
      </c>
      <c r="E815" t="s">
        <v>22</v>
      </c>
      <c r="F815">
        <v>28</v>
      </c>
      <c r="G815" t="s">
        <v>26</v>
      </c>
      <c r="I815" t="s">
        <v>33</v>
      </c>
      <c r="J815" s="1">
        <v>45804</v>
      </c>
      <c r="K815" t="s">
        <v>34</v>
      </c>
      <c r="L815" t="s">
        <v>36</v>
      </c>
      <c r="M815" t="s">
        <v>38</v>
      </c>
      <c r="N815">
        <v>4</v>
      </c>
      <c r="O815">
        <v>0.85416666666666663</v>
      </c>
      <c r="P815">
        <v>69.5</v>
      </c>
      <c r="Q815" t="s">
        <v>39</v>
      </c>
      <c r="R815" t="s">
        <v>39</v>
      </c>
      <c r="T815" t="s">
        <v>40</v>
      </c>
      <c r="U815" s="1">
        <v>45838</v>
      </c>
    </row>
    <row r="816" spans="1:21" x14ac:dyDescent="0.3">
      <c r="A816">
        <v>810</v>
      </c>
      <c r="B816">
        <v>270</v>
      </c>
      <c r="C816">
        <v>3</v>
      </c>
      <c r="D816" t="s">
        <v>21</v>
      </c>
      <c r="E816" t="s">
        <v>22</v>
      </c>
      <c r="F816">
        <v>28</v>
      </c>
      <c r="G816" t="s">
        <v>26</v>
      </c>
      <c r="I816" t="s">
        <v>33</v>
      </c>
      <c r="J816" s="1">
        <v>45804</v>
      </c>
      <c r="K816" t="s">
        <v>34</v>
      </c>
      <c r="L816" t="s">
        <v>37</v>
      </c>
      <c r="M816" t="s">
        <v>38</v>
      </c>
      <c r="N816">
        <v>4</v>
      </c>
      <c r="O816">
        <v>0.77083333333333337</v>
      </c>
      <c r="P816">
        <v>67.5</v>
      </c>
      <c r="Q816" t="s">
        <v>39</v>
      </c>
      <c r="R816" t="s">
        <v>39</v>
      </c>
      <c r="T816" t="s">
        <v>40</v>
      </c>
      <c r="U816" s="1">
        <v>45838</v>
      </c>
    </row>
    <row r="817" spans="1:21" x14ac:dyDescent="0.3">
      <c r="A817">
        <v>811</v>
      </c>
      <c r="B817">
        <v>271</v>
      </c>
      <c r="C817">
        <v>1</v>
      </c>
      <c r="D817" t="s">
        <v>21</v>
      </c>
      <c r="E817" t="s">
        <v>23</v>
      </c>
      <c r="F817">
        <v>31</v>
      </c>
      <c r="G817" t="s">
        <v>29</v>
      </c>
      <c r="I817" t="s">
        <v>31</v>
      </c>
      <c r="J817" s="1">
        <v>45761</v>
      </c>
      <c r="K817" t="s">
        <v>34</v>
      </c>
      <c r="L817" t="s">
        <v>35</v>
      </c>
      <c r="M817" t="s">
        <v>38</v>
      </c>
      <c r="N817">
        <v>4</v>
      </c>
      <c r="O817">
        <v>0.8125</v>
      </c>
      <c r="P817">
        <v>69.5</v>
      </c>
      <c r="Q817" t="s">
        <v>39</v>
      </c>
      <c r="R817" t="s">
        <v>39</v>
      </c>
      <c r="T817" t="s">
        <v>40</v>
      </c>
      <c r="U817" s="1">
        <v>45838</v>
      </c>
    </row>
    <row r="818" spans="1:21" x14ac:dyDescent="0.3">
      <c r="A818">
        <v>812</v>
      </c>
      <c r="B818">
        <v>271</v>
      </c>
      <c r="C818">
        <v>2</v>
      </c>
      <c r="D818" t="s">
        <v>19</v>
      </c>
      <c r="E818" t="s">
        <v>23</v>
      </c>
      <c r="F818">
        <v>31</v>
      </c>
      <c r="G818" t="s">
        <v>29</v>
      </c>
      <c r="I818" t="s">
        <v>31</v>
      </c>
      <c r="J818" s="1">
        <v>45761</v>
      </c>
      <c r="K818" t="s">
        <v>34</v>
      </c>
      <c r="L818" t="s">
        <v>36</v>
      </c>
      <c r="M818" t="s">
        <v>38</v>
      </c>
      <c r="N818">
        <v>4</v>
      </c>
      <c r="O818">
        <v>0.85416666666666663</v>
      </c>
      <c r="P818">
        <v>75.5</v>
      </c>
      <c r="Q818" t="s">
        <v>39</v>
      </c>
      <c r="R818" t="s">
        <v>39</v>
      </c>
      <c r="T818" t="s">
        <v>40</v>
      </c>
      <c r="U818" s="1">
        <v>45838</v>
      </c>
    </row>
    <row r="819" spans="1:21" x14ac:dyDescent="0.3">
      <c r="A819">
        <v>813</v>
      </c>
      <c r="B819">
        <v>271</v>
      </c>
      <c r="C819">
        <v>3</v>
      </c>
      <c r="D819" t="s">
        <v>20</v>
      </c>
      <c r="E819" t="s">
        <v>23</v>
      </c>
      <c r="F819">
        <v>31</v>
      </c>
      <c r="G819" t="s">
        <v>29</v>
      </c>
      <c r="I819" t="s">
        <v>31</v>
      </c>
      <c r="J819" s="1">
        <v>45761</v>
      </c>
      <c r="K819" t="s">
        <v>34</v>
      </c>
      <c r="L819" t="s">
        <v>37</v>
      </c>
      <c r="M819" t="s">
        <v>38</v>
      </c>
      <c r="N819">
        <v>4</v>
      </c>
      <c r="O819">
        <v>0.83333333333333337</v>
      </c>
      <c r="P819">
        <v>77.5</v>
      </c>
      <c r="Q819" t="s">
        <v>39</v>
      </c>
      <c r="R819" t="s">
        <v>39</v>
      </c>
      <c r="T819" t="s">
        <v>40</v>
      </c>
      <c r="U819" s="1">
        <v>45838</v>
      </c>
    </row>
    <row r="820" spans="1:21" x14ac:dyDescent="0.3">
      <c r="A820">
        <v>814</v>
      </c>
      <c r="B820">
        <v>272</v>
      </c>
      <c r="C820">
        <v>1</v>
      </c>
      <c r="D820" t="s">
        <v>19</v>
      </c>
      <c r="E820" t="s">
        <v>22</v>
      </c>
      <c r="F820">
        <v>28</v>
      </c>
      <c r="G820" t="s">
        <v>28</v>
      </c>
      <c r="I820" t="s">
        <v>33</v>
      </c>
      <c r="J820" s="1">
        <v>45750</v>
      </c>
      <c r="K820" t="s">
        <v>34</v>
      </c>
      <c r="L820" t="s">
        <v>35</v>
      </c>
      <c r="M820" t="s">
        <v>38</v>
      </c>
      <c r="N820">
        <v>4</v>
      </c>
      <c r="O820">
        <v>0.89583333333333337</v>
      </c>
      <c r="P820">
        <v>88</v>
      </c>
      <c r="Q820" t="s">
        <v>39</v>
      </c>
      <c r="R820" t="s">
        <v>39</v>
      </c>
      <c r="T820" t="s">
        <v>39</v>
      </c>
      <c r="U820" s="1">
        <v>45838</v>
      </c>
    </row>
    <row r="821" spans="1:21" x14ac:dyDescent="0.3">
      <c r="A821">
        <v>815</v>
      </c>
      <c r="B821">
        <v>272</v>
      </c>
      <c r="C821">
        <v>2</v>
      </c>
      <c r="D821" t="s">
        <v>19</v>
      </c>
      <c r="E821" t="s">
        <v>22</v>
      </c>
      <c r="F821">
        <v>28</v>
      </c>
      <c r="G821" t="s">
        <v>28</v>
      </c>
      <c r="I821" t="s">
        <v>33</v>
      </c>
      <c r="J821" s="1">
        <v>45750</v>
      </c>
      <c r="K821" t="s">
        <v>34</v>
      </c>
      <c r="L821" t="s">
        <v>36</v>
      </c>
      <c r="M821" t="s">
        <v>38</v>
      </c>
      <c r="N821">
        <v>4</v>
      </c>
      <c r="O821">
        <v>0.85416666666666663</v>
      </c>
      <c r="P821">
        <v>61.5</v>
      </c>
      <c r="Q821" t="s">
        <v>39</v>
      </c>
      <c r="R821" t="s">
        <v>39</v>
      </c>
      <c r="T821" t="s">
        <v>39</v>
      </c>
      <c r="U821" s="1">
        <v>45838</v>
      </c>
    </row>
    <row r="822" spans="1:21" x14ac:dyDescent="0.3">
      <c r="A822">
        <v>816</v>
      </c>
      <c r="B822">
        <v>272</v>
      </c>
      <c r="C822">
        <v>3</v>
      </c>
      <c r="D822" t="s">
        <v>19</v>
      </c>
      <c r="E822" t="s">
        <v>22</v>
      </c>
      <c r="F822">
        <v>28</v>
      </c>
      <c r="G822" t="s">
        <v>28</v>
      </c>
      <c r="I822" t="s">
        <v>33</v>
      </c>
      <c r="J822" s="1">
        <v>45750</v>
      </c>
      <c r="K822" t="s">
        <v>34</v>
      </c>
      <c r="L822" t="s">
        <v>37</v>
      </c>
      <c r="M822" t="s">
        <v>38</v>
      </c>
      <c r="N822">
        <v>4</v>
      </c>
      <c r="O822">
        <v>0.72916666666666663</v>
      </c>
      <c r="P822">
        <v>64.5</v>
      </c>
      <c r="Q822" t="s">
        <v>39</v>
      </c>
      <c r="R822" t="s">
        <v>39</v>
      </c>
      <c r="T822" t="s">
        <v>39</v>
      </c>
      <c r="U822" s="1">
        <v>45838</v>
      </c>
    </row>
    <row r="823" spans="1:21" x14ac:dyDescent="0.3">
      <c r="A823">
        <v>817</v>
      </c>
      <c r="B823">
        <v>273</v>
      </c>
      <c r="C823">
        <v>1</v>
      </c>
      <c r="D823" t="s">
        <v>19</v>
      </c>
      <c r="E823" t="s">
        <v>22</v>
      </c>
      <c r="F823">
        <v>31</v>
      </c>
      <c r="G823" t="s">
        <v>25</v>
      </c>
      <c r="I823" t="s">
        <v>32</v>
      </c>
      <c r="J823" s="1">
        <v>45769</v>
      </c>
      <c r="K823" t="s">
        <v>34</v>
      </c>
      <c r="L823" t="s">
        <v>35</v>
      </c>
      <c r="M823" t="s">
        <v>38</v>
      </c>
      <c r="N823">
        <v>4</v>
      </c>
      <c r="O823">
        <v>0.8125</v>
      </c>
      <c r="P823">
        <v>87.5</v>
      </c>
      <c r="Q823" t="s">
        <v>39</v>
      </c>
      <c r="R823" t="s">
        <v>40</v>
      </c>
      <c r="T823" t="s">
        <v>40</v>
      </c>
      <c r="U823" s="1">
        <v>45838</v>
      </c>
    </row>
    <row r="824" spans="1:21" x14ac:dyDescent="0.3">
      <c r="A824">
        <v>818</v>
      </c>
      <c r="B824">
        <v>273</v>
      </c>
      <c r="C824">
        <v>2</v>
      </c>
      <c r="D824" t="s">
        <v>19</v>
      </c>
      <c r="E824" t="s">
        <v>22</v>
      </c>
      <c r="F824">
        <v>31</v>
      </c>
      <c r="G824" t="s">
        <v>25</v>
      </c>
      <c r="I824" t="s">
        <v>32</v>
      </c>
      <c r="J824" s="1">
        <v>45769</v>
      </c>
      <c r="K824" t="s">
        <v>34</v>
      </c>
      <c r="L824" t="s">
        <v>36</v>
      </c>
      <c r="M824" t="s">
        <v>38</v>
      </c>
      <c r="N824">
        <v>4</v>
      </c>
      <c r="O824">
        <v>0.875</v>
      </c>
      <c r="P824">
        <v>77</v>
      </c>
      <c r="Q824" t="s">
        <v>39</v>
      </c>
      <c r="R824" t="s">
        <v>40</v>
      </c>
      <c r="T824" t="s">
        <v>40</v>
      </c>
      <c r="U824" s="1">
        <v>45838</v>
      </c>
    </row>
    <row r="825" spans="1:21" x14ac:dyDescent="0.3">
      <c r="A825">
        <v>819</v>
      </c>
      <c r="B825">
        <v>273</v>
      </c>
      <c r="C825">
        <v>3</v>
      </c>
      <c r="D825" t="s">
        <v>21</v>
      </c>
      <c r="E825" t="s">
        <v>22</v>
      </c>
      <c r="F825">
        <v>31</v>
      </c>
      <c r="G825" t="s">
        <v>25</v>
      </c>
      <c r="I825" t="s">
        <v>32</v>
      </c>
      <c r="J825" s="1">
        <v>45769</v>
      </c>
      <c r="K825" t="s">
        <v>34</v>
      </c>
      <c r="L825" t="s">
        <v>37</v>
      </c>
      <c r="M825" t="s">
        <v>38</v>
      </c>
      <c r="N825">
        <v>4</v>
      </c>
      <c r="O825">
        <v>0.91666666666666663</v>
      </c>
      <c r="P825">
        <v>67</v>
      </c>
      <c r="Q825" t="s">
        <v>39</v>
      </c>
      <c r="R825" t="s">
        <v>40</v>
      </c>
      <c r="T825" t="s">
        <v>40</v>
      </c>
      <c r="U825" s="1">
        <v>45838</v>
      </c>
    </row>
    <row r="826" spans="1:21" x14ac:dyDescent="0.3">
      <c r="A826">
        <v>820</v>
      </c>
      <c r="B826">
        <v>274</v>
      </c>
      <c r="C826">
        <v>1</v>
      </c>
      <c r="D826" t="s">
        <v>19</v>
      </c>
      <c r="E826" t="s">
        <v>23</v>
      </c>
      <c r="F826">
        <v>34</v>
      </c>
      <c r="G826" t="s">
        <v>25</v>
      </c>
      <c r="I826" t="s">
        <v>33</v>
      </c>
      <c r="J826" s="1">
        <v>45737</v>
      </c>
      <c r="K826" t="s">
        <v>34</v>
      </c>
      <c r="L826" t="s">
        <v>35</v>
      </c>
      <c r="M826" t="s">
        <v>38</v>
      </c>
      <c r="N826">
        <v>4</v>
      </c>
      <c r="O826">
        <v>0.8125</v>
      </c>
      <c r="P826">
        <v>78.5</v>
      </c>
      <c r="Q826" t="s">
        <v>39</v>
      </c>
      <c r="R826" t="s">
        <v>39</v>
      </c>
      <c r="T826" t="s">
        <v>40</v>
      </c>
      <c r="U826" s="1">
        <v>45838</v>
      </c>
    </row>
    <row r="827" spans="1:21" x14ac:dyDescent="0.3">
      <c r="A827">
        <v>821</v>
      </c>
      <c r="B827">
        <v>274</v>
      </c>
      <c r="C827">
        <v>2</v>
      </c>
      <c r="D827" t="s">
        <v>19</v>
      </c>
      <c r="E827" t="s">
        <v>23</v>
      </c>
      <c r="F827">
        <v>34</v>
      </c>
      <c r="G827" t="s">
        <v>25</v>
      </c>
      <c r="I827" t="s">
        <v>33</v>
      </c>
      <c r="J827" s="1">
        <v>45737</v>
      </c>
      <c r="K827" t="s">
        <v>34</v>
      </c>
      <c r="L827" t="s">
        <v>36</v>
      </c>
      <c r="M827" t="s">
        <v>38</v>
      </c>
      <c r="N827">
        <v>4</v>
      </c>
      <c r="O827">
        <v>0.9375</v>
      </c>
      <c r="P827">
        <v>79.5</v>
      </c>
      <c r="Q827" t="s">
        <v>39</v>
      </c>
      <c r="R827" t="s">
        <v>39</v>
      </c>
      <c r="T827" t="s">
        <v>40</v>
      </c>
      <c r="U827" s="1">
        <v>45838</v>
      </c>
    </row>
    <row r="828" spans="1:21" x14ac:dyDescent="0.3">
      <c r="A828">
        <v>822</v>
      </c>
      <c r="B828">
        <v>274</v>
      </c>
      <c r="C828">
        <v>3</v>
      </c>
      <c r="D828" t="s">
        <v>19</v>
      </c>
      <c r="E828" t="s">
        <v>23</v>
      </c>
      <c r="F828">
        <v>34</v>
      </c>
      <c r="G828" t="s">
        <v>25</v>
      </c>
      <c r="I828" t="s">
        <v>33</v>
      </c>
      <c r="J828" s="1">
        <v>45737</v>
      </c>
      <c r="K828" t="s">
        <v>34</v>
      </c>
      <c r="L828" t="s">
        <v>37</v>
      </c>
      <c r="M828" t="s">
        <v>38</v>
      </c>
      <c r="N828">
        <v>4</v>
      </c>
      <c r="O828">
        <v>0.875</v>
      </c>
      <c r="P828">
        <v>67.5</v>
      </c>
      <c r="Q828" t="s">
        <v>39</v>
      </c>
      <c r="R828" t="s">
        <v>39</v>
      </c>
      <c r="T828" t="s">
        <v>40</v>
      </c>
      <c r="U828" s="1">
        <v>45838</v>
      </c>
    </row>
    <row r="829" spans="1:21" x14ac:dyDescent="0.3">
      <c r="A829">
        <v>823</v>
      </c>
      <c r="B829">
        <v>275</v>
      </c>
      <c r="C829">
        <v>1</v>
      </c>
      <c r="D829" t="s">
        <v>21</v>
      </c>
      <c r="E829" t="s">
        <v>23</v>
      </c>
      <c r="F829">
        <v>25</v>
      </c>
      <c r="G829" t="s">
        <v>29</v>
      </c>
      <c r="I829" t="s">
        <v>32</v>
      </c>
      <c r="J829" s="1">
        <v>45677</v>
      </c>
      <c r="K829" t="s">
        <v>34</v>
      </c>
      <c r="L829" t="s">
        <v>35</v>
      </c>
      <c r="M829" t="s">
        <v>38</v>
      </c>
      <c r="N829">
        <v>4</v>
      </c>
      <c r="O829">
        <v>0.77083333333333337</v>
      </c>
      <c r="P829">
        <v>72.5</v>
      </c>
      <c r="Q829" t="s">
        <v>39</v>
      </c>
      <c r="R829" t="s">
        <v>40</v>
      </c>
      <c r="T829" t="s">
        <v>39</v>
      </c>
      <c r="U829" s="1">
        <v>45838</v>
      </c>
    </row>
    <row r="830" spans="1:21" x14ac:dyDescent="0.3">
      <c r="A830">
        <v>824</v>
      </c>
      <c r="B830">
        <v>275</v>
      </c>
      <c r="C830">
        <v>2</v>
      </c>
      <c r="D830" t="s">
        <v>21</v>
      </c>
      <c r="E830" t="s">
        <v>23</v>
      </c>
      <c r="F830">
        <v>25</v>
      </c>
      <c r="G830" t="s">
        <v>29</v>
      </c>
      <c r="I830" t="s">
        <v>32</v>
      </c>
      <c r="J830" s="1">
        <v>45677</v>
      </c>
      <c r="K830" t="s">
        <v>34</v>
      </c>
      <c r="L830" t="s">
        <v>36</v>
      </c>
      <c r="M830" t="s">
        <v>38</v>
      </c>
      <c r="N830">
        <v>4</v>
      </c>
      <c r="O830">
        <v>0.89583333333333337</v>
      </c>
      <c r="P830">
        <v>54</v>
      </c>
      <c r="Q830" t="s">
        <v>39</v>
      </c>
      <c r="R830" t="s">
        <v>40</v>
      </c>
      <c r="T830" t="s">
        <v>39</v>
      </c>
      <c r="U830" s="1">
        <v>45838</v>
      </c>
    </row>
    <row r="831" spans="1:21" x14ac:dyDescent="0.3">
      <c r="A831">
        <v>825</v>
      </c>
      <c r="B831">
        <v>275</v>
      </c>
      <c r="C831">
        <v>3</v>
      </c>
      <c r="D831" t="s">
        <v>19</v>
      </c>
      <c r="E831" t="s">
        <v>23</v>
      </c>
      <c r="F831">
        <v>25</v>
      </c>
      <c r="G831" t="s">
        <v>29</v>
      </c>
      <c r="I831" t="s">
        <v>32</v>
      </c>
      <c r="J831" s="1">
        <v>45677</v>
      </c>
      <c r="K831" t="s">
        <v>34</v>
      </c>
      <c r="L831" t="s">
        <v>37</v>
      </c>
      <c r="M831" t="s">
        <v>38</v>
      </c>
      <c r="N831">
        <v>4</v>
      </c>
      <c r="O831">
        <v>0.77083333333333337</v>
      </c>
      <c r="P831">
        <v>47.5</v>
      </c>
      <c r="Q831" t="s">
        <v>39</v>
      </c>
      <c r="R831" t="s">
        <v>40</v>
      </c>
      <c r="T831" t="s">
        <v>39</v>
      </c>
      <c r="U831" s="1">
        <v>45838</v>
      </c>
    </row>
    <row r="832" spans="1:21" x14ac:dyDescent="0.3">
      <c r="A832">
        <v>826</v>
      </c>
      <c r="B832">
        <v>276</v>
      </c>
      <c r="C832">
        <v>1</v>
      </c>
      <c r="D832" t="s">
        <v>19</v>
      </c>
      <c r="E832" t="s">
        <v>22</v>
      </c>
      <c r="F832">
        <v>34</v>
      </c>
      <c r="G832" t="s">
        <v>26</v>
      </c>
      <c r="I832" t="s">
        <v>32</v>
      </c>
      <c r="J832" s="1">
        <v>45747</v>
      </c>
      <c r="K832" t="s">
        <v>34</v>
      </c>
      <c r="L832" t="s">
        <v>35</v>
      </c>
      <c r="M832" t="s">
        <v>38</v>
      </c>
      <c r="N832">
        <v>4</v>
      </c>
      <c r="O832">
        <v>0.8125</v>
      </c>
      <c r="P832">
        <v>89.5</v>
      </c>
      <c r="Q832" t="s">
        <v>39</v>
      </c>
      <c r="R832" t="s">
        <v>39</v>
      </c>
      <c r="T832" t="s">
        <v>39</v>
      </c>
      <c r="U832" s="1">
        <v>45838</v>
      </c>
    </row>
    <row r="833" spans="1:21" x14ac:dyDescent="0.3">
      <c r="A833">
        <v>827</v>
      </c>
      <c r="B833">
        <v>276</v>
      </c>
      <c r="C833">
        <v>2</v>
      </c>
      <c r="D833" t="s">
        <v>21</v>
      </c>
      <c r="E833" t="s">
        <v>22</v>
      </c>
      <c r="F833">
        <v>34</v>
      </c>
      <c r="G833" t="s">
        <v>26</v>
      </c>
      <c r="I833" t="s">
        <v>32</v>
      </c>
      <c r="J833" s="1">
        <v>45747</v>
      </c>
      <c r="K833" t="s">
        <v>34</v>
      </c>
      <c r="L833" t="s">
        <v>36</v>
      </c>
      <c r="M833" t="s">
        <v>38</v>
      </c>
      <c r="N833">
        <v>4</v>
      </c>
      <c r="O833">
        <v>0.83333333333333337</v>
      </c>
      <c r="P833">
        <v>69.5</v>
      </c>
      <c r="Q833" t="s">
        <v>39</v>
      </c>
      <c r="R833" t="s">
        <v>39</v>
      </c>
      <c r="T833" t="s">
        <v>39</v>
      </c>
      <c r="U833" s="1">
        <v>45838</v>
      </c>
    </row>
    <row r="834" spans="1:21" x14ac:dyDescent="0.3">
      <c r="A834">
        <v>828</v>
      </c>
      <c r="B834">
        <v>276</v>
      </c>
      <c r="C834">
        <v>3</v>
      </c>
      <c r="D834" t="s">
        <v>19</v>
      </c>
      <c r="E834" t="s">
        <v>22</v>
      </c>
      <c r="F834">
        <v>34</v>
      </c>
      <c r="G834" t="s">
        <v>26</v>
      </c>
      <c r="I834" t="s">
        <v>32</v>
      </c>
      <c r="J834" s="1">
        <v>45747</v>
      </c>
      <c r="K834" t="s">
        <v>34</v>
      </c>
      <c r="L834" t="s">
        <v>37</v>
      </c>
      <c r="M834" t="s">
        <v>38</v>
      </c>
      <c r="N834">
        <v>4</v>
      </c>
      <c r="O834">
        <v>0.89583333333333337</v>
      </c>
      <c r="P834">
        <v>68</v>
      </c>
      <c r="Q834" t="s">
        <v>39</v>
      </c>
      <c r="R834" t="s">
        <v>39</v>
      </c>
      <c r="T834" t="s">
        <v>39</v>
      </c>
      <c r="U834" s="1">
        <v>45838</v>
      </c>
    </row>
    <row r="835" spans="1:21" x14ac:dyDescent="0.3">
      <c r="A835">
        <v>829</v>
      </c>
      <c r="B835">
        <v>277</v>
      </c>
      <c r="C835">
        <v>1</v>
      </c>
      <c r="D835" t="s">
        <v>19</v>
      </c>
      <c r="E835" t="s">
        <v>23</v>
      </c>
      <c r="F835">
        <v>22</v>
      </c>
      <c r="G835" t="s">
        <v>28</v>
      </c>
      <c r="I835" t="s">
        <v>31</v>
      </c>
      <c r="J835" s="1">
        <v>45695</v>
      </c>
      <c r="K835" t="s">
        <v>34</v>
      </c>
      <c r="L835" t="s">
        <v>35</v>
      </c>
      <c r="M835" t="s">
        <v>38</v>
      </c>
      <c r="N835">
        <v>4</v>
      </c>
      <c r="O835">
        <v>0.875</v>
      </c>
      <c r="P835">
        <v>60</v>
      </c>
      <c r="Q835" t="s">
        <v>40</v>
      </c>
      <c r="R835" t="s">
        <v>40</v>
      </c>
      <c r="T835" t="s">
        <v>40</v>
      </c>
      <c r="U835" s="1">
        <v>45838</v>
      </c>
    </row>
    <row r="836" spans="1:21" x14ac:dyDescent="0.3">
      <c r="A836">
        <v>830</v>
      </c>
      <c r="B836">
        <v>277</v>
      </c>
      <c r="C836">
        <v>2</v>
      </c>
      <c r="D836" t="s">
        <v>20</v>
      </c>
      <c r="E836" t="s">
        <v>23</v>
      </c>
      <c r="F836">
        <v>22</v>
      </c>
      <c r="G836" t="s">
        <v>28</v>
      </c>
      <c r="I836" t="s">
        <v>31</v>
      </c>
      <c r="J836" s="1">
        <v>45695</v>
      </c>
      <c r="K836" t="s">
        <v>34</v>
      </c>
      <c r="L836" t="s">
        <v>36</v>
      </c>
      <c r="M836" t="s">
        <v>38</v>
      </c>
      <c r="N836">
        <v>4</v>
      </c>
      <c r="O836">
        <v>0.89583333333333337</v>
      </c>
      <c r="P836">
        <v>90.5</v>
      </c>
      <c r="Q836" t="s">
        <v>40</v>
      </c>
      <c r="R836" t="s">
        <v>40</v>
      </c>
      <c r="T836" t="s">
        <v>40</v>
      </c>
      <c r="U836" s="1">
        <v>45838</v>
      </c>
    </row>
    <row r="837" spans="1:21" x14ac:dyDescent="0.3">
      <c r="A837">
        <v>831</v>
      </c>
      <c r="B837">
        <v>277</v>
      </c>
      <c r="C837">
        <v>3</v>
      </c>
      <c r="D837" t="s">
        <v>19</v>
      </c>
      <c r="E837" t="s">
        <v>23</v>
      </c>
      <c r="F837">
        <v>22</v>
      </c>
      <c r="G837" t="s">
        <v>28</v>
      </c>
      <c r="I837" t="s">
        <v>31</v>
      </c>
      <c r="J837" s="1">
        <v>45695</v>
      </c>
      <c r="K837" t="s">
        <v>34</v>
      </c>
      <c r="L837" t="s">
        <v>37</v>
      </c>
      <c r="M837" t="s">
        <v>38</v>
      </c>
      <c r="N837">
        <v>4</v>
      </c>
      <c r="O837">
        <v>0.8125</v>
      </c>
      <c r="P837">
        <v>79</v>
      </c>
      <c r="Q837" t="s">
        <v>40</v>
      </c>
      <c r="R837" t="s">
        <v>40</v>
      </c>
      <c r="T837" t="s">
        <v>40</v>
      </c>
      <c r="U837" s="1">
        <v>45838</v>
      </c>
    </row>
    <row r="838" spans="1:21" x14ac:dyDescent="0.3">
      <c r="A838">
        <v>832</v>
      </c>
      <c r="B838">
        <v>278</v>
      </c>
      <c r="C838">
        <v>1</v>
      </c>
      <c r="D838" t="s">
        <v>19</v>
      </c>
      <c r="E838" t="s">
        <v>23</v>
      </c>
      <c r="F838">
        <v>24</v>
      </c>
      <c r="G838" t="s">
        <v>28</v>
      </c>
      <c r="I838" t="s">
        <v>32</v>
      </c>
      <c r="J838" s="1">
        <v>45677</v>
      </c>
      <c r="K838" t="s">
        <v>34</v>
      </c>
      <c r="L838" t="s">
        <v>35</v>
      </c>
      <c r="M838" t="s">
        <v>38</v>
      </c>
      <c r="N838">
        <v>4</v>
      </c>
      <c r="O838">
        <v>0.83333333333333337</v>
      </c>
      <c r="P838">
        <v>67</v>
      </c>
      <c r="Q838" t="s">
        <v>39</v>
      </c>
      <c r="R838" t="s">
        <v>39</v>
      </c>
      <c r="T838" t="s">
        <v>40</v>
      </c>
      <c r="U838" s="1">
        <v>45838</v>
      </c>
    </row>
    <row r="839" spans="1:21" x14ac:dyDescent="0.3">
      <c r="A839">
        <v>833</v>
      </c>
      <c r="B839">
        <v>278</v>
      </c>
      <c r="C839">
        <v>2</v>
      </c>
      <c r="D839" t="s">
        <v>19</v>
      </c>
      <c r="E839" t="s">
        <v>23</v>
      </c>
      <c r="F839">
        <v>24</v>
      </c>
      <c r="G839" t="s">
        <v>28</v>
      </c>
      <c r="I839" t="s">
        <v>32</v>
      </c>
      <c r="J839" s="1">
        <v>45677</v>
      </c>
      <c r="K839" t="s">
        <v>34</v>
      </c>
      <c r="L839" t="s">
        <v>36</v>
      </c>
      <c r="M839" t="s">
        <v>38</v>
      </c>
      <c r="N839">
        <v>4</v>
      </c>
      <c r="O839">
        <v>0.8125</v>
      </c>
      <c r="P839">
        <v>74.5</v>
      </c>
      <c r="Q839" t="s">
        <v>39</v>
      </c>
      <c r="R839" t="s">
        <v>39</v>
      </c>
      <c r="T839" t="s">
        <v>40</v>
      </c>
      <c r="U839" s="1">
        <v>45838</v>
      </c>
    </row>
    <row r="840" spans="1:21" x14ac:dyDescent="0.3">
      <c r="A840">
        <v>834</v>
      </c>
      <c r="B840">
        <v>278</v>
      </c>
      <c r="C840">
        <v>3</v>
      </c>
      <c r="D840" t="s">
        <v>19</v>
      </c>
      <c r="E840" t="s">
        <v>23</v>
      </c>
      <c r="F840">
        <v>24</v>
      </c>
      <c r="G840" t="s">
        <v>28</v>
      </c>
      <c r="I840" t="s">
        <v>32</v>
      </c>
      <c r="J840" s="1">
        <v>45677</v>
      </c>
      <c r="K840" t="s">
        <v>34</v>
      </c>
      <c r="L840" t="s">
        <v>37</v>
      </c>
      <c r="M840" t="s">
        <v>38</v>
      </c>
      <c r="N840">
        <v>4</v>
      </c>
      <c r="O840">
        <v>0.8125</v>
      </c>
      <c r="P840">
        <v>85.5</v>
      </c>
      <c r="Q840" t="s">
        <v>39</v>
      </c>
      <c r="R840" t="s">
        <v>39</v>
      </c>
      <c r="T840" t="s">
        <v>40</v>
      </c>
      <c r="U840" s="1">
        <v>45838</v>
      </c>
    </row>
    <row r="841" spans="1:21" x14ac:dyDescent="0.3">
      <c r="A841">
        <v>835</v>
      </c>
      <c r="B841">
        <v>279</v>
      </c>
      <c r="C841">
        <v>1</v>
      </c>
      <c r="D841" t="s">
        <v>19</v>
      </c>
      <c r="E841" t="s">
        <v>22</v>
      </c>
      <c r="F841">
        <v>33</v>
      </c>
      <c r="G841" t="s">
        <v>27</v>
      </c>
      <c r="I841" t="s">
        <v>33</v>
      </c>
      <c r="J841" s="1">
        <v>45802</v>
      </c>
      <c r="K841" t="s">
        <v>34</v>
      </c>
      <c r="L841" t="s">
        <v>35</v>
      </c>
      <c r="M841" t="s">
        <v>38</v>
      </c>
      <c r="N841">
        <v>4</v>
      </c>
      <c r="O841">
        <v>0.85416666666666663</v>
      </c>
      <c r="P841">
        <v>54.5</v>
      </c>
      <c r="Q841" t="s">
        <v>39</v>
      </c>
      <c r="R841" t="s">
        <v>39</v>
      </c>
      <c r="T841" t="s">
        <v>40</v>
      </c>
      <c r="U841" s="1">
        <v>45838</v>
      </c>
    </row>
    <row r="842" spans="1:21" x14ac:dyDescent="0.3">
      <c r="A842">
        <v>836</v>
      </c>
      <c r="B842">
        <v>279</v>
      </c>
      <c r="C842">
        <v>2</v>
      </c>
      <c r="D842" t="s">
        <v>19</v>
      </c>
      <c r="E842" t="s">
        <v>22</v>
      </c>
      <c r="F842">
        <v>33</v>
      </c>
      <c r="G842" t="s">
        <v>27</v>
      </c>
      <c r="I842" t="s">
        <v>33</v>
      </c>
      <c r="J842" s="1">
        <v>45802</v>
      </c>
      <c r="K842" t="s">
        <v>34</v>
      </c>
      <c r="L842" t="s">
        <v>36</v>
      </c>
      <c r="M842" t="s">
        <v>38</v>
      </c>
      <c r="N842">
        <v>4</v>
      </c>
      <c r="O842">
        <v>0.77083333333333337</v>
      </c>
      <c r="P842">
        <v>65</v>
      </c>
      <c r="Q842" t="s">
        <v>39</v>
      </c>
      <c r="R842" t="s">
        <v>39</v>
      </c>
      <c r="T842" t="s">
        <v>40</v>
      </c>
      <c r="U842" s="1">
        <v>45838</v>
      </c>
    </row>
    <row r="843" spans="1:21" x14ac:dyDescent="0.3">
      <c r="A843">
        <v>837</v>
      </c>
      <c r="B843">
        <v>279</v>
      </c>
      <c r="C843">
        <v>3</v>
      </c>
      <c r="D843" t="s">
        <v>19</v>
      </c>
      <c r="E843" t="s">
        <v>22</v>
      </c>
      <c r="F843">
        <v>33</v>
      </c>
      <c r="G843" t="s">
        <v>27</v>
      </c>
      <c r="I843" t="s">
        <v>33</v>
      </c>
      <c r="J843" s="1">
        <v>45802</v>
      </c>
      <c r="K843" t="s">
        <v>34</v>
      </c>
      <c r="L843" t="s">
        <v>37</v>
      </c>
      <c r="M843" t="s">
        <v>38</v>
      </c>
      <c r="N843">
        <v>4</v>
      </c>
      <c r="O843">
        <v>0.83333333333333337</v>
      </c>
      <c r="P843">
        <v>93</v>
      </c>
      <c r="Q843" t="s">
        <v>39</v>
      </c>
      <c r="R843" t="s">
        <v>39</v>
      </c>
      <c r="T843" t="s">
        <v>40</v>
      </c>
      <c r="U843" s="1">
        <v>45838</v>
      </c>
    </row>
    <row r="844" spans="1:21" x14ac:dyDescent="0.3">
      <c r="A844">
        <v>838</v>
      </c>
      <c r="B844">
        <v>280</v>
      </c>
      <c r="C844">
        <v>1</v>
      </c>
      <c r="D844" t="s">
        <v>21</v>
      </c>
      <c r="E844" t="s">
        <v>23</v>
      </c>
      <c r="F844">
        <v>28</v>
      </c>
      <c r="G844" t="s">
        <v>28</v>
      </c>
      <c r="I844" t="s">
        <v>33</v>
      </c>
      <c r="J844" s="1">
        <v>45675</v>
      </c>
      <c r="K844" t="s">
        <v>34</v>
      </c>
      <c r="L844" t="s">
        <v>35</v>
      </c>
      <c r="M844" t="s">
        <v>38</v>
      </c>
      <c r="N844">
        <v>4</v>
      </c>
      <c r="O844">
        <v>0.85416666666666663</v>
      </c>
      <c r="P844">
        <v>80</v>
      </c>
      <c r="Q844" t="s">
        <v>39</v>
      </c>
      <c r="R844" t="s">
        <v>40</v>
      </c>
      <c r="T844" t="s">
        <v>40</v>
      </c>
      <c r="U844" s="1">
        <v>45838</v>
      </c>
    </row>
    <row r="845" spans="1:21" x14ac:dyDescent="0.3">
      <c r="A845">
        <v>839</v>
      </c>
      <c r="B845">
        <v>280</v>
      </c>
      <c r="C845">
        <v>2</v>
      </c>
      <c r="D845" t="s">
        <v>21</v>
      </c>
      <c r="E845" t="s">
        <v>23</v>
      </c>
      <c r="F845">
        <v>28</v>
      </c>
      <c r="G845" t="s">
        <v>28</v>
      </c>
      <c r="I845" t="s">
        <v>33</v>
      </c>
      <c r="J845" s="1">
        <v>45675</v>
      </c>
      <c r="K845" t="s">
        <v>34</v>
      </c>
      <c r="L845" t="s">
        <v>36</v>
      </c>
      <c r="M845" t="s">
        <v>38</v>
      </c>
      <c r="N845">
        <v>4</v>
      </c>
      <c r="O845">
        <v>0.89583333333333337</v>
      </c>
      <c r="P845">
        <v>58</v>
      </c>
      <c r="Q845" t="s">
        <v>39</v>
      </c>
      <c r="R845" t="s">
        <v>40</v>
      </c>
      <c r="T845" t="s">
        <v>40</v>
      </c>
      <c r="U845" s="1">
        <v>45838</v>
      </c>
    </row>
    <row r="846" spans="1:21" x14ac:dyDescent="0.3">
      <c r="A846">
        <v>840</v>
      </c>
      <c r="B846">
        <v>280</v>
      </c>
      <c r="C846">
        <v>3</v>
      </c>
      <c r="D846" t="s">
        <v>21</v>
      </c>
      <c r="E846" t="s">
        <v>23</v>
      </c>
      <c r="F846">
        <v>28</v>
      </c>
      <c r="G846" t="s">
        <v>28</v>
      </c>
      <c r="I846" t="s">
        <v>33</v>
      </c>
      <c r="J846" s="1">
        <v>45675</v>
      </c>
      <c r="K846" t="s">
        <v>34</v>
      </c>
      <c r="L846" t="s">
        <v>37</v>
      </c>
      <c r="M846" t="s">
        <v>38</v>
      </c>
      <c r="N846">
        <v>4</v>
      </c>
      <c r="O846">
        <v>0.77083333333333337</v>
      </c>
      <c r="P846">
        <v>59</v>
      </c>
      <c r="Q846" t="s">
        <v>39</v>
      </c>
      <c r="R846" t="s">
        <v>40</v>
      </c>
      <c r="T846" t="s">
        <v>40</v>
      </c>
      <c r="U846" s="1">
        <v>45838</v>
      </c>
    </row>
    <row r="847" spans="1:21" x14ac:dyDescent="0.3">
      <c r="A847">
        <v>841</v>
      </c>
      <c r="B847">
        <v>281</v>
      </c>
      <c r="C847">
        <v>1</v>
      </c>
      <c r="D847" t="s">
        <v>19</v>
      </c>
      <c r="E847" t="s">
        <v>23</v>
      </c>
      <c r="F847">
        <v>32</v>
      </c>
      <c r="G847" t="s">
        <v>24</v>
      </c>
      <c r="I847" t="s">
        <v>30</v>
      </c>
      <c r="J847" s="1">
        <v>45728</v>
      </c>
      <c r="K847" t="s">
        <v>34</v>
      </c>
      <c r="L847" t="s">
        <v>35</v>
      </c>
      <c r="M847" t="s">
        <v>38</v>
      </c>
      <c r="N847">
        <v>4</v>
      </c>
      <c r="O847">
        <v>0.8125</v>
      </c>
      <c r="P847">
        <v>74</v>
      </c>
      <c r="Q847" t="s">
        <v>39</v>
      </c>
      <c r="R847" t="s">
        <v>39</v>
      </c>
      <c r="T847" t="s">
        <v>40</v>
      </c>
      <c r="U847" s="1">
        <v>45838</v>
      </c>
    </row>
    <row r="848" spans="1:21" x14ac:dyDescent="0.3">
      <c r="A848">
        <v>842</v>
      </c>
      <c r="B848">
        <v>281</v>
      </c>
      <c r="C848">
        <v>2</v>
      </c>
      <c r="D848" t="s">
        <v>19</v>
      </c>
      <c r="E848" t="s">
        <v>23</v>
      </c>
      <c r="F848">
        <v>32</v>
      </c>
      <c r="G848" t="s">
        <v>24</v>
      </c>
      <c r="I848" t="s">
        <v>30</v>
      </c>
      <c r="J848" s="1">
        <v>45728</v>
      </c>
      <c r="K848" t="s">
        <v>34</v>
      </c>
      <c r="L848" t="s">
        <v>36</v>
      </c>
      <c r="M848" t="s">
        <v>38</v>
      </c>
      <c r="N848">
        <v>4</v>
      </c>
      <c r="O848">
        <v>0.91666666666666663</v>
      </c>
      <c r="P848">
        <v>73.5</v>
      </c>
      <c r="Q848" t="s">
        <v>39</v>
      </c>
      <c r="R848" t="s">
        <v>39</v>
      </c>
      <c r="T848" t="s">
        <v>40</v>
      </c>
      <c r="U848" s="1">
        <v>45838</v>
      </c>
    </row>
    <row r="849" spans="1:21" x14ac:dyDescent="0.3">
      <c r="A849">
        <v>843</v>
      </c>
      <c r="B849">
        <v>281</v>
      </c>
      <c r="C849">
        <v>3</v>
      </c>
      <c r="D849" t="s">
        <v>19</v>
      </c>
      <c r="E849" t="s">
        <v>23</v>
      </c>
      <c r="F849">
        <v>32</v>
      </c>
      <c r="G849" t="s">
        <v>24</v>
      </c>
      <c r="I849" t="s">
        <v>30</v>
      </c>
      <c r="J849" s="1">
        <v>45728</v>
      </c>
      <c r="K849" t="s">
        <v>34</v>
      </c>
      <c r="L849" t="s">
        <v>37</v>
      </c>
      <c r="M849" t="s">
        <v>38</v>
      </c>
      <c r="N849">
        <v>4</v>
      </c>
      <c r="O849">
        <v>0.875</v>
      </c>
      <c r="P849">
        <v>82.5</v>
      </c>
      <c r="Q849" t="s">
        <v>39</v>
      </c>
      <c r="R849" t="s">
        <v>39</v>
      </c>
      <c r="T849" t="s">
        <v>40</v>
      </c>
      <c r="U849" s="1">
        <v>45838</v>
      </c>
    </row>
    <row r="850" spans="1:21" x14ac:dyDescent="0.3">
      <c r="A850">
        <v>844</v>
      </c>
      <c r="B850">
        <v>282</v>
      </c>
      <c r="C850">
        <v>1</v>
      </c>
      <c r="D850" t="s">
        <v>19</v>
      </c>
      <c r="E850" t="s">
        <v>22</v>
      </c>
      <c r="F850">
        <v>29</v>
      </c>
      <c r="G850" t="s">
        <v>26</v>
      </c>
      <c r="I850" t="s">
        <v>31</v>
      </c>
      <c r="J850" s="1">
        <v>45737</v>
      </c>
      <c r="K850" t="s">
        <v>34</v>
      </c>
      <c r="L850" t="s">
        <v>35</v>
      </c>
      <c r="M850" t="s">
        <v>38</v>
      </c>
      <c r="N850">
        <v>4</v>
      </c>
      <c r="O850">
        <v>0.77083333333333337</v>
      </c>
      <c r="P850">
        <v>78</v>
      </c>
      <c r="Q850" t="s">
        <v>39</v>
      </c>
      <c r="R850" t="s">
        <v>40</v>
      </c>
      <c r="T850" t="s">
        <v>40</v>
      </c>
      <c r="U850" s="1">
        <v>45838</v>
      </c>
    </row>
    <row r="851" spans="1:21" x14ac:dyDescent="0.3">
      <c r="A851">
        <v>845</v>
      </c>
      <c r="B851">
        <v>282</v>
      </c>
      <c r="C851">
        <v>2</v>
      </c>
      <c r="D851" t="s">
        <v>21</v>
      </c>
      <c r="E851" t="s">
        <v>22</v>
      </c>
      <c r="F851">
        <v>29</v>
      </c>
      <c r="G851" t="s">
        <v>26</v>
      </c>
      <c r="I851" t="s">
        <v>31</v>
      </c>
      <c r="J851" s="1">
        <v>45737</v>
      </c>
      <c r="K851" t="s">
        <v>34</v>
      </c>
      <c r="L851" t="s">
        <v>36</v>
      </c>
      <c r="M851" t="s">
        <v>38</v>
      </c>
      <c r="N851">
        <v>4</v>
      </c>
      <c r="O851">
        <v>0.8125</v>
      </c>
      <c r="P851">
        <v>81</v>
      </c>
      <c r="Q851" t="s">
        <v>39</v>
      </c>
      <c r="R851" t="s">
        <v>40</v>
      </c>
      <c r="T851" t="s">
        <v>40</v>
      </c>
      <c r="U851" s="1">
        <v>45838</v>
      </c>
    </row>
    <row r="852" spans="1:21" x14ac:dyDescent="0.3">
      <c r="A852">
        <v>846</v>
      </c>
      <c r="B852">
        <v>282</v>
      </c>
      <c r="C852">
        <v>3</v>
      </c>
      <c r="D852" t="s">
        <v>19</v>
      </c>
      <c r="E852" t="s">
        <v>22</v>
      </c>
      <c r="F852">
        <v>29</v>
      </c>
      <c r="G852" t="s">
        <v>26</v>
      </c>
      <c r="I852" t="s">
        <v>31</v>
      </c>
      <c r="J852" s="1">
        <v>45737</v>
      </c>
      <c r="K852" t="s">
        <v>34</v>
      </c>
      <c r="L852" t="s">
        <v>37</v>
      </c>
      <c r="M852" t="s">
        <v>38</v>
      </c>
      <c r="N852">
        <v>4</v>
      </c>
      <c r="O852">
        <v>0.91666666666666663</v>
      </c>
      <c r="P852">
        <v>69.5</v>
      </c>
      <c r="Q852" t="s">
        <v>39</v>
      </c>
      <c r="R852" t="s">
        <v>40</v>
      </c>
      <c r="T852" t="s">
        <v>40</v>
      </c>
      <c r="U852" s="1">
        <v>45838</v>
      </c>
    </row>
    <row r="853" spans="1:21" x14ac:dyDescent="0.3">
      <c r="A853">
        <v>847</v>
      </c>
      <c r="B853">
        <v>283</v>
      </c>
      <c r="C853">
        <v>1</v>
      </c>
      <c r="D853" t="s">
        <v>19</v>
      </c>
      <c r="E853" t="s">
        <v>23</v>
      </c>
      <c r="F853">
        <v>32</v>
      </c>
      <c r="G853" t="s">
        <v>25</v>
      </c>
      <c r="I853" t="s">
        <v>31</v>
      </c>
      <c r="J853" s="1">
        <v>45752</v>
      </c>
      <c r="K853" t="s">
        <v>34</v>
      </c>
      <c r="L853" t="s">
        <v>35</v>
      </c>
      <c r="M853" t="s">
        <v>38</v>
      </c>
      <c r="N853">
        <v>4</v>
      </c>
      <c r="O853">
        <v>0.83333333333333337</v>
      </c>
      <c r="P853">
        <v>68.5</v>
      </c>
      <c r="Q853" t="s">
        <v>39</v>
      </c>
      <c r="R853" t="s">
        <v>40</v>
      </c>
      <c r="T853" t="s">
        <v>40</v>
      </c>
      <c r="U853" s="1">
        <v>45838</v>
      </c>
    </row>
    <row r="854" spans="1:21" x14ac:dyDescent="0.3">
      <c r="A854">
        <v>848</v>
      </c>
      <c r="B854">
        <v>283</v>
      </c>
      <c r="C854">
        <v>2</v>
      </c>
      <c r="D854" t="s">
        <v>20</v>
      </c>
      <c r="E854" t="s">
        <v>23</v>
      </c>
      <c r="F854">
        <v>32</v>
      </c>
      <c r="G854" t="s">
        <v>25</v>
      </c>
      <c r="I854" t="s">
        <v>31</v>
      </c>
      <c r="J854" s="1">
        <v>45752</v>
      </c>
      <c r="K854" t="s">
        <v>34</v>
      </c>
      <c r="L854" t="s">
        <v>36</v>
      </c>
      <c r="M854" t="s">
        <v>38</v>
      </c>
      <c r="N854">
        <v>4</v>
      </c>
      <c r="O854">
        <v>0.875</v>
      </c>
      <c r="P854">
        <v>82.5</v>
      </c>
      <c r="Q854" t="s">
        <v>39</v>
      </c>
      <c r="R854" t="s">
        <v>40</v>
      </c>
      <c r="T854" t="s">
        <v>40</v>
      </c>
      <c r="U854" s="1">
        <v>45838</v>
      </c>
    </row>
    <row r="855" spans="1:21" x14ac:dyDescent="0.3">
      <c r="A855">
        <v>849</v>
      </c>
      <c r="B855">
        <v>283</v>
      </c>
      <c r="C855">
        <v>3</v>
      </c>
      <c r="D855" t="s">
        <v>20</v>
      </c>
      <c r="E855" t="s">
        <v>23</v>
      </c>
      <c r="F855">
        <v>32</v>
      </c>
      <c r="G855" t="s">
        <v>25</v>
      </c>
      <c r="I855" t="s">
        <v>31</v>
      </c>
      <c r="J855" s="1">
        <v>45752</v>
      </c>
      <c r="K855" t="s">
        <v>34</v>
      </c>
      <c r="L855" t="s">
        <v>37</v>
      </c>
      <c r="M855" t="s">
        <v>38</v>
      </c>
      <c r="N855">
        <v>4</v>
      </c>
      <c r="O855">
        <v>0.875</v>
      </c>
      <c r="P855">
        <v>53.5</v>
      </c>
      <c r="Q855" t="s">
        <v>39</v>
      </c>
      <c r="R855" t="s">
        <v>40</v>
      </c>
      <c r="T855" t="s">
        <v>40</v>
      </c>
      <c r="U855" s="1">
        <v>45838</v>
      </c>
    </row>
    <row r="856" spans="1:21" x14ac:dyDescent="0.3">
      <c r="A856">
        <v>850</v>
      </c>
      <c r="B856">
        <v>284</v>
      </c>
      <c r="C856">
        <v>1</v>
      </c>
      <c r="D856" t="s">
        <v>19</v>
      </c>
      <c r="E856" t="s">
        <v>23</v>
      </c>
      <c r="F856">
        <v>20</v>
      </c>
      <c r="G856" t="s">
        <v>24</v>
      </c>
      <c r="I856" t="s">
        <v>31</v>
      </c>
      <c r="J856" s="1">
        <v>45787</v>
      </c>
      <c r="K856" t="s">
        <v>34</v>
      </c>
      <c r="L856" t="s">
        <v>35</v>
      </c>
      <c r="M856" t="s">
        <v>38</v>
      </c>
      <c r="N856">
        <v>4</v>
      </c>
      <c r="O856">
        <v>0.89583333333333337</v>
      </c>
      <c r="P856">
        <v>84</v>
      </c>
      <c r="Q856" t="s">
        <v>39</v>
      </c>
      <c r="R856" t="s">
        <v>39</v>
      </c>
      <c r="T856" t="s">
        <v>40</v>
      </c>
      <c r="U856" s="1">
        <v>45838</v>
      </c>
    </row>
    <row r="857" spans="1:21" x14ac:dyDescent="0.3">
      <c r="A857">
        <v>851</v>
      </c>
      <c r="B857">
        <v>284</v>
      </c>
      <c r="C857">
        <v>2</v>
      </c>
      <c r="D857" t="s">
        <v>19</v>
      </c>
      <c r="E857" t="s">
        <v>23</v>
      </c>
      <c r="F857">
        <v>20</v>
      </c>
      <c r="G857" t="s">
        <v>24</v>
      </c>
      <c r="I857" t="s">
        <v>31</v>
      </c>
      <c r="J857" s="1">
        <v>45787</v>
      </c>
      <c r="K857" t="s">
        <v>34</v>
      </c>
      <c r="L857" t="s">
        <v>36</v>
      </c>
      <c r="M857" t="s">
        <v>38</v>
      </c>
      <c r="N857">
        <v>4</v>
      </c>
      <c r="O857">
        <v>0.75</v>
      </c>
      <c r="P857">
        <v>78</v>
      </c>
      <c r="Q857" t="s">
        <v>39</v>
      </c>
      <c r="R857" t="s">
        <v>39</v>
      </c>
      <c r="T857" t="s">
        <v>40</v>
      </c>
      <c r="U857" s="1">
        <v>45838</v>
      </c>
    </row>
    <row r="858" spans="1:21" x14ac:dyDescent="0.3">
      <c r="A858">
        <v>852</v>
      </c>
      <c r="B858">
        <v>284</v>
      </c>
      <c r="C858">
        <v>3</v>
      </c>
      <c r="D858" t="s">
        <v>19</v>
      </c>
      <c r="E858" t="s">
        <v>23</v>
      </c>
      <c r="F858">
        <v>20</v>
      </c>
      <c r="G858" t="s">
        <v>24</v>
      </c>
      <c r="I858" t="s">
        <v>31</v>
      </c>
      <c r="J858" s="1">
        <v>45787</v>
      </c>
      <c r="K858" t="s">
        <v>34</v>
      </c>
      <c r="L858" t="s">
        <v>37</v>
      </c>
      <c r="M858" t="s">
        <v>38</v>
      </c>
      <c r="N858">
        <v>4</v>
      </c>
      <c r="O858">
        <v>0.91666666666666663</v>
      </c>
      <c r="P858">
        <v>70</v>
      </c>
      <c r="Q858" t="s">
        <v>39</v>
      </c>
      <c r="R858" t="s">
        <v>39</v>
      </c>
      <c r="T858" t="s">
        <v>40</v>
      </c>
      <c r="U858" s="1">
        <v>45838</v>
      </c>
    </row>
    <row r="859" spans="1:21" x14ac:dyDescent="0.3">
      <c r="A859">
        <v>853</v>
      </c>
      <c r="B859">
        <v>285</v>
      </c>
      <c r="C859">
        <v>1</v>
      </c>
      <c r="D859" t="s">
        <v>19</v>
      </c>
      <c r="E859" t="s">
        <v>23</v>
      </c>
      <c r="F859">
        <v>32</v>
      </c>
      <c r="G859" t="s">
        <v>26</v>
      </c>
      <c r="I859" t="s">
        <v>31</v>
      </c>
      <c r="J859" s="1">
        <v>45773</v>
      </c>
      <c r="K859" t="s">
        <v>34</v>
      </c>
      <c r="L859" t="s">
        <v>35</v>
      </c>
      <c r="M859" t="s">
        <v>38</v>
      </c>
      <c r="N859">
        <v>4</v>
      </c>
      <c r="O859">
        <v>0.85416666666666663</v>
      </c>
      <c r="P859">
        <v>79.5</v>
      </c>
      <c r="Q859" t="s">
        <v>39</v>
      </c>
      <c r="R859" t="s">
        <v>39</v>
      </c>
      <c r="T859" t="s">
        <v>40</v>
      </c>
      <c r="U859" s="1">
        <v>45838</v>
      </c>
    </row>
    <row r="860" spans="1:21" x14ac:dyDescent="0.3">
      <c r="A860">
        <v>854</v>
      </c>
      <c r="B860">
        <v>285</v>
      </c>
      <c r="C860">
        <v>2</v>
      </c>
      <c r="D860" t="s">
        <v>19</v>
      </c>
      <c r="E860" t="s">
        <v>23</v>
      </c>
      <c r="F860">
        <v>32</v>
      </c>
      <c r="G860" t="s">
        <v>26</v>
      </c>
      <c r="I860" t="s">
        <v>31</v>
      </c>
      <c r="J860" s="1">
        <v>45773</v>
      </c>
      <c r="K860" t="s">
        <v>34</v>
      </c>
      <c r="L860" t="s">
        <v>36</v>
      </c>
      <c r="M860" t="s">
        <v>38</v>
      </c>
      <c r="N860">
        <v>4</v>
      </c>
      <c r="O860">
        <v>0.89583333333333337</v>
      </c>
      <c r="P860">
        <v>53.5</v>
      </c>
      <c r="Q860" t="s">
        <v>39</v>
      </c>
      <c r="R860" t="s">
        <v>39</v>
      </c>
      <c r="T860" t="s">
        <v>40</v>
      </c>
      <c r="U860" s="1">
        <v>45838</v>
      </c>
    </row>
    <row r="861" spans="1:21" x14ac:dyDescent="0.3">
      <c r="A861">
        <v>855</v>
      </c>
      <c r="B861">
        <v>285</v>
      </c>
      <c r="C861">
        <v>3</v>
      </c>
      <c r="D861" t="s">
        <v>20</v>
      </c>
      <c r="E861" t="s">
        <v>23</v>
      </c>
      <c r="F861">
        <v>32</v>
      </c>
      <c r="G861" t="s">
        <v>26</v>
      </c>
      <c r="I861" t="s">
        <v>31</v>
      </c>
      <c r="J861" s="1">
        <v>45773</v>
      </c>
      <c r="K861" t="s">
        <v>34</v>
      </c>
      <c r="L861" t="s">
        <v>37</v>
      </c>
      <c r="M861" t="s">
        <v>38</v>
      </c>
      <c r="N861">
        <v>4</v>
      </c>
      <c r="O861">
        <v>0.83333333333333337</v>
      </c>
      <c r="P861">
        <v>60.5</v>
      </c>
      <c r="Q861" t="s">
        <v>39</v>
      </c>
      <c r="R861" t="s">
        <v>39</v>
      </c>
      <c r="T861" t="s">
        <v>40</v>
      </c>
      <c r="U861" s="1">
        <v>45838</v>
      </c>
    </row>
    <row r="862" spans="1:21" x14ac:dyDescent="0.3">
      <c r="A862">
        <v>856</v>
      </c>
      <c r="B862">
        <v>286</v>
      </c>
      <c r="C862">
        <v>1</v>
      </c>
      <c r="D862" t="s">
        <v>20</v>
      </c>
      <c r="E862" t="s">
        <v>22</v>
      </c>
      <c r="F862">
        <v>28</v>
      </c>
      <c r="G862" t="s">
        <v>26</v>
      </c>
      <c r="I862" t="s">
        <v>33</v>
      </c>
      <c r="J862" s="1">
        <v>45786</v>
      </c>
      <c r="K862" t="s">
        <v>34</v>
      </c>
      <c r="L862" t="s">
        <v>35</v>
      </c>
      <c r="M862" t="s">
        <v>38</v>
      </c>
      <c r="N862">
        <v>4</v>
      </c>
      <c r="O862">
        <v>0.75</v>
      </c>
      <c r="P862">
        <v>67</v>
      </c>
      <c r="Q862" t="s">
        <v>40</v>
      </c>
      <c r="R862" t="s">
        <v>40</v>
      </c>
      <c r="T862" t="s">
        <v>40</v>
      </c>
      <c r="U862" s="1">
        <v>45838</v>
      </c>
    </row>
    <row r="863" spans="1:21" x14ac:dyDescent="0.3">
      <c r="A863">
        <v>857</v>
      </c>
      <c r="B863">
        <v>286</v>
      </c>
      <c r="C863">
        <v>2</v>
      </c>
      <c r="D863" t="s">
        <v>20</v>
      </c>
      <c r="E863" t="s">
        <v>22</v>
      </c>
      <c r="F863">
        <v>28</v>
      </c>
      <c r="G863" t="s">
        <v>26</v>
      </c>
      <c r="I863" t="s">
        <v>33</v>
      </c>
      <c r="J863" s="1">
        <v>45786</v>
      </c>
      <c r="K863" t="s">
        <v>34</v>
      </c>
      <c r="L863" t="s">
        <v>36</v>
      </c>
      <c r="M863" t="s">
        <v>38</v>
      </c>
      <c r="N863">
        <v>4</v>
      </c>
      <c r="O863">
        <v>0.83333333333333337</v>
      </c>
      <c r="P863">
        <v>73</v>
      </c>
      <c r="Q863" t="s">
        <v>40</v>
      </c>
      <c r="R863" t="s">
        <v>40</v>
      </c>
      <c r="T863" t="s">
        <v>40</v>
      </c>
      <c r="U863" s="1">
        <v>45838</v>
      </c>
    </row>
    <row r="864" spans="1:21" x14ac:dyDescent="0.3">
      <c r="A864">
        <v>858</v>
      </c>
      <c r="B864">
        <v>286</v>
      </c>
      <c r="C864">
        <v>3</v>
      </c>
      <c r="D864" t="s">
        <v>19</v>
      </c>
      <c r="E864" t="s">
        <v>22</v>
      </c>
      <c r="F864">
        <v>28</v>
      </c>
      <c r="G864" t="s">
        <v>26</v>
      </c>
      <c r="I864" t="s">
        <v>33</v>
      </c>
      <c r="J864" s="1">
        <v>45786</v>
      </c>
      <c r="K864" t="s">
        <v>34</v>
      </c>
      <c r="L864" t="s">
        <v>37</v>
      </c>
      <c r="M864" t="s">
        <v>38</v>
      </c>
      <c r="N864">
        <v>4</v>
      </c>
      <c r="O864">
        <v>0.72916666666666663</v>
      </c>
      <c r="P864">
        <v>87</v>
      </c>
      <c r="Q864" t="s">
        <v>40</v>
      </c>
      <c r="R864" t="s">
        <v>40</v>
      </c>
      <c r="T864" t="s">
        <v>40</v>
      </c>
      <c r="U864" s="1">
        <v>45838</v>
      </c>
    </row>
    <row r="865" spans="1:21" x14ac:dyDescent="0.3">
      <c r="A865">
        <v>859</v>
      </c>
      <c r="B865">
        <v>287</v>
      </c>
      <c r="C865">
        <v>1</v>
      </c>
      <c r="D865" t="s">
        <v>21</v>
      </c>
      <c r="E865" t="s">
        <v>22</v>
      </c>
      <c r="F865">
        <v>19</v>
      </c>
      <c r="G865" t="s">
        <v>27</v>
      </c>
      <c r="I865" t="s">
        <v>31</v>
      </c>
      <c r="J865" s="1">
        <v>45745</v>
      </c>
      <c r="K865" t="s">
        <v>34</v>
      </c>
      <c r="L865" t="s">
        <v>35</v>
      </c>
      <c r="M865" t="s">
        <v>38</v>
      </c>
      <c r="N865">
        <v>4</v>
      </c>
      <c r="O865">
        <v>0.83333333333333337</v>
      </c>
      <c r="P865">
        <v>85.5</v>
      </c>
      <c r="Q865" t="s">
        <v>40</v>
      </c>
      <c r="R865" t="s">
        <v>40</v>
      </c>
      <c r="T865" t="s">
        <v>40</v>
      </c>
      <c r="U865" s="1">
        <v>45838</v>
      </c>
    </row>
    <row r="866" spans="1:21" x14ac:dyDescent="0.3">
      <c r="A866">
        <v>860</v>
      </c>
      <c r="B866">
        <v>287</v>
      </c>
      <c r="C866">
        <v>2</v>
      </c>
      <c r="D866" t="s">
        <v>19</v>
      </c>
      <c r="E866" t="s">
        <v>22</v>
      </c>
      <c r="F866">
        <v>19</v>
      </c>
      <c r="G866" t="s">
        <v>27</v>
      </c>
      <c r="I866" t="s">
        <v>31</v>
      </c>
      <c r="J866" s="1">
        <v>45745</v>
      </c>
      <c r="K866" t="s">
        <v>34</v>
      </c>
      <c r="L866" t="s">
        <v>36</v>
      </c>
      <c r="M866" t="s">
        <v>38</v>
      </c>
      <c r="N866">
        <v>4</v>
      </c>
      <c r="O866">
        <v>0.79166666666666663</v>
      </c>
      <c r="P866">
        <v>75.5</v>
      </c>
      <c r="Q866" t="s">
        <v>40</v>
      </c>
      <c r="R866" t="s">
        <v>40</v>
      </c>
      <c r="T866" t="s">
        <v>40</v>
      </c>
      <c r="U866" s="1">
        <v>45838</v>
      </c>
    </row>
    <row r="867" spans="1:21" x14ac:dyDescent="0.3">
      <c r="A867">
        <v>861</v>
      </c>
      <c r="B867">
        <v>287</v>
      </c>
      <c r="C867">
        <v>3</v>
      </c>
      <c r="D867" t="s">
        <v>19</v>
      </c>
      <c r="E867" t="s">
        <v>22</v>
      </c>
      <c r="F867">
        <v>19</v>
      </c>
      <c r="G867" t="s">
        <v>27</v>
      </c>
      <c r="I867" t="s">
        <v>31</v>
      </c>
      <c r="J867" s="1">
        <v>45745</v>
      </c>
      <c r="K867" t="s">
        <v>34</v>
      </c>
      <c r="L867" t="s">
        <v>37</v>
      </c>
      <c r="M867" t="s">
        <v>38</v>
      </c>
      <c r="N867">
        <v>4</v>
      </c>
      <c r="O867">
        <v>0.75</v>
      </c>
      <c r="P867">
        <v>69.5</v>
      </c>
      <c r="Q867" t="s">
        <v>40</v>
      </c>
      <c r="R867" t="s">
        <v>40</v>
      </c>
      <c r="T867" t="s">
        <v>40</v>
      </c>
      <c r="U867" s="1">
        <v>45838</v>
      </c>
    </row>
    <row r="868" spans="1:21" x14ac:dyDescent="0.3">
      <c r="A868">
        <v>862</v>
      </c>
      <c r="B868">
        <v>288</v>
      </c>
      <c r="C868">
        <v>1</v>
      </c>
      <c r="D868" t="s">
        <v>21</v>
      </c>
      <c r="E868" t="s">
        <v>22</v>
      </c>
      <c r="F868">
        <v>34</v>
      </c>
      <c r="G868" t="s">
        <v>24</v>
      </c>
      <c r="I868" t="s">
        <v>32</v>
      </c>
      <c r="J868" s="1">
        <v>45668</v>
      </c>
      <c r="K868" t="s">
        <v>34</v>
      </c>
      <c r="L868" t="s">
        <v>35</v>
      </c>
      <c r="M868" t="s">
        <v>38</v>
      </c>
      <c r="N868">
        <v>4</v>
      </c>
      <c r="O868">
        <v>0.75</v>
      </c>
      <c r="P868">
        <v>81.5</v>
      </c>
      <c r="Q868" t="s">
        <v>39</v>
      </c>
      <c r="R868" t="s">
        <v>39</v>
      </c>
      <c r="T868" t="s">
        <v>39</v>
      </c>
      <c r="U868" s="1">
        <v>45838</v>
      </c>
    </row>
    <row r="869" spans="1:21" x14ac:dyDescent="0.3">
      <c r="A869">
        <v>863</v>
      </c>
      <c r="B869">
        <v>288</v>
      </c>
      <c r="C869">
        <v>2</v>
      </c>
      <c r="D869" t="s">
        <v>21</v>
      </c>
      <c r="E869" t="s">
        <v>22</v>
      </c>
      <c r="F869">
        <v>34</v>
      </c>
      <c r="G869" t="s">
        <v>24</v>
      </c>
      <c r="I869" t="s">
        <v>32</v>
      </c>
      <c r="J869" s="1">
        <v>45668</v>
      </c>
      <c r="K869" t="s">
        <v>34</v>
      </c>
      <c r="L869" t="s">
        <v>36</v>
      </c>
      <c r="M869" t="s">
        <v>38</v>
      </c>
      <c r="N869">
        <v>4</v>
      </c>
      <c r="O869">
        <v>0.8125</v>
      </c>
      <c r="P869">
        <v>85</v>
      </c>
      <c r="Q869" t="s">
        <v>39</v>
      </c>
      <c r="R869" t="s">
        <v>39</v>
      </c>
      <c r="T869" t="s">
        <v>39</v>
      </c>
      <c r="U869" s="1">
        <v>45838</v>
      </c>
    </row>
    <row r="870" spans="1:21" x14ac:dyDescent="0.3">
      <c r="A870">
        <v>864</v>
      </c>
      <c r="B870">
        <v>288</v>
      </c>
      <c r="C870">
        <v>3</v>
      </c>
      <c r="D870" t="s">
        <v>20</v>
      </c>
      <c r="E870" t="s">
        <v>22</v>
      </c>
      <c r="F870">
        <v>34</v>
      </c>
      <c r="G870" t="s">
        <v>24</v>
      </c>
      <c r="I870" t="s">
        <v>32</v>
      </c>
      <c r="J870" s="1">
        <v>45668</v>
      </c>
      <c r="K870" t="s">
        <v>34</v>
      </c>
      <c r="L870" t="s">
        <v>37</v>
      </c>
      <c r="M870" t="s">
        <v>38</v>
      </c>
      <c r="N870">
        <v>4</v>
      </c>
      <c r="O870">
        <v>0.875</v>
      </c>
      <c r="P870">
        <v>67.5</v>
      </c>
      <c r="Q870" t="s">
        <v>39</v>
      </c>
      <c r="R870" t="s">
        <v>39</v>
      </c>
      <c r="T870" t="s">
        <v>39</v>
      </c>
      <c r="U870" s="1">
        <v>45838</v>
      </c>
    </row>
    <row r="871" spans="1:21" x14ac:dyDescent="0.3">
      <c r="A871">
        <v>865</v>
      </c>
      <c r="B871">
        <v>289</v>
      </c>
      <c r="C871">
        <v>1</v>
      </c>
      <c r="D871" t="s">
        <v>21</v>
      </c>
      <c r="E871" t="s">
        <v>22</v>
      </c>
      <c r="F871">
        <v>32</v>
      </c>
      <c r="G871" t="s">
        <v>27</v>
      </c>
      <c r="I871" t="s">
        <v>32</v>
      </c>
      <c r="J871" s="1">
        <v>45751</v>
      </c>
      <c r="K871" t="s">
        <v>34</v>
      </c>
      <c r="L871" t="s">
        <v>35</v>
      </c>
      <c r="M871" t="s">
        <v>38</v>
      </c>
      <c r="N871">
        <v>4</v>
      </c>
      <c r="O871">
        <v>0.79166666666666663</v>
      </c>
      <c r="P871">
        <v>81</v>
      </c>
      <c r="Q871" t="s">
        <v>39</v>
      </c>
      <c r="R871" t="s">
        <v>39</v>
      </c>
      <c r="T871" t="s">
        <v>40</v>
      </c>
      <c r="U871" s="1">
        <v>45838</v>
      </c>
    </row>
    <row r="872" spans="1:21" x14ac:dyDescent="0.3">
      <c r="A872">
        <v>866</v>
      </c>
      <c r="B872">
        <v>289</v>
      </c>
      <c r="C872">
        <v>2</v>
      </c>
      <c r="D872" t="s">
        <v>19</v>
      </c>
      <c r="E872" t="s">
        <v>22</v>
      </c>
      <c r="F872">
        <v>32</v>
      </c>
      <c r="G872" t="s">
        <v>27</v>
      </c>
      <c r="I872" t="s">
        <v>32</v>
      </c>
      <c r="J872" s="1">
        <v>45751</v>
      </c>
      <c r="K872" t="s">
        <v>34</v>
      </c>
      <c r="L872" t="s">
        <v>36</v>
      </c>
      <c r="M872" t="s">
        <v>38</v>
      </c>
      <c r="N872">
        <v>4</v>
      </c>
      <c r="O872">
        <v>0.89583333333333337</v>
      </c>
      <c r="P872">
        <v>72.5</v>
      </c>
      <c r="Q872" t="s">
        <v>39</v>
      </c>
      <c r="R872" t="s">
        <v>39</v>
      </c>
      <c r="T872" t="s">
        <v>40</v>
      </c>
      <c r="U872" s="1">
        <v>45838</v>
      </c>
    </row>
    <row r="873" spans="1:21" x14ac:dyDescent="0.3">
      <c r="A873">
        <v>867</v>
      </c>
      <c r="B873">
        <v>289</v>
      </c>
      <c r="C873">
        <v>3</v>
      </c>
      <c r="D873" t="s">
        <v>19</v>
      </c>
      <c r="E873" t="s">
        <v>22</v>
      </c>
      <c r="F873">
        <v>32</v>
      </c>
      <c r="G873" t="s">
        <v>27</v>
      </c>
      <c r="I873" t="s">
        <v>32</v>
      </c>
      <c r="J873" s="1">
        <v>45751</v>
      </c>
      <c r="K873" t="s">
        <v>34</v>
      </c>
      <c r="L873" t="s">
        <v>37</v>
      </c>
      <c r="M873" t="s">
        <v>38</v>
      </c>
      <c r="N873">
        <v>4</v>
      </c>
      <c r="O873">
        <v>0.8125</v>
      </c>
      <c r="P873">
        <v>82.5</v>
      </c>
      <c r="Q873" t="s">
        <v>39</v>
      </c>
      <c r="R873" t="s">
        <v>39</v>
      </c>
      <c r="T873" t="s">
        <v>40</v>
      </c>
      <c r="U873" s="1">
        <v>45838</v>
      </c>
    </row>
    <row r="874" spans="1:21" x14ac:dyDescent="0.3">
      <c r="A874">
        <v>868</v>
      </c>
      <c r="B874">
        <v>290</v>
      </c>
      <c r="C874">
        <v>1</v>
      </c>
      <c r="D874" t="s">
        <v>19</v>
      </c>
      <c r="E874" t="s">
        <v>23</v>
      </c>
      <c r="F874">
        <v>27</v>
      </c>
      <c r="G874" t="s">
        <v>27</v>
      </c>
      <c r="I874" t="s">
        <v>33</v>
      </c>
      <c r="J874" s="1">
        <v>45744</v>
      </c>
      <c r="K874" t="s">
        <v>34</v>
      </c>
      <c r="L874" t="s">
        <v>35</v>
      </c>
      <c r="M874" t="s">
        <v>38</v>
      </c>
      <c r="N874">
        <v>4</v>
      </c>
      <c r="O874">
        <v>0.83333333333333337</v>
      </c>
      <c r="P874">
        <v>70.5</v>
      </c>
      <c r="Q874" t="s">
        <v>39</v>
      </c>
      <c r="R874" t="s">
        <v>40</v>
      </c>
      <c r="T874" t="s">
        <v>40</v>
      </c>
      <c r="U874" s="1">
        <v>45838</v>
      </c>
    </row>
    <row r="875" spans="1:21" x14ac:dyDescent="0.3">
      <c r="A875">
        <v>869</v>
      </c>
      <c r="B875">
        <v>290</v>
      </c>
      <c r="C875">
        <v>2</v>
      </c>
      <c r="D875" t="s">
        <v>19</v>
      </c>
      <c r="E875" t="s">
        <v>23</v>
      </c>
      <c r="F875">
        <v>27</v>
      </c>
      <c r="G875" t="s">
        <v>27</v>
      </c>
      <c r="I875" t="s">
        <v>33</v>
      </c>
      <c r="J875" s="1">
        <v>45744</v>
      </c>
      <c r="K875" t="s">
        <v>34</v>
      </c>
      <c r="L875" t="s">
        <v>36</v>
      </c>
      <c r="M875" t="s">
        <v>38</v>
      </c>
      <c r="N875">
        <v>4</v>
      </c>
      <c r="O875">
        <v>0.79166666666666663</v>
      </c>
      <c r="P875">
        <v>82.5</v>
      </c>
      <c r="Q875" t="s">
        <v>39</v>
      </c>
      <c r="R875" t="s">
        <v>40</v>
      </c>
      <c r="T875" t="s">
        <v>40</v>
      </c>
      <c r="U875" s="1">
        <v>45838</v>
      </c>
    </row>
    <row r="876" spans="1:21" x14ac:dyDescent="0.3">
      <c r="A876">
        <v>870</v>
      </c>
      <c r="B876">
        <v>290</v>
      </c>
      <c r="C876">
        <v>3</v>
      </c>
      <c r="D876" t="s">
        <v>19</v>
      </c>
      <c r="E876" t="s">
        <v>23</v>
      </c>
      <c r="F876">
        <v>27</v>
      </c>
      <c r="G876" t="s">
        <v>27</v>
      </c>
      <c r="I876" t="s">
        <v>33</v>
      </c>
      <c r="J876" s="1">
        <v>45744</v>
      </c>
      <c r="K876" t="s">
        <v>34</v>
      </c>
      <c r="L876" t="s">
        <v>37</v>
      </c>
      <c r="M876" t="s">
        <v>38</v>
      </c>
      <c r="N876">
        <v>4</v>
      </c>
      <c r="O876">
        <v>0.75</v>
      </c>
      <c r="P876">
        <v>83.5</v>
      </c>
      <c r="Q876" t="s">
        <v>39</v>
      </c>
      <c r="R876" t="s">
        <v>40</v>
      </c>
      <c r="T876" t="s">
        <v>40</v>
      </c>
      <c r="U876" s="1">
        <v>45838</v>
      </c>
    </row>
    <row r="877" spans="1:21" x14ac:dyDescent="0.3">
      <c r="A877">
        <v>871</v>
      </c>
      <c r="B877">
        <v>291</v>
      </c>
      <c r="C877">
        <v>1</v>
      </c>
      <c r="D877" t="s">
        <v>21</v>
      </c>
      <c r="E877" t="s">
        <v>22</v>
      </c>
      <c r="F877">
        <v>28</v>
      </c>
      <c r="G877" t="s">
        <v>25</v>
      </c>
      <c r="I877" t="s">
        <v>30</v>
      </c>
      <c r="J877" s="1">
        <v>45682</v>
      </c>
      <c r="K877" t="s">
        <v>34</v>
      </c>
      <c r="L877" t="s">
        <v>35</v>
      </c>
      <c r="M877" t="s">
        <v>38</v>
      </c>
      <c r="N877">
        <v>4</v>
      </c>
      <c r="O877">
        <v>0.79166666666666663</v>
      </c>
      <c r="P877">
        <v>53</v>
      </c>
      <c r="Q877" t="s">
        <v>39</v>
      </c>
      <c r="R877" t="s">
        <v>39</v>
      </c>
      <c r="T877" t="s">
        <v>39</v>
      </c>
      <c r="U877" s="1">
        <v>45838</v>
      </c>
    </row>
    <row r="878" spans="1:21" x14ac:dyDescent="0.3">
      <c r="A878">
        <v>872</v>
      </c>
      <c r="B878">
        <v>291</v>
      </c>
      <c r="C878">
        <v>2</v>
      </c>
      <c r="D878" t="s">
        <v>19</v>
      </c>
      <c r="E878" t="s">
        <v>22</v>
      </c>
      <c r="F878">
        <v>28</v>
      </c>
      <c r="G878" t="s">
        <v>25</v>
      </c>
      <c r="I878" t="s">
        <v>30</v>
      </c>
      <c r="J878" s="1">
        <v>45682</v>
      </c>
      <c r="K878" t="s">
        <v>34</v>
      </c>
      <c r="L878" t="s">
        <v>36</v>
      </c>
      <c r="M878" t="s">
        <v>38</v>
      </c>
      <c r="N878">
        <v>4</v>
      </c>
      <c r="O878">
        <v>0.875</v>
      </c>
      <c r="P878">
        <v>80</v>
      </c>
      <c r="Q878" t="s">
        <v>39</v>
      </c>
      <c r="R878" t="s">
        <v>39</v>
      </c>
      <c r="T878" t="s">
        <v>39</v>
      </c>
      <c r="U878" s="1">
        <v>45838</v>
      </c>
    </row>
    <row r="879" spans="1:21" x14ac:dyDescent="0.3">
      <c r="A879">
        <v>873</v>
      </c>
      <c r="B879">
        <v>291</v>
      </c>
      <c r="C879">
        <v>3</v>
      </c>
      <c r="D879" t="s">
        <v>19</v>
      </c>
      <c r="E879" t="s">
        <v>22</v>
      </c>
      <c r="F879">
        <v>28</v>
      </c>
      <c r="G879" t="s">
        <v>25</v>
      </c>
      <c r="I879" t="s">
        <v>30</v>
      </c>
      <c r="J879" s="1">
        <v>45682</v>
      </c>
      <c r="K879" t="s">
        <v>34</v>
      </c>
      <c r="L879" t="s">
        <v>37</v>
      </c>
      <c r="M879" t="s">
        <v>38</v>
      </c>
      <c r="N879">
        <v>4</v>
      </c>
      <c r="O879">
        <v>0.8125</v>
      </c>
      <c r="P879">
        <v>96</v>
      </c>
      <c r="Q879" t="s">
        <v>39</v>
      </c>
      <c r="R879" t="s">
        <v>39</v>
      </c>
      <c r="T879" t="s">
        <v>39</v>
      </c>
      <c r="U879" s="1">
        <v>45838</v>
      </c>
    </row>
    <row r="880" spans="1:21" x14ac:dyDescent="0.3">
      <c r="A880">
        <v>874</v>
      </c>
      <c r="B880">
        <v>292</v>
      </c>
      <c r="C880">
        <v>1</v>
      </c>
      <c r="D880" t="s">
        <v>19</v>
      </c>
      <c r="E880" t="s">
        <v>23</v>
      </c>
      <c r="F880">
        <v>27</v>
      </c>
      <c r="G880" t="s">
        <v>29</v>
      </c>
      <c r="I880" t="s">
        <v>32</v>
      </c>
      <c r="J880" s="1">
        <v>45743</v>
      </c>
      <c r="K880" t="s">
        <v>34</v>
      </c>
      <c r="L880" t="s">
        <v>35</v>
      </c>
      <c r="M880" t="s">
        <v>38</v>
      </c>
      <c r="N880">
        <v>4</v>
      </c>
      <c r="O880">
        <v>0.89583333333333337</v>
      </c>
      <c r="P880">
        <v>77.5</v>
      </c>
      <c r="Q880" t="s">
        <v>40</v>
      </c>
      <c r="R880" t="s">
        <v>40</v>
      </c>
      <c r="T880" t="s">
        <v>40</v>
      </c>
      <c r="U880" s="1">
        <v>45838</v>
      </c>
    </row>
    <row r="881" spans="1:21" x14ac:dyDescent="0.3">
      <c r="A881">
        <v>875</v>
      </c>
      <c r="B881">
        <v>292</v>
      </c>
      <c r="C881">
        <v>2</v>
      </c>
      <c r="D881" t="s">
        <v>19</v>
      </c>
      <c r="E881" t="s">
        <v>23</v>
      </c>
      <c r="F881">
        <v>27</v>
      </c>
      <c r="G881" t="s">
        <v>29</v>
      </c>
      <c r="I881" t="s">
        <v>32</v>
      </c>
      <c r="J881" s="1">
        <v>45743</v>
      </c>
      <c r="K881" t="s">
        <v>34</v>
      </c>
      <c r="L881" t="s">
        <v>36</v>
      </c>
      <c r="M881" t="s">
        <v>38</v>
      </c>
      <c r="N881">
        <v>4</v>
      </c>
      <c r="O881">
        <v>0.85416666666666663</v>
      </c>
      <c r="P881">
        <v>53.5</v>
      </c>
      <c r="Q881" t="s">
        <v>40</v>
      </c>
      <c r="R881" t="s">
        <v>40</v>
      </c>
      <c r="T881" t="s">
        <v>40</v>
      </c>
      <c r="U881" s="1">
        <v>45838</v>
      </c>
    </row>
    <row r="882" spans="1:21" x14ac:dyDescent="0.3">
      <c r="A882">
        <v>876</v>
      </c>
      <c r="B882">
        <v>292</v>
      </c>
      <c r="C882">
        <v>3</v>
      </c>
      <c r="D882" t="s">
        <v>21</v>
      </c>
      <c r="E882" t="s">
        <v>23</v>
      </c>
      <c r="F882">
        <v>27</v>
      </c>
      <c r="G882" t="s">
        <v>29</v>
      </c>
      <c r="I882" t="s">
        <v>32</v>
      </c>
      <c r="J882" s="1">
        <v>45743</v>
      </c>
      <c r="K882" t="s">
        <v>34</v>
      </c>
      <c r="L882" t="s">
        <v>37</v>
      </c>
      <c r="M882" t="s">
        <v>38</v>
      </c>
      <c r="N882">
        <v>4</v>
      </c>
      <c r="O882">
        <v>0.85416666666666663</v>
      </c>
      <c r="P882">
        <v>88.5</v>
      </c>
      <c r="Q882" t="s">
        <v>40</v>
      </c>
      <c r="R882" t="s">
        <v>40</v>
      </c>
      <c r="T882" t="s">
        <v>40</v>
      </c>
      <c r="U882" s="1">
        <v>45838</v>
      </c>
    </row>
    <row r="883" spans="1:21" x14ac:dyDescent="0.3">
      <c r="A883">
        <v>877</v>
      </c>
      <c r="B883">
        <v>293</v>
      </c>
      <c r="C883">
        <v>1</v>
      </c>
      <c r="D883" t="s">
        <v>19</v>
      </c>
      <c r="E883" t="s">
        <v>22</v>
      </c>
      <c r="F883">
        <v>22</v>
      </c>
      <c r="G883" t="s">
        <v>29</v>
      </c>
      <c r="I883" t="s">
        <v>30</v>
      </c>
      <c r="J883" s="1">
        <v>45758</v>
      </c>
      <c r="K883" t="s">
        <v>34</v>
      </c>
      <c r="L883" t="s">
        <v>35</v>
      </c>
      <c r="M883" t="s">
        <v>38</v>
      </c>
      <c r="N883">
        <v>4</v>
      </c>
      <c r="O883">
        <v>0.85416666666666663</v>
      </c>
      <c r="P883">
        <v>76.5</v>
      </c>
      <c r="Q883" t="s">
        <v>39</v>
      </c>
      <c r="R883" t="s">
        <v>39</v>
      </c>
      <c r="T883" t="s">
        <v>39</v>
      </c>
      <c r="U883" s="1">
        <v>45838</v>
      </c>
    </row>
    <row r="884" spans="1:21" x14ac:dyDescent="0.3">
      <c r="A884">
        <v>878</v>
      </c>
      <c r="B884">
        <v>293</v>
      </c>
      <c r="C884">
        <v>2</v>
      </c>
      <c r="D884" t="s">
        <v>19</v>
      </c>
      <c r="E884" t="s">
        <v>22</v>
      </c>
      <c r="F884">
        <v>22</v>
      </c>
      <c r="G884" t="s">
        <v>29</v>
      </c>
      <c r="I884" t="s">
        <v>30</v>
      </c>
      <c r="J884" s="1">
        <v>45758</v>
      </c>
      <c r="K884" t="s">
        <v>34</v>
      </c>
      <c r="L884" t="s">
        <v>36</v>
      </c>
      <c r="M884" t="s">
        <v>38</v>
      </c>
      <c r="N884">
        <v>4</v>
      </c>
      <c r="O884">
        <v>0.79166666666666663</v>
      </c>
      <c r="P884">
        <v>73</v>
      </c>
      <c r="Q884" t="s">
        <v>39</v>
      </c>
      <c r="R884" t="s">
        <v>39</v>
      </c>
      <c r="T884" t="s">
        <v>39</v>
      </c>
      <c r="U884" s="1">
        <v>45838</v>
      </c>
    </row>
    <row r="885" spans="1:21" x14ac:dyDescent="0.3">
      <c r="A885">
        <v>879</v>
      </c>
      <c r="B885">
        <v>293</v>
      </c>
      <c r="C885">
        <v>3</v>
      </c>
      <c r="D885" t="s">
        <v>19</v>
      </c>
      <c r="E885" t="s">
        <v>22</v>
      </c>
      <c r="F885">
        <v>22</v>
      </c>
      <c r="G885" t="s">
        <v>29</v>
      </c>
      <c r="I885" t="s">
        <v>30</v>
      </c>
      <c r="J885" s="1">
        <v>45758</v>
      </c>
      <c r="K885" t="s">
        <v>34</v>
      </c>
      <c r="L885" t="s">
        <v>37</v>
      </c>
      <c r="M885" t="s">
        <v>38</v>
      </c>
      <c r="N885">
        <v>4</v>
      </c>
      <c r="O885">
        <v>0.95833333333333337</v>
      </c>
      <c r="P885">
        <v>62</v>
      </c>
      <c r="Q885" t="s">
        <v>39</v>
      </c>
      <c r="R885" t="s">
        <v>39</v>
      </c>
      <c r="T885" t="s">
        <v>39</v>
      </c>
      <c r="U885" s="1">
        <v>45838</v>
      </c>
    </row>
    <row r="886" spans="1:21" x14ac:dyDescent="0.3">
      <c r="A886">
        <v>880</v>
      </c>
      <c r="B886">
        <v>294</v>
      </c>
      <c r="C886">
        <v>1</v>
      </c>
      <c r="D886" t="s">
        <v>19</v>
      </c>
      <c r="E886" t="s">
        <v>22</v>
      </c>
      <c r="F886">
        <v>20</v>
      </c>
      <c r="G886" t="s">
        <v>29</v>
      </c>
      <c r="I886" t="s">
        <v>33</v>
      </c>
      <c r="J886" s="1">
        <v>45742</v>
      </c>
      <c r="K886" t="s">
        <v>34</v>
      </c>
      <c r="L886" t="s">
        <v>35</v>
      </c>
      <c r="M886" t="s">
        <v>38</v>
      </c>
      <c r="N886">
        <v>4</v>
      </c>
      <c r="O886">
        <v>0.875</v>
      </c>
      <c r="P886">
        <v>82</v>
      </c>
      <c r="Q886" t="s">
        <v>39</v>
      </c>
      <c r="R886" t="s">
        <v>39</v>
      </c>
      <c r="T886" t="s">
        <v>40</v>
      </c>
      <c r="U886" s="1">
        <v>45838</v>
      </c>
    </row>
    <row r="887" spans="1:21" x14ac:dyDescent="0.3">
      <c r="A887">
        <v>881</v>
      </c>
      <c r="B887">
        <v>294</v>
      </c>
      <c r="C887">
        <v>2</v>
      </c>
      <c r="D887" t="s">
        <v>19</v>
      </c>
      <c r="E887" t="s">
        <v>22</v>
      </c>
      <c r="F887">
        <v>20</v>
      </c>
      <c r="G887" t="s">
        <v>29</v>
      </c>
      <c r="I887" t="s">
        <v>33</v>
      </c>
      <c r="J887" s="1">
        <v>45742</v>
      </c>
      <c r="K887" t="s">
        <v>34</v>
      </c>
      <c r="L887" t="s">
        <v>36</v>
      </c>
      <c r="M887" t="s">
        <v>38</v>
      </c>
      <c r="N887">
        <v>4</v>
      </c>
      <c r="O887">
        <v>0.875</v>
      </c>
      <c r="P887">
        <v>86.5</v>
      </c>
      <c r="Q887" t="s">
        <v>39</v>
      </c>
      <c r="R887" t="s">
        <v>39</v>
      </c>
      <c r="T887" t="s">
        <v>40</v>
      </c>
      <c r="U887" s="1">
        <v>45838</v>
      </c>
    </row>
    <row r="888" spans="1:21" x14ac:dyDescent="0.3">
      <c r="A888">
        <v>882</v>
      </c>
      <c r="B888">
        <v>294</v>
      </c>
      <c r="C888">
        <v>3</v>
      </c>
      <c r="D888" t="s">
        <v>19</v>
      </c>
      <c r="E888" t="s">
        <v>22</v>
      </c>
      <c r="F888">
        <v>20</v>
      </c>
      <c r="G888" t="s">
        <v>29</v>
      </c>
      <c r="I888" t="s">
        <v>33</v>
      </c>
      <c r="J888" s="1">
        <v>45742</v>
      </c>
      <c r="K888" t="s">
        <v>34</v>
      </c>
      <c r="L888" t="s">
        <v>37</v>
      </c>
      <c r="M888" t="s">
        <v>38</v>
      </c>
      <c r="N888">
        <v>4</v>
      </c>
      <c r="O888">
        <v>0.83333333333333337</v>
      </c>
      <c r="P888">
        <v>69.5</v>
      </c>
      <c r="Q888" t="s">
        <v>39</v>
      </c>
      <c r="R888" t="s">
        <v>39</v>
      </c>
      <c r="T888" t="s">
        <v>40</v>
      </c>
      <c r="U888" s="1">
        <v>45838</v>
      </c>
    </row>
    <row r="889" spans="1:21" x14ac:dyDescent="0.3">
      <c r="A889">
        <v>883</v>
      </c>
      <c r="B889">
        <v>295</v>
      </c>
      <c r="C889">
        <v>1</v>
      </c>
      <c r="D889" t="s">
        <v>19</v>
      </c>
      <c r="E889" t="s">
        <v>22</v>
      </c>
      <c r="F889">
        <v>34</v>
      </c>
      <c r="G889" t="s">
        <v>25</v>
      </c>
      <c r="I889" t="s">
        <v>33</v>
      </c>
      <c r="J889" s="1">
        <v>45788</v>
      </c>
      <c r="K889" t="s">
        <v>34</v>
      </c>
      <c r="L889" t="s">
        <v>35</v>
      </c>
      <c r="M889" t="s">
        <v>38</v>
      </c>
      <c r="N889">
        <v>4</v>
      </c>
      <c r="O889">
        <v>0.85416666666666663</v>
      </c>
      <c r="P889">
        <v>84.5</v>
      </c>
      <c r="Q889" t="s">
        <v>39</v>
      </c>
      <c r="R889" t="s">
        <v>40</v>
      </c>
      <c r="T889" t="s">
        <v>40</v>
      </c>
      <c r="U889" s="1">
        <v>45838</v>
      </c>
    </row>
    <row r="890" spans="1:21" x14ac:dyDescent="0.3">
      <c r="A890">
        <v>884</v>
      </c>
      <c r="B890">
        <v>295</v>
      </c>
      <c r="C890">
        <v>2</v>
      </c>
      <c r="D890" t="s">
        <v>21</v>
      </c>
      <c r="E890" t="s">
        <v>22</v>
      </c>
      <c r="F890">
        <v>34</v>
      </c>
      <c r="G890" t="s">
        <v>25</v>
      </c>
      <c r="I890" t="s">
        <v>33</v>
      </c>
      <c r="J890" s="1">
        <v>45788</v>
      </c>
      <c r="K890" t="s">
        <v>34</v>
      </c>
      <c r="L890" t="s">
        <v>36</v>
      </c>
      <c r="M890" t="s">
        <v>38</v>
      </c>
      <c r="N890">
        <v>4</v>
      </c>
      <c r="O890">
        <v>0.83333333333333337</v>
      </c>
      <c r="P890">
        <v>72</v>
      </c>
      <c r="Q890" t="s">
        <v>39</v>
      </c>
      <c r="R890" t="s">
        <v>40</v>
      </c>
      <c r="T890" t="s">
        <v>40</v>
      </c>
      <c r="U890" s="1">
        <v>45838</v>
      </c>
    </row>
    <row r="891" spans="1:21" x14ac:dyDescent="0.3">
      <c r="A891">
        <v>885</v>
      </c>
      <c r="B891">
        <v>295</v>
      </c>
      <c r="C891">
        <v>3</v>
      </c>
      <c r="D891" t="s">
        <v>19</v>
      </c>
      <c r="E891" t="s">
        <v>22</v>
      </c>
      <c r="F891">
        <v>34</v>
      </c>
      <c r="G891" t="s">
        <v>25</v>
      </c>
      <c r="I891" t="s">
        <v>33</v>
      </c>
      <c r="J891" s="1">
        <v>45788</v>
      </c>
      <c r="K891" t="s">
        <v>34</v>
      </c>
      <c r="L891" t="s">
        <v>37</v>
      </c>
      <c r="M891" t="s">
        <v>38</v>
      </c>
      <c r="N891">
        <v>4</v>
      </c>
      <c r="O891">
        <v>0.91666666666666663</v>
      </c>
      <c r="P891">
        <v>71.5</v>
      </c>
      <c r="Q891" t="s">
        <v>39</v>
      </c>
      <c r="R891" t="s">
        <v>40</v>
      </c>
      <c r="T891" t="s">
        <v>40</v>
      </c>
      <c r="U891" s="1">
        <v>45838</v>
      </c>
    </row>
    <row r="892" spans="1:21" x14ac:dyDescent="0.3">
      <c r="A892">
        <v>886</v>
      </c>
      <c r="B892">
        <v>296</v>
      </c>
      <c r="C892">
        <v>1</v>
      </c>
      <c r="D892" t="s">
        <v>19</v>
      </c>
      <c r="E892" t="s">
        <v>23</v>
      </c>
      <c r="F892">
        <v>18</v>
      </c>
      <c r="G892" t="s">
        <v>29</v>
      </c>
      <c r="I892" t="s">
        <v>30</v>
      </c>
      <c r="J892" s="1">
        <v>45704</v>
      </c>
      <c r="K892" t="s">
        <v>34</v>
      </c>
      <c r="L892" t="s">
        <v>35</v>
      </c>
      <c r="M892" t="s">
        <v>38</v>
      </c>
      <c r="N892">
        <v>4</v>
      </c>
      <c r="O892">
        <v>0.85416666666666663</v>
      </c>
      <c r="P892">
        <v>64.5</v>
      </c>
      <c r="Q892" t="s">
        <v>39</v>
      </c>
      <c r="R892" t="s">
        <v>40</v>
      </c>
      <c r="T892" t="s">
        <v>40</v>
      </c>
      <c r="U892" s="1">
        <v>45838</v>
      </c>
    </row>
    <row r="893" spans="1:21" x14ac:dyDescent="0.3">
      <c r="A893">
        <v>887</v>
      </c>
      <c r="B893">
        <v>296</v>
      </c>
      <c r="C893">
        <v>2</v>
      </c>
      <c r="D893" t="s">
        <v>19</v>
      </c>
      <c r="E893" t="s">
        <v>23</v>
      </c>
      <c r="F893">
        <v>18</v>
      </c>
      <c r="G893" t="s">
        <v>29</v>
      </c>
      <c r="I893" t="s">
        <v>30</v>
      </c>
      <c r="J893" s="1">
        <v>45704</v>
      </c>
      <c r="K893" t="s">
        <v>34</v>
      </c>
      <c r="L893" t="s">
        <v>36</v>
      </c>
      <c r="M893" t="s">
        <v>38</v>
      </c>
      <c r="N893">
        <v>4</v>
      </c>
      <c r="O893">
        <v>0.83333333333333337</v>
      </c>
      <c r="P893">
        <v>64</v>
      </c>
      <c r="Q893" t="s">
        <v>39</v>
      </c>
      <c r="R893" t="s">
        <v>40</v>
      </c>
      <c r="T893" t="s">
        <v>40</v>
      </c>
      <c r="U893" s="1">
        <v>45838</v>
      </c>
    </row>
    <row r="894" spans="1:21" x14ac:dyDescent="0.3">
      <c r="A894">
        <v>888</v>
      </c>
      <c r="B894">
        <v>296</v>
      </c>
      <c r="C894">
        <v>3</v>
      </c>
      <c r="D894" t="s">
        <v>21</v>
      </c>
      <c r="E894" t="s">
        <v>23</v>
      </c>
      <c r="F894">
        <v>18</v>
      </c>
      <c r="G894" t="s">
        <v>29</v>
      </c>
      <c r="I894" t="s">
        <v>30</v>
      </c>
      <c r="J894" s="1">
        <v>45704</v>
      </c>
      <c r="K894" t="s">
        <v>34</v>
      </c>
      <c r="L894" t="s">
        <v>37</v>
      </c>
      <c r="M894" t="s">
        <v>38</v>
      </c>
      <c r="N894">
        <v>4</v>
      </c>
      <c r="O894">
        <v>0.89583333333333337</v>
      </c>
      <c r="P894">
        <v>84.5</v>
      </c>
      <c r="Q894" t="s">
        <v>39</v>
      </c>
      <c r="R894" t="s">
        <v>40</v>
      </c>
      <c r="T894" t="s">
        <v>40</v>
      </c>
      <c r="U894" s="1">
        <v>45838</v>
      </c>
    </row>
    <row r="895" spans="1:21" x14ac:dyDescent="0.3">
      <c r="A895">
        <v>889</v>
      </c>
      <c r="B895">
        <v>297</v>
      </c>
      <c r="C895">
        <v>1</v>
      </c>
      <c r="D895" t="s">
        <v>21</v>
      </c>
      <c r="E895" t="s">
        <v>22</v>
      </c>
      <c r="F895">
        <v>28</v>
      </c>
      <c r="G895" t="s">
        <v>27</v>
      </c>
      <c r="I895" t="s">
        <v>32</v>
      </c>
      <c r="J895" s="1">
        <v>45715</v>
      </c>
      <c r="K895" t="s">
        <v>34</v>
      </c>
      <c r="L895" t="s">
        <v>35</v>
      </c>
      <c r="M895" t="s">
        <v>38</v>
      </c>
      <c r="N895">
        <v>4</v>
      </c>
      <c r="O895">
        <v>0.89583333333333337</v>
      </c>
      <c r="P895">
        <v>68.5</v>
      </c>
      <c r="Q895" t="s">
        <v>39</v>
      </c>
      <c r="R895" t="s">
        <v>39</v>
      </c>
      <c r="T895" t="s">
        <v>39</v>
      </c>
      <c r="U895" s="1">
        <v>45838</v>
      </c>
    </row>
    <row r="896" spans="1:21" x14ac:dyDescent="0.3">
      <c r="A896">
        <v>890</v>
      </c>
      <c r="B896">
        <v>297</v>
      </c>
      <c r="C896">
        <v>2</v>
      </c>
      <c r="D896" t="s">
        <v>19</v>
      </c>
      <c r="E896" t="s">
        <v>22</v>
      </c>
      <c r="F896">
        <v>28</v>
      </c>
      <c r="G896" t="s">
        <v>27</v>
      </c>
      <c r="I896" t="s">
        <v>32</v>
      </c>
      <c r="J896" s="1">
        <v>45715</v>
      </c>
      <c r="K896" t="s">
        <v>34</v>
      </c>
      <c r="L896" t="s">
        <v>36</v>
      </c>
      <c r="M896" t="s">
        <v>38</v>
      </c>
      <c r="N896">
        <v>4</v>
      </c>
      <c r="O896">
        <v>0.875</v>
      </c>
      <c r="P896">
        <v>69</v>
      </c>
      <c r="Q896" t="s">
        <v>39</v>
      </c>
      <c r="R896" t="s">
        <v>39</v>
      </c>
      <c r="T896" t="s">
        <v>39</v>
      </c>
      <c r="U896" s="1">
        <v>45838</v>
      </c>
    </row>
    <row r="897" spans="1:21" x14ac:dyDescent="0.3">
      <c r="A897">
        <v>891</v>
      </c>
      <c r="B897">
        <v>297</v>
      </c>
      <c r="C897">
        <v>3</v>
      </c>
      <c r="D897" t="s">
        <v>21</v>
      </c>
      <c r="E897" t="s">
        <v>22</v>
      </c>
      <c r="F897">
        <v>28</v>
      </c>
      <c r="G897" t="s">
        <v>27</v>
      </c>
      <c r="I897" t="s">
        <v>32</v>
      </c>
      <c r="J897" s="1">
        <v>45715</v>
      </c>
      <c r="K897" t="s">
        <v>34</v>
      </c>
      <c r="L897" t="s">
        <v>37</v>
      </c>
      <c r="M897" t="s">
        <v>38</v>
      </c>
      <c r="N897">
        <v>4</v>
      </c>
      <c r="O897">
        <v>0.70833333333333337</v>
      </c>
      <c r="P897">
        <v>88</v>
      </c>
      <c r="Q897" t="s">
        <v>39</v>
      </c>
      <c r="R897" t="s">
        <v>39</v>
      </c>
      <c r="T897" t="s">
        <v>39</v>
      </c>
      <c r="U897" s="1">
        <v>45838</v>
      </c>
    </row>
    <row r="898" spans="1:21" x14ac:dyDescent="0.3">
      <c r="A898">
        <v>892</v>
      </c>
      <c r="B898">
        <v>298</v>
      </c>
      <c r="C898">
        <v>1</v>
      </c>
      <c r="D898" t="s">
        <v>21</v>
      </c>
      <c r="E898" t="s">
        <v>22</v>
      </c>
      <c r="F898">
        <v>22</v>
      </c>
      <c r="G898" t="s">
        <v>25</v>
      </c>
      <c r="I898" t="s">
        <v>30</v>
      </c>
      <c r="J898" s="1">
        <v>45683</v>
      </c>
      <c r="K898" t="s">
        <v>34</v>
      </c>
      <c r="L898" t="s">
        <v>35</v>
      </c>
      <c r="M898" t="s">
        <v>38</v>
      </c>
      <c r="N898">
        <v>4</v>
      </c>
      <c r="O898">
        <v>0.85416666666666663</v>
      </c>
      <c r="P898">
        <v>62.5</v>
      </c>
      <c r="Q898" t="s">
        <v>39</v>
      </c>
      <c r="R898" t="s">
        <v>39</v>
      </c>
      <c r="T898" t="s">
        <v>39</v>
      </c>
      <c r="U898" s="1">
        <v>45838</v>
      </c>
    </row>
    <row r="899" spans="1:21" x14ac:dyDescent="0.3">
      <c r="A899">
        <v>893</v>
      </c>
      <c r="B899">
        <v>298</v>
      </c>
      <c r="C899">
        <v>2</v>
      </c>
      <c r="D899" t="s">
        <v>21</v>
      </c>
      <c r="E899" t="s">
        <v>22</v>
      </c>
      <c r="F899">
        <v>22</v>
      </c>
      <c r="G899" t="s">
        <v>25</v>
      </c>
      <c r="I899" t="s">
        <v>30</v>
      </c>
      <c r="J899" s="1">
        <v>45683</v>
      </c>
      <c r="K899" t="s">
        <v>34</v>
      </c>
      <c r="L899" t="s">
        <v>36</v>
      </c>
      <c r="M899" t="s">
        <v>38</v>
      </c>
      <c r="N899">
        <v>4</v>
      </c>
      <c r="O899">
        <v>0.79166666666666663</v>
      </c>
      <c r="P899">
        <v>86.5</v>
      </c>
      <c r="Q899" t="s">
        <v>39</v>
      </c>
      <c r="R899" t="s">
        <v>39</v>
      </c>
      <c r="T899" t="s">
        <v>39</v>
      </c>
      <c r="U899" s="1">
        <v>45838</v>
      </c>
    </row>
    <row r="900" spans="1:21" x14ac:dyDescent="0.3">
      <c r="A900">
        <v>894</v>
      </c>
      <c r="B900">
        <v>298</v>
      </c>
      <c r="C900">
        <v>3</v>
      </c>
      <c r="D900" t="s">
        <v>19</v>
      </c>
      <c r="E900" t="s">
        <v>22</v>
      </c>
      <c r="F900">
        <v>22</v>
      </c>
      <c r="G900" t="s">
        <v>25</v>
      </c>
      <c r="I900" t="s">
        <v>30</v>
      </c>
      <c r="J900" s="1">
        <v>45683</v>
      </c>
      <c r="K900" t="s">
        <v>34</v>
      </c>
      <c r="L900" t="s">
        <v>37</v>
      </c>
      <c r="M900" t="s">
        <v>38</v>
      </c>
      <c r="N900">
        <v>4</v>
      </c>
      <c r="O900">
        <v>0.875</v>
      </c>
      <c r="P900">
        <v>80.5</v>
      </c>
      <c r="Q900" t="s">
        <v>39</v>
      </c>
      <c r="R900" t="s">
        <v>39</v>
      </c>
      <c r="T900" t="s">
        <v>39</v>
      </c>
      <c r="U900" s="1">
        <v>45838</v>
      </c>
    </row>
    <row r="901" spans="1:21" x14ac:dyDescent="0.3">
      <c r="A901">
        <v>895</v>
      </c>
      <c r="B901">
        <v>299</v>
      </c>
      <c r="C901">
        <v>1</v>
      </c>
      <c r="D901" t="s">
        <v>19</v>
      </c>
      <c r="E901" t="s">
        <v>22</v>
      </c>
      <c r="F901">
        <v>28</v>
      </c>
      <c r="G901" t="s">
        <v>26</v>
      </c>
      <c r="I901" t="s">
        <v>32</v>
      </c>
      <c r="J901" s="1">
        <v>45754</v>
      </c>
      <c r="K901" t="s">
        <v>34</v>
      </c>
      <c r="L901" t="s">
        <v>35</v>
      </c>
      <c r="M901" t="s">
        <v>38</v>
      </c>
      <c r="N901">
        <v>4</v>
      </c>
      <c r="O901">
        <v>0.83333333333333337</v>
      </c>
      <c r="P901">
        <v>65</v>
      </c>
      <c r="Q901" t="s">
        <v>40</v>
      </c>
      <c r="R901" t="s">
        <v>40</v>
      </c>
      <c r="T901" t="s">
        <v>40</v>
      </c>
      <c r="U901" s="1">
        <v>45838</v>
      </c>
    </row>
    <row r="902" spans="1:21" x14ac:dyDescent="0.3">
      <c r="A902">
        <v>896</v>
      </c>
      <c r="B902">
        <v>299</v>
      </c>
      <c r="C902">
        <v>2</v>
      </c>
      <c r="D902" t="s">
        <v>19</v>
      </c>
      <c r="E902" t="s">
        <v>22</v>
      </c>
      <c r="F902">
        <v>28</v>
      </c>
      <c r="G902" t="s">
        <v>26</v>
      </c>
      <c r="I902" t="s">
        <v>32</v>
      </c>
      <c r="J902" s="1">
        <v>45754</v>
      </c>
      <c r="K902" t="s">
        <v>34</v>
      </c>
      <c r="L902" t="s">
        <v>36</v>
      </c>
      <c r="M902" t="s">
        <v>38</v>
      </c>
      <c r="N902">
        <v>4</v>
      </c>
      <c r="O902">
        <v>0.875</v>
      </c>
      <c r="P902">
        <v>84</v>
      </c>
      <c r="Q902" t="s">
        <v>40</v>
      </c>
      <c r="R902" t="s">
        <v>40</v>
      </c>
      <c r="T902" t="s">
        <v>40</v>
      </c>
      <c r="U902" s="1">
        <v>45838</v>
      </c>
    </row>
    <row r="903" spans="1:21" x14ac:dyDescent="0.3">
      <c r="A903">
        <v>897</v>
      </c>
      <c r="B903">
        <v>299</v>
      </c>
      <c r="C903">
        <v>3</v>
      </c>
      <c r="D903" t="s">
        <v>19</v>
      </c>
      <c r="E903" t="s">
        <v>22</v>
      </c>
      <c r="F903">
        <v>28</v>
      </c>
      <c r="G903" t="s">
        <v>26</v>
      </c>
      <c r="I903" t="s">
        <v>32</v>
      </c>
      <c r="J903" s="1">
        <v>45754</v>
      </c>
      <c r="K903" t="s">
        <v>34</v>
      </c>
      <c r="L903" t="s">
        <v>37</v>
      </c>
      <c r="M903" t="s">
        <v>38</v>
      </c>
      <c r="N903">
        <v>4</v>
      </c>
      <c r="O903">
        <v>0.77083333333333337</v>
      </c>
      <c r="P903">
        <v>61</v>
      </c>
      <c r="Q903" t="s">
        <v>40</v>
      </c>
      <c r="R903" t="s">
        <v>40</v>
      </c>
      <c r="T903" t="s">
        <v>40</v>
      </c>
      <c r="U903" s="1">
        <v>45838</v>
      </c>
    </row>
    <row r="904" spans="1:21" x14ac:dyDescent="0.3">
      <c r="A904">
        <v>898</v>
      </c>
      <c r="B904">
        <v>300</v>
      </c>
      <c r="C904">
        <v>1</v>
      </c>
      <c r="D904" t="s">
        <v>19</v>
      </c>
      <c r="E904" t="s">
        <v>22</v>
      </c>
      <c r="F904">
        <v>23</v>
      </c>
      <c r="G904" t="s">
        <v>28</v>
      </c>
      <c r="I904" t="s">
        <v>32</v>
      </c>
      <c r="J904" s="1">
        <v>45770</v>
      </c>
      <c r="K904" t="s">
        <v>34</v>
      </c>
      <c r="L904" t="s">
        <v>35</v>
      </c>
      <c r="M904" t="s">
        <v>38</v>
      </c>
      <c r="N904">
        <v>4</v>
      </c>
      <c r="O904">
        <v>0.83333333333333337</v>
      </c>
      <c r="P904">
        <v>65.5</v>
      </c>
      <c r="Q904" t="s">
        <v>39</v>
      </c>
      <c r="R904" t="s">
        <v>39</v>
      </c>
      <c r="T904" t="s">
        <v>40</v>
      </c>
      <c r="U904" s="1">
        <v>45838</v>
      </c>
    </row>
    <row r="905" spans="1:21" x14ac:dyDescent="0.3">
      <c r="A905">
        <v>899</v>
      </c>
      <c r="B905">
        <v>300</v>
      </c>
      <c r="C905">
        <v>2</v>
      </c>
      <c r="D905" t="s">
        <v>19</v>
      </c>
      <c r="E905" t="s">
        <v>22</v>
      </c>
      <c r="F905">
        <v>23</v>
      </c>
      <c r="G905" t="s">
        <v>28</v>
      </c>
      <c r="I905" t="s">
        <v>32</v>
      </c>
      <c r="J905" s="1">
        <v>45770</v>
      </c>
      <c r="K905" t="s">
        <v>34</v>
      </c>
      <c r="L905" t="s">
        <v>36</v>
      </c>
      <c r="M905" t="s">
        <v>38</v>
      </c>
      <c r="N905">
        <v>4</v>
      </c>
      <c r="O905">
        <v>0.85416666666666663</v>
      </c>
      <c r="P905">
        <v>62</v>
      </c>
      <c r="Q905" t="s">
        <v>39</v>
      </c>
      <c r="R905" t="s">
        <v>39</v>
      </c>
      <c r="T905" t="s">
        <v>40</v>
      </c>
      <c r="U905" s="1">
        <v>45838</v>
      </c>
    </row>
    <row r="906" spans="1:21" x14ac:dyDescent="0.3">
      <c r="A906">
        <v>900</v>
      </c>
      <c r="B906">
        <v>300</v>
      </c>
      <c r="C906">
        <v>3</v>
      </c>
      <c r="D906" t="s">
        <v>21</v>
      </c>
      <c r="E906" t="s">
        <v>22</v>
      </c>
      <c r="F906">
        <v>23</v>
      </c>
      <c r="G906" t="s">
        <v>28</v>
      </c>
      <c r="I906" t="s">
        <v>32</v>
      </c>
      <c r="J906" s="1">
        <v>45770</v>
      </c>
      <c r="K906" t="s">
        <v>34</v>
      </c>
      <c r="L906" t="s">
        <v>37</v>
      </c>
      <c r="M906" t="s">
        <v>38</v>
      </c>
      <c r="N906">
        <v>4</v>
      </c>
      <c r="O906">
        <v>0.9375</v>
      </c>
      <c r="P906">
        <v>65</v>
      </c>
      <c r="Q906" t="s">
        <v>39</v>
      </c>
      <c r="R906" t="s">
        <v>39</v>
      </c>
      <c r="T906" t="s">
        <v>40</v>
      </c>
      <c r="U906" s="1">
        <v>45838</v>
      </c>
    </row>
    <row r="907" spans="1:21" x14ac:dyDescent="0.3">
      <c r="A907">
        <v>901</v>
      </c>
      <c r="B907">
        <v>301</v>
      </c>
      <c r="C907">
        <v>1</v>
      </c>
      <c r="D907" t="s">
        <v>21</v>
      </c>
      <c r="E907" t="s">
        <v>22</v>
      </c>
      <c r="F907">
        <v>31</v>
      </c>
      <c r="G907" t="s">
        <v>29</v>
      </c>
      <c r="I907" t="s">
        <v>32</v>
      </c>
      <c r="J907" s="1">
        <v>45771</v>
      </c>
      <c r="K907" t="s">
        <v>34</v>
      </c>
      <c r="L907" t="s">
        <v>35</v>
      </c>
      <c r="M907" t="s">
        <v>38</v>
      </c>
      <c r="N907">
        <v>4</v>
      </c>
      <c r="O907">
        <v>0.875</v>
      </c>
      <c r="P907">
        <v>52.5</v>
      </c>
      <c r="Q907" t="s">
        <v>40</v>
      </c>
      <c r="R907" t="s">
        <v>40</v>
      </c>
      <c r="T907" t="s">
        <v>40</v>
      </c>
      <c r="U907" s="1">
        <v>45838</v>
      </c>
    </row>
    <row r="908" spans="1:21" x14ac:dyDescent="0.3">
      <c r="A908">
        <v>902</v>
      </c>
      <c r="B908">
        <v>301</v>
      </c>
      <c r="C908">
        <v>2</v>
      </c>
      <c r="D908" t="s">
        <v>19</v>
      </c>
      <c r="E908" t="s">
        <v>22</v>
      </c>
      <c r="F908">
        <v>31</v>
      </c>
      <c r="G908" t="s">
        <v>29</v>
      </c>
      <c r="I908" t="s">
        <v>32</v>
      </c>
      <c r="J908" s="1">
        <v>45771</v>
      </c>
      <c r="K908" t="s">
        <v>34</v>
      </c>
      <c r="L908" t="s">
        <v>36</v>
      </c>
      <c r="M908" t="s">
        <v>38</v>
      </c>
      <c r="N908">
        <v>4</v>
      </c>
      <c r="O908">
        <v>0.8125</v>
      </c>
      <c r="P908">
        <v>73</v>
      </c>
      <c r="Q908" t="s">
        <v>40</v>
      </c>
      <c r="R908" t="s">
        <v>40</v>
      </c>
      <c r="T908" t="s">
        <v>40</v>
      </c>
      <c r="U908" s="1">
        <v>45838</v>
      </c>
    </row>
    <row r="909" spans="1:21" x14ac:dyDescent="0.3">
      <c r="A909">
        <v>903</v>
      </c>
      <c r="B909">
        <v>301</v>
      </c>
      <c r="C909">
        <v>3</v>
      </c>
      <c r="D909" t="s">
        <v>21</v>
      </c>
      <c r="E909" t="s">
        <v>22</v>
      </c>
      <c r="F909">
        <v>31</v>
      </c>
      <c r="G909" t="s">
        <v>29</v>
      </c>
      <c r="I909" t="s">
        <v>32</v>
      </c>
      <c r="J909" s="1">
        <v>45771</v>
      </c>
      <c r="K909" t="s">
        <v>34</v>
      </c>
      <c r="L909" t="s">
        <v>37</v>
      </c>
      <c r="M909" t="s">
        <v>38</v>
      </c>
      <c r="N909">
        <v>4</v>
      </c>
      <c r="O909">
        <v>0.875</v>
      </c>
      <c r="P909">
        <v>62.5</v>
      </c>
      <c r="Q909" t="s">
        <v>40</v>
      </c>
      <c r="R909" t="s">
        <v>40</v>
      </c>
      <c r="T909" t="s">
        <v>40</v>
      </c>
      <c r="U909" s="1">
        <v>45838</v>
      </c>
    </row>
    <row r="910" spans="1:21" x14ac:dyDescent="0.3">
      <c r="A910">
        <v>904</v>
      </c>
      <c r="B910">
        <v>302</v>
      </c>
      <c r="C910">
        <v>1</v>
      </c>
      <c r="D910" t="s">
        <v>21</v>
      </c>
      <c r="E910" t="s">
        <v>23</v>
      </c>
      <c r="F910">
        <v>32</v>
      </c>
      <c r="G910" t="s">
        <v>28</v>
      </c>
      <c r="I910" t="s">
        <v>32</v>
      </c>
      <c r="J910" s="1">
        <v>45737</v>
      </c>
      <c r="K910" t="s">
        <v>34</v>
      </c>
      <c r="L910" t="s">
        <v>35</v>
      </c>
      <c r="M910" t="s">
        <v>38</v>
      </c>
      <c r="N910">
        <v>4</v>
      </c>
      <c r="O910">
        <v>0.8125</v>
      </c>
      <c r="P910">
        <v>85.5</v>
      </c>
      <c r="Q910" t="s">
        <v>39</v>
      </c>
      <c r="R910" t="s">
        <v>39</v>
      </c>
      <c r="T910" t="s">
        <v>40</v>
      </c>
      <c r="U910" s="1">
        <v>45838</v>
      </c>
    </row>
    <row r="911" spans="1:21" x14ac:dyDescent="0.3">
      <c r="A911">
        <v>905</v>
      </c>
      <c r="B911">
        <v>302</v>
      </c>
      <c r="C911">
        <v>2</v>
      </c>
      <c r="D911" t="s">
        <v>19</v>
      </c>
      <c r="E911" t="s">
        <v>23</v>
      </c>
      <c r="F911">
        <v>32</v>
      </c>
      <c r="G911" t="s">
        <v>28</v>
      </c>
      <c r="I911" t="s">
        <v>32</v>
      </c>
      <c r="J911" s="1">
        <v>45737</v>
      </c>
      <c r="K911" t="s">
        <v>34</v>
      </c>
      <c r="L911" t="s">
        <v>36</v>
      </c>
      <c r="M911" t="s">
        <v>38</v>
      </c>
      <c r="N911">
        <v>4</v>
      </c>
      <c r="O911">
        <v>0.83333333333333337</v>
      </c>
      <c r="P911">
        <v>85.5</v>
      </c>
      <c r="Q911" t="s">
        <v>39</v>
      </c>
      <c r="R911" t="s">
        <v>39</v>
      </c>
      <c r="T911" t="s">
        <v>40</v>
      </c>
      <c r="U911" s="1">
        <v>45838</v>
      </c>
    </row>
    <row r="912" spans="1:21" x14ac:dyDescent="0.3">
      <c r="A912">
        <v>906</v>
      </c>
      <c r="B912">
        <v>302</v>
      </c>
      <c r="C912">
        <v>3</v>
      </c>
      <c r="D912" t="s">
        <v>20</v>
      </c>
      <c r="E912" t="s">
        <v>23</v>
      </c>
      <c r="F912">
        <v>32</v>
      </c>
      <c r="G912" t="s">
        <v>28</v>
      </c>
      <c r="I912" t="s">
        <v>32</v>
      </c>
      <c r="J912" s="1">
        <v>45737</v>
      </c>
      <c r="K912" t="s">
        <v>34</v>
      </c>
      <c r="L912" t="s">
        <v>37</v>
      </c>
      <c r="M912" t="s">
        <v>38</v>
      </c>
      <c r="N912">
        <v>4</v>
      </c>
      <c r="O912">
        <v>0.85416666666666663</v>
      </c>
      <c r="P912">
        <v>85.5</v>
      </c>
      <c r="Q912" t="s">
        <v>39</v>
      </c>
      <c r="R912" t="s">
        <v>39</v>
      </c>
      <c r="T912" t="s">
        <v>40</v>
      </c>
      <c r="U912" s="1">
        <v>45838</v>
      </c>
    </row>
    <row r="913" spans="1:21" x14ac:dyDescent="0.3">
      <c r="A913">
        <v>907</v>
      </c>
      <c r="B913">
        <v>303</v>
      </c>
      <c r="C913">
        <v>1</v>
      </c>
      <c r="D913" t="s">
        <v>19</v>
      </c>
      <c r="E913" t="s">
        <v>23</v>
      </c>
      <c r="F913">
        <v>24</v>
      </c>
      <c r="G913" t="s">
        <v>29</v>
      </c>
      <c r="I913" t="s">
        <v>33</v>
      </c>
      <c r="J913" s="1">
        <v>45776</v>
      </c>
      <c r="K913" t="s">
        <v>34</v>
      </c>
      <c r="L913" t="s">
        <v>35</v>
      </c>
      <c r="M913" t="s">
        <v>38</v>
      </c>
      <c r="N913">
        <v>4</v>
      </c>
      <c r="O913">
        <v>0.83333333333333337</v>
      </c>
      <c r="P913">
        <v>74.5</v>
      </c>
      <c r="Q913" t="s">
        <v>39</v>
      </c>
      <c r="R913" t="s">
        <v>39</v>
      </c>
      <c r="T913" t="s">
        <v>40</v>
      </c>
      <c r="U913" s="1">
        <v>45838</v>
      </c>
    </row>
    <row r="914" spans="1:21" x14ac:dyDescent="0.3">
      <c r="A914">
        <v>908</v>
      </c>
      <c r="B914">
        <v>303</v>
      </c>
      <c r="C914">
        <v>2</v>
      </c>
      <c r="D914" t="s">
        <v>21</v>
      </c>
      <c r="E914" t="s">
        <v>23</v>
      </c>
      <c r="F914">
        <v>24</v>
      </c>
      <c r="G914" t="s">
        <v>29</v>
      </c>
      <c r="I914" t="s">
        <v>33</v>
      </c>
      <c r="J914" s="1">
        <v>45776</v>
      </c>
      <c r="K914" t="s">
        <v>34</v>
      </c>
      <c r="L914" t="s">
        <v>36</v>
      </c>
      <c r="M914" t="s">
        <v>38</v>
      </c>
      <c r="N914">
        <v>4</v>
      </c>
      <c r="O914">
        <v>0.85416666666666663</v>
      </c>
      <c r="P914">
        <v>86.5</v>
      </c>
      <c r="Q914" t="s">
        <v>39</v>
      </c>
      <c r="R914" t="s">
        <v>39</v>
      </c>
      <c r="T914" t="s">
        <v>40</v>
      </c>
      <c r="U914" s="1">
        <v>45838</v>
      </c>
    </row>
    <row r="915" spans="1:21" x14ac:dyDescent="0.3">
      <c r="A915">
        <v>909</v>
      </c>
      <c r="B915">
        <v>303</v>
      </c>
      <c r="C915">
        <v>3</v>
      </c>
      <c r="D915" t="s">
        <v>21</v>
      </c>
      <c r="E915" t="s">
        <v>23</v>
      </c>
      <c r="F915">
        <v>24</v>
      </c>
      <c r="G915" t="s">
        <v>29</v>
      </c>
      <c r="I915" t="s">
        <v>33</v>
      </c>
      <c r="J915" s="1">
        <v>45776</v>
      </c>
      <c r="K915" t="s">
        <v>34</v>
      </c>
      <c r="L915" t="s">
        <v>37</v>
      </c>
      <c r="M915" t="s">
        <v>38</v>
      </c>
      <c r="N915">
        <v>4</v>
      </c>
      <c r="O915">
        <v>0.8125</v>
      </c>
      <c r="P915">
        <v>71</v>
      </c>
      <c r="Q915" t="s">
        <v>39</v>
      </c>
      <c r="R915" t="s">
        <v>39</v>
      </c>
      <c r="T915" t="s">
        <v>40</v>
      </c>
      <c r="U915" s="1">
        <v>45838</v>
      </c>
    </row>
    <row r="916" spans="1:21" x14ac:dyDescent="0.3">
      <c r="A916">
        <v>910</v>
      </c>
      <c r="B916">
        <v>304</v>
      </c>
      <c r="C916">
        <v>1</v>
      </c>
      <c r="D916" t="s">
        <v>19</v>
      </c>
      <c r="E916" t="s">
        <v>23</v>
      </c>
      <c r="F916">
        <v>30</v>
      </c>
      <c r="G916" t="s">
        <v>26</v>
      </c>
      <c r="I916" t="s">
        <v>33</v>
      </c>
      <c r="J916" s="1">
        <v>45699</v>
      </c>
      <c r="K916" t="s">
        <v>34</v>
      </c>
      <c r="L916" t="s">
        <v>35</v>
      </c>
      <c r="M916" t="s">
        <v>38</v>
      </c>
      <c r="N916">
        <v>4</v>
      </c>
      <c r="O916">
        <v>0.75</v>
      </c>
      <c r="P916">
        <v>60</v>
      </c>
      <c r="Q916" t="s">
        <v>40</v>
      </c>
      <c r="R916" t="s">
        <v>40</v>
      </c>
      <c r="T916" t="s">
        <v>40</v>
      </c>
      <c r="U916" s="1">
        <v>45838</v>
      </c>
    </row>
    <row r="917" spans="1:21" x14ac:dyDescent="0.3">
      <c r="A917">
        <v>911</v>
      </c>
      <c r="B917">
        <v>304</v>
      </c>
      <c r="C917">
        <v>2</v>
      </c>
      <c r="D917" t="s">
        <v>19</v>
      </c>
      <c r="E917" t="s">
        <v>23</v>
      </c>
      <c r="F917">
        <v>30</v>
      </c>
      <c r="G917" t="s">
        <v>26</v>
      </c>
      <c r="I917" t="s">
        <v>33</v>
      </c>
      <c r="J917" s="1">
        <v>45699</v>
      </c>
      <c r="K917" t="s">
        <v>34</v>
      </c>
      <c r="L917" t="s">
        <v>36</v>
      </c>
      <c r="M917" t="s">
        <v>38</v>
      </c>
      <c r="N917">
        <v>4</v>
      </c>
      <c r="O917">
        <v>0.79166666666666663</v>
      </c>
      <c r="P917">
        <v>70</v>
      </c>
      <c r="Q917" t="s">
        <v>40</v>
      </c>
      <c r="R917" t="s">
        <v>40</v>
      </c>
      <c r="T917" t="s">
        <v>40</v>
      </c>
      <c r="U917" s="1">
        <v>45838</v>
      </c>
    </row>
    <row r="918" spans="1:21" x14ac:dyDescent="0.3">
      <c r="A918">
        <v>912</v>
      </c>
      <c r="B918">
        <v>304</v>
      </c>
      <c r="C918">
        <v>3</v>
      </c>
      <c r="D918" t="s">
        <v>21</v>
      </c>
      <c r="E918" t="s">
        <v>23</v>
      </c>
      <c r="F918">
        <v>30</v>
      </c>
      <c r="G918" t="s">
        <v>26</v>
      </c>
      <c r="I918" t="s">
        <v>33</v>
      </c>
      <c r="J918" s="1">
        <v>45699</v>
      </c>
      <c r="K918" t="s">
        <v>34</v>
      </c>
      <c r="L918" t="s">
        <v>37</v>
      </c>
      <c r="M918" t="s">
        <v>38</v>
      </c>
      <c r="N918">
        <v>4</v>
      </c>
      <c r="O918">
        <v>0.83333333333333337</v>
      </c>
      <c r="P918">
        <v>65.5</v>
      </c>
      <c r="Q918" t="s">
        <v>40</v>
      </c>
      <c r="R918" t="s">
        <v>40</v>
      </c>
      <c r="T918" t="s">
        <v>40</v>
      </c>
      <c r="U918" s="1">
        <v>45838</v>
      </c>
    </row>
    <row r="919" spans="1:21" x14ac:dyDescent="0.3">
      <c r="A919">
        <v>913</v>
      </c>
      <c r="B919">
        <v>305</v>
      </c>
      <c r="C919">
        <v>1</v>
      </c>
      <c r="D919" t="s">
        <v>19</v>
      </c>
      <c r="E919" t="s">
        <v>22</v>
      </c>
      <c r="F919">
        <v>22</v>
      </c>
      <c r="G919" t="s">
        <v>29</v>
      </c>
      <c r="I919" t="s">
        <v>31</v>
      </c>
      <c r="J919" s="1">
        <v>45781</v>
      </c>
      <c r="K919" t="s">
        <v>34</v>
      </c>
      <c r="L919" t="s">
        <v>35</v>
      </c>
      <c r="M919" t="s">
        <v>38</v>
      </c>
      <c r="N919">
        <v>4</v>
      </c>
      <c r="O919">
        <v>0.91666666666666663</v>
      </c>
      <c r="P919">
        <v>84.5</v>
      </c>
      <c r="Q919" t="s">
        <v>40</v>
      </c>
      <c r="R919" t="s">
        <v>40</v>
      </c>
      <c r="T919" t="s">
        <v>40</v>
      </c>
      <c r="U919" s="1">
        <v>45838</v>
      </c>
    </row>
    <row r="920" spans="1:21" x14ac:dyDescent="0.3">
      <c r="A920">
        <v>914</v>
      </c>
      <c r="B920">
        <v>305</v>
      </c>
      <c r="C920">
        <v>2</v>
      </c>
      <c r="D920" t="s">
        <v>20</v>
      </c>
      <c r="E920" t="s">
        <v>22</v>
      </c>
      <c r="F920">
        <v>22</v>
      </c>
      <c r="G920" t="s">
        <v>29</v>
      </c>
      <c r="I920" t="s">
        <v>31</v>
      </c>
      <c r="J920" s="1">
        <v>45781</v>
      </c>
      <c r="K920" t="s">
        <v>34</v>
      </c>
      <c r="L920" t="s">
        <v>36</v>
      </c>
      <c r="M920" t="s">
        <v>38</v>
      </c>
      <c r="N920">
        <v>4</v>
      </c>
      <c r="O920">
        <v>0.85416666666666663</v>
      </c>
      <c r="P920">
        <v>70</v>
      </c>
      <c r="Q920" t="s">
        <v>40</v>
      </c>
      <c r="R920" t="s">
        <v>40</v>
      </c>
      <c r="T920" t="s">
        <v>40</v>
      </c>
      <c r="U920" s="1">
        <v>45838</v>
      </c>
    </row>
    <row r="921" spans="1:21" x14ac:dyDescent="0.3">
      <c r="A921">
        <v>915</v>
      </c>
      <c r="B921">
        <v>305</v>
      </c>
      <c r="C921">
        <v>3</v>
      </c>
      <c r="D921" t="s">
        <v>21</v>
      </c>
      <c r="E921" t="s">
        <v>22</v>
      </c>
      <c r="F921">
        <v>22</v>
      </c>
      <c r="G921" t="s">
        <v>29</v>
      </c>
      <c r="I921" t="s">
        <v>31</v>
      </c>
      <c r="J921" s="1">
        <v>45781</v>
      </c>
      <c r="K921" t="s">
        <v>34</v>
      </c>
      <c r="L921" t="s">
        <v>37</v>
      </c>
      <c r="M921" t="s">
        <v>38</v>
      </c>
      <c r="N921">
        <v>4</v>
      </c>
      <c r="O921">
        <v>0.8125</v>
      </c>
      <c r="P921">
        <v>72</v>
      </c>
      <c r="Q921" t="s">
        <v>40</v>
      </c>
      <c r="R921" t="s">
        <v>40</v>
      </c>
      <c r="T921" t="s">
        <v>40</v>
      </c>
      <c r="U921" s="1">
        <v>45838</v>
      </c>
    </row>
    <row r="922" spans="1:21" x14ac:dyDescent="0.3">
      <c r="A922">
        <v>916</v>
      </c>
      <c r="B922">
        <v>306</v>
      </c>
      <c r="C922">
        <v>1</v>
      </c>
      <c r="D922" t="s">
        <v>19</v>
      </c>
      <c r="E922" t="s">
        <v>23</v>
      </c>
      <c r="F922">
        <v>35</v>
      </c>
      <c r="G922" t="s">
        <v>25</v>
      </c>
      <c r="I922" t="s">
        <v>31</v>
      </c>
      <c r="J922" s="1">
        <v>45730</v>
      </c>
      <c r="K922" t="s">
        <v>34</v>
      </c>
      <c r="L922" t="s">
        <v>35</v>
      </c>
      <c r="M922" t="s">
        <v>38</v>
      </c>
      <c r="N922">
        <v>4</v>
      </c>
      <c r="O922">
        <v>0.79166666666666663</v>
      </c>
      <c r="P922">
        <v>83</v>
      </c>
      <c r="Q922" t="s">
        <v>39</v>
      </c>
      <c r="R922" t="s">
        <v>39</v>
      </c>
      <c r="T922" t="s">
        <v>39</v>
      </c>
      <c r="U922" s="1">
        <v>45838</v>
      </c>
    </row>
    <row r="923" spans="1:21" x14ac:dyDescent="0.3">
      <c r="A923">
        <v>917</v>
      </c>
      <c r="B923">
        <v>306</v>
      </c>
      <c r="C923">
        <v>2</v>
      </c>
      <c r="D923" t="s">
        <v>21</v>
      </c>
      <c r="E923" t="s">
        <v>23</v>
      </c>
      <c r="F923">
        <v>35</v>
      </c>
      <c r="G923" t="s">
        <v>25</v>
      </c>
      <c r="I923" t="s">
        <v>31</v>
      </c>
      <c r="J923" s="1">
        <v>45730</v>
      </c>
      <c r="K923" t="s">
        <v>34</v>
      </c>
      <c r="L923" t="s">
        <v>36</v>
      </c>
      <c r="M923" t="s">
        <v>38</v>
      </c>
      <c r="N923">
        <v>4</v>
      </c>
      <c r="O923">
        <v>0.8125</v>
      </c>
      <c r="P923">
        <v>65</v>
      </c>
      <c r="Q923" t="s">
        <v>39</v>
      </c>
      <c r="R923" t="s">
        <v>39</v>
      </c>
      <c r="T923" t="s">
        <v>39</v>
      </c>
      <c r="U923" s="1">
        <v>45838</v>
      </c>
    </row>
    <row r="924" spans="1:21" x14ac:dyDescent="0.3">
      <c r="A924">
        <v>918</v>
      </c>
      <c r="B924">
        <v>306</v>
      </c>
      <c r="C924">
        <v>3</v>
      </c>
      <c r="D924" t="s">
        <v>19</v>
      </c>
      <c r="E924" t="s">
        <v>23</v>
      </c>
      <c r="F924">
        <v>35</v>
      </c>
      <c r="G924" t="s">
        <v>25</v>
      </c>
      <c r="I924" t="s">
        <v>31</v>
      </c>
      <c r="J924" s="1">
        <v>45730</v>
      </c>
      <c r="K924" t="s">
        <v>34</v>
      </c>
      <c r="L924" t="s">
        <v>37</v>
      </c>
      <c r="M924" t="s">
        <v>38</v>
      </c>
      <c r="N924">
        <v>4</v>
      </c>
      <c r="O924">
        <v>0.875</v>
      </c>
      <c r="P924">
        <v>71</v>
      </c>
      <c r="Q924" t="s">
        <v>39</v>
      </c>
      <c r="R924" t="s">
        <v>39</v>
      </c>
      <c r="T924" t="s">
        <v>39</v>
      </c>
      <c r="U924" s="1">
        <v>45838</v>
      </c>
    </row>
    <row r="925" spans="1:21" x14ac:dyDescent="0.3">
      <c r="A925">
        <v>919</v>
      </c>
      <c r="B925">
        <v>307</v>
      </c>
      <c r="C925">
        <v>1</v>
      </c>
      <c r="D925" t="s">
        <v>19</v>
      </c>
      <c r="E925" t="s">
        <v>22</v>
      </c>
      <c r="F925">
        <v>23</v>
      </c>
      <c r="G925" t="s">
        <v>29</v>
      </c>
      <c r="I925" t="s">
        <v>33</v>
      </c>
      <c r="J925" s="1">
        <v>45789</v>
      </c>
      <c r="K925" t="s">
        <v>34</v>
      </c>
      <c r="L925" t="s">
        <v>35</v>
      </c>
      <c r="M925" t="s">
        <v>38</v>
      </c>
      <c r="N925">
        <v>4</v>
      </c>
      <c r="O925">
        <v>0.77083333333333337</v>
      </c>
      <c r="P925">
        <v>83.5</v>
      </c>
      <c r="Q925" t="s">
        <v>40</v>
      </c>
      <c r="R925" t="s">
        <v>40</v>
      </c>
      <c r="T925" t="s">
        <v>40</v>
      </c>
      <c r="U925" s="1">
        <v>45838</v>
      </c>
    </row>
    <row r="926" spans="1:21" x14ac:dyDescent="0.3">
      <c r="A926">
        <v>920</v>
      </c>
      <c r="B926">
        <v>307</v>
      </c>
      <c r="C926">
        <v>2</v>
      </c>
      <c r="D926" t="s">
        <v>21</v>
      </c>
      <c r="E926" t="s">
        <v>22</v>
      </c>
      <c r="F926">
        <v>23</v>
      </c>
      <c r="G926" t="s">
        <v>29</v>
      </c>
      <c r="I926" t="s">
        <v>33</v>
      </c>
      <c r="J926" s="1">
        <v>45789</v>
      </c>
      <c r="K926" t="s">
        <v>34</v>
      </c>
      <c r="L926" t="s">
        <v>36</v>
      </c>
      <c r="M926" t="s">
        <v>38</v>
      </c>
      <c r="N926">
        <v>4</v>
      </c>
      <c r="O926">
        <v>0.875</v>
      </c>
      <c r="P926">
        <v>53.5</v>
      </c>
      <c r="Q926" t="s">
        <v>40</v>
      </c>
      <c r="R926" t="s">
        <v>40</v>
      </c>
      <c r="T926" t="s">
        <v>40</v>
      </c>
      <c r="U926" s="1">
        <v>45838</v>
      </c>
    </row>
    <row r="927" spans="1:21" x14ac:dyDescent="0.3">
      <c r="A927">
        <v>921</v>
      </c>
      <c r="B927">
        <v>307</v>
      </c>
      <c r="C927">
        <v>3</v>
      </c>
      <c r="D927" t="s">
        <v>19</v>
      </c>
      <c r="E927" t="s">
        <v>22</v>
      </c>
      <c r="F927">
        <v>23</v>
      </c>
      <c r="G927" t="s">
        <v>29</v>
      </c>
      <c r="I927" t="s">
        <v>33</v>
      </c>
      <c r="J927" s="1">
        <v>45789</v>
      </c>
      <c r="K927" t="s">
        <v>34</v>
      </c>
      <c r="L927" t="s">
        <v>37</v>
      </c>
      <c r="M927" t="s">
        <v>38</v>
      </c>
      <c r="N927">
        <v>4</v>
      </c>
      <c r="O927">
        <v>0.77083333333333337</v>
      </c>
      <c r="P927">
        <v>81.5</v>
      </c>
      <c r="Q927" t="s">
        <v>40</v>
      </c>
      <c r="R927" t="s">
        <v>40</v>
      </c>
      <c r="T927" t="s">
        <v>40</v>
      </c>
      <c r="U927" s="1">
        <v>45838</v>
      </c>
    </row>
    <row r="928" spans="1:21" x14ac:dyDescent="0.3">
      <c r="A928">
        <v>922</v>
      </c>
      <c r="B928">
        <v>308</v>
      </c>
      <c r="C928">
        <v>1</v>
      </c>
      <c r="D928" t="s">
        <v>19</v>
      </c>
      <c r="E928" t="s">
        <v>22</v>
      </c>
      <c r="F928">
        <v>31</v>
      </c>
      <c r="G928" t="s">
        <v>25</v>
      </c>
      <c r="I928" t="s">
        <v>32</v>
      </c>
      <c r="J928" s="1">
        <v>45773</v>
      </c>
      <c r="K928" t="s">
        <v>34</v>
      </c>
      <c r="L928" t="s">
        <v>35</v>
      </c>
      <c r="M928" t="s">
        <v>38</v>
      </c>
      <c r="N928">
        <v>4</v>
      </c>
      <c r="O928">
        <v>0.89583333333333337</v>
      </c>
      <c r="P928">
        <v>68</v>
      </c>
      <c r="Q928" t="s">
        <v>39</v>
      </c>
      <c r="R928" t="s">
        <v>39</v>
      </c>
      <c r="T928" t="s">
        <v>40</v>
      </c>
      <c r="U928" s="1">
        <v>45838</v>
      </c>
    </row>
    <row r="929" spans="1:21" x14ac:dyDescent="0.3">
      <c r="A929">
        <v>923</v>
      </c>
      <c r="B929">
        <v>308</v>
      </c>
      <c r="C929">
        <v>2</v>
      </c>
      <c r="D929" t="s">
        <v>19</v>
      </c>
      <c r="E929" t="s">
        <v>22</v>
      </c>
      <c r="F929">
        <v>31</v>
      </c>
      <c r="G929" t="s">
        <v>25</v>
      </c>
      <c r="I929" t="s">
        <v>32</v>
      </c>
      <c r="J929" s="1">
        <v>45773</v>
      </c>
      <c r="K929" t="s">
        <v>34</v>
      </c>
      <c r="L929" t="s">
        <v>36</v>
      </c>
      <c r="M929" t="s">
        <v>38</v>
      </c>
      <c r="N929">
        <v>4</v>
      </c>
      <c r="O929">
        <v>0.8125</v>
      </c>
      <c r="P929">
        <v>48</v>
      </c>
      <c r="Q929" t="s">
        <v>39</v>
      </c>
      <c r="R929" t="s">
        <v>39</v>
      </c>
      <c r="T929" t="s">
        <v>40</v>
      </c>
      <c r="U929" s="1">
        <v>45838</v>
      </c>
    </row>
    <row r="930" spans="1:21" x14ac:dyDescent="0.3">
      <c r="A930">
        <v>924</v>
      </c>
      <c r="B930">
        <v>308</v>
      </c>
      <c r="C930">
        <v>3</v>
      </c>
      <c r="D930" t="s">
        <v>19</v>
      </c>
      <c r="E930" t="s">
        <v>22</v>
      </c>
      <c r="F930">
        <v>31</v>
      </c>
      <c r="G930" t="s">
        <v>25</v>
      </c>
      <c r="I930" t="s">
        <v>32</v>
      </c>
      <c r="J930" s="1">
        <v>45773</v>
      </c>
      <c r="K930" t="s">
        <v>34</v>
      </c>
      <c r="L930" t="s">
        <v>37</v>
      </c>
      <c r="M930" t="s">
        <v>38</v>
      </c>
      <c r="N930">
        <v>4</v>
      </c>
      <c r="O930">
        <v>0.85416666666666663</v>
      </c>
      <c r="P930">
        <v>62</v>
      </c>
      <c r="Q930" t="s">
        <v>39</v>
      </c>
      <c r="R930" t="s">
        <v>39</v>
      </c>
      <c r="T930" t="s">
        <v>40</v>
      </c>
      <c r="U930" s="1">
        <v>45838</v>
      </c>
    </row>
    <row r="931" spans="1:21" x14ac:dyDescent="0.3">
      <c r="A931">
        <v>925</v>
      </c>
      <c r="B931">
        <v>309</v>
      </c>
      <c r="C931">
        <v>1</v>
      </c>
      <c r="D931" t="s">
        <v>19</v>
      </c>
      <c r="E931" t="s">
        <v>23</v>
      </c>
      <c r="F931">
        <v>18</v>
      </c>
      <c r="G931" t="s">
        <v>27</v>
      </c>
      <c r="I931" t="s">
        <v>31</v>
      </c>
      <c r="J931" s="1">
        <v>45759</v>
      </c>
      <c r="K931" t="s">
        <v>34</v>
      </c>
      <c r="L931" t="s">
        <v>35</v>
      </c>
      <c r="M931" t="s">
        <v>38</v>
      </c>
      <c r="N931">
        <v>4</v>
      </c>
      <c r="O931">
        <v>0.8125</v>
      </c>
      <c r="P931">
        <v>69.5</v>
      </c>
      <c r="Q931" t="s">
        <v>39</v>
      </c>
      <c r="R931" t="s">
        <v>39</v>
      </c>
      <c r="T931" t="s">
        <v>40</v>
      </c>
      <c r="U931" s="1">
        <v>45838</v>
      </c>
    </row>
    <row r="932" spans="1:21" x14ac:dyDescent="0.3">
      <c r="A932">
        <v>926</v>
      </c>
      <c r="B932">
        <v>309</v>
      </c>
      <c r="C932">
        <v>2</v>
      </c>
      <c r="D932" t="s">
        <v>19</v>
      </c>
      <c r="E932" t="s">
        <v>23</v>
      </c>
      <c r="F932">
        <v>18</v>
      </c>
      <c r="G932" t="s">
        <v>27</v>
      </c>
      <c r="I932" t="s">
        <v>31</v>
      </c>
      <c r="J932" s="1">
        <v>45759</v>
      </c>
      <c r="K932" t="s">
        <v>34</v>
      </c>
      <c r="L932" t="s">
        <v>36</v>
      </c>
      <c r="M932" t="s">
        <v>38</v>
      </c>
      <c r="N932">
        <v>4</v>
      </c>
      <c r="O932">
        <v>0.75</v>
      </c>
      <c r="P932">
        <v>62</v>
      </c>
      <c r="Q932" t="s">
        <v>39</v>
      </c>
      <c r="R932" t="s">
        <v>39</v>
      </c>
      <c r="T932" t="s">
        <v>40</v>
      </c>
      <c r="U932" s="1">
        <v>45838</v>
      </c>
    </row>
    <row r="933" spans="1:21" x14ac:dyDescent="0.3">
      <c r="A933">
        <v>927</v>
      </c>
      <c r="B933">
        <v>309</v>
      </c>
      <c r="C933">
        <v>3</v>
      </c>
      <c r="D933" t="s">
        <v>19</v>
      </c>
      <c r="E933" t="s">
        <v>23</v>
      </c>
      <c r="F933">
        <v>18</v>
      </c>
      <c r="G933" t="s">
        <v>27</v>
      </c>
      <c r="I933" t="s">
        <v>31</v>
      </c>
      <c r="J933" s="1">
        <v>45759</v>
      </c>
      <c r="K933" t="s">
        <v>34</v>
      </c>
      <c r="L933" t="s">
        <v>37</v>
      </c>
      <c r="M933" t="s">
        <v>38</v>
      </c>
      <c r="N933">
        <v>4</v>
      </c>
      <c r="O933">
        <v>0.875</v>
      </c>
      <c r="P933">
        <v>60.5</v>
      </c>
      <c r="Q933" t="s">
        <v>39</v>
      </c>
      <c r="R933" t="s">
        <v>39</v>
      </c>
      <c r="T933" t="s">
        <v>40</v>
      </c>
      <c r="U933" s="1">
        <v>45838</v>
      </c>
    </row>
    <row r="934" spans="1:21" x14ac:dyDescent="0.3">
      <c r="A934">
        <v>928</v>
      </c>
      <c r="B934">
        <v>310</v>
      </c>
      <c r="C934">
        <v>1</v>
      </c>
      <c r="D934" t="s">
        <v>19</v>
      </c>
      <c r="E934" t="s">
        <v>23</v>
      </c>
      <c r="F934">
        <v>25</v>
      </c>
      <c r="G934" t="s">
        <v>27</v>
      </c>
      <c r="I934" t="s">
        <v>31</v>
      </c>
      <c r="J934" s="1">
        <v>45753</v>
      </c>
      <c r="K934" t="s">
        <v>34</v>
      </c>
      <c r="L934" t="s">
        <v>35</v>
      </c>
      <c r="M934" t="s">
        <v>38</v>
      </c>
      <c r="N934">
        <v>4</v>
      </c>
      <c r="O934">
        <v>0.8125</v>
      </c>
      <c r="P934">
        <v>60</v>
      </c>
      <c r="Q934" t="s">
        <v>40</v>
      </c>
      <c r="R934" t="s">
        <v>40</v>
      </c>
      <c r="T934" t="s">
        <v>40</v>
      </c>
      <c r="U934" s="1">
        <v>45838</v>
      </c>
    </row>
    <row r="935" spans="1:21" x14ac:dyDescent="0.3">
      <c r="A935">
        <v>929</v>
      </c>
      <c r="B935">
        <v>310</v>
      </c>
      <c r="C935">
        <v>2</v>
      </c>
      <c r="D935" t="s">
        <v>19</v>
      </c>
      <c r="E935" t="s">
        <v>23</v>
      </c>
      <c r="F935">
        <v>25</v>
      </c>
      <c r="G935" t="s">
        <v>27</v>
      </c>
      <c r="I935" t="s">
        <v>31</v>
      </c>
      <c r="J935" s="1">
        <v>45753</v>
      </c>
      <c r="K935" t="s">
        <v>34</v>
      </c>
      <c r="L935" t="s">
        <v>36</v>
      </c>
      <c r="M935" t="s">
        <v>38</v>
      </c>
      <c r="N935">
        <v>4</v>
      </c>
      <c r="O935">
        <v>0.8125</v>
      </c>
      <c r="P935">
        <v>80.5</v>
      </c>
      <c r="Q935" t="s">
        <v>40</v>
      </c>
      <c r="R935" t="s">
        <v>40</v>
      </c>
      <c r="T935" t="s">
        <v>40</v>
      </c>
      <c r="U935" s="1">
        <v>45838</v>
      </c>
    </row>
    <row r="936" spans="1:21" x14ac:dyDescent="0.3">
      <c r="A936">
        <v>930</v>
      </c>
      <c r="B936">
        <v>310</v>
      </c>
      <c r="C936">
        <v>3</v>
      </c>
      <c r="D936" t="s">
        <v>19</v>
      </c>
      <c r="E936" t="s">
        <v>23</v>
      </c>
      <c r="F936">
        <v>25</v>
      </c>
      <c r="G936" t="s">
        <v>27</v>
      </c>
      <c r="I936" t="s">
        <v>31</v>
      </c>
      <c r="J936" s="1">
        <v>45753</v>
      </c>
      <c r="K936" t="s">
        <v>34</v>
      </c>
      <c r="L936" t="s">
        <v>37</v>
      </c>
      <c r="M936" t="s">
        <v>38</v>
      </c>
      <c r="N936">
        <v>4</v>
      </c>
      <c r="O936">
        <v>0.8125</v>
      </c>
      <c r="P936">
        <v>69</v>
      </c>
      <c r="Q936" t="s">
        <v>40</v>
      </c>
      <c r="R936" t="s">
        <v>40</v>
      </c>
      <c r="T936" t="s">
        <v>40</v>
      </c>
      <c r="U936" s="1">
        <v>45838</v>
      </c>
    </row>
    <row r="937" spans="1:21" x14ac:dyDescent="0.3">
      <c r="A937">
        <v>931</v>
      </c>
      <c r="B937">
        <v>311</v>
      </c>
      <c r="C937">
        <v>1</v>
      </c>
      <c r="D937" t="s">
        <v>21</v>
      </c>
      <c r="E937" t="s">
        <v>22</v>
      </c>
      <c r="F937">
        <v>18</v>
      </c>
      <c r="G937" t="s">
        <v>29</v>
      </c>
      <c r="I937" t="s">
        <v>31</v>
      </c>
      <c r="J937" s="1">
        <v>45743</v>
      </c>
      <c r="K937" t="s">
        <v>34</v>
      </c>
      <c r="L937" t="s">
        <v>35</v>
      </c>
      <c r="M937" t="s">
        <v>38</v>
      </c>
      <c r="N937">
        <v>4</v>
      </c>
      <c r="O937">
        <v>0.77083333333333337</v>
      </c>
      <c r="P937">
        <v>61.5</v>
      </c>
      <c r="Q937" t="s">
        <v>39</v>
      </c>
      <c r="R937" t="s">
        <v>39</v>
      </c>
      <c r="T937" t="s">
        <v>40</v>
      </c>
      <c r="U937" s="1">
        <v>45838</v>
      </c>
    </row>
    <row r="938" spans="1:21" x14ac:dyDescent="0.3">
      <c r="A938">
        <v>932</v>
      </c>
      <c r="B938">
        <v>311</v>
      </c>
      <c r="C938">
        <v>2</v>
      </c>
      <c r="D938" t="s">
        <v>19</v>
      </c>
      <c r="E938" t="s">
        <v>22</v>
      </c>
      <c r="F938">
        <v>18</v>
      </c>
      <c r="G938" t="s">
        <v>29</v>
      </c>
      <c r="I938" t="s">
        <v>31</v>
      </c>
      <c r="J938" s="1">
        <v>45743</v>
      </c>
      <c r="K938" t="s">
        <v>34</v>
      </c>
      <c r="L938" t="s">
        <v>36</v>
      </c>
      <c r="M938" t="s">
        <v>38</v>
      </c>
      <c r="N938">
        <v>4</v>
      </c>
      <c r="O938">
        <v>0.79166666666666663</v>
      </c>
      <c r="P938">
        <v>72.5</v>
      </c>
      <c r="Q938" t="s">
        <v>39</v>
      </c>
      <c r="R938" t="s">
        <v>39</v>
      </c>
      <c r="T938" t="s">
        <v>40</v>
      </c>
      <c r="U938" s="1">
        <v>45838</v>
      </c>
    </row>
    <row r="939" spans="1:21" x14ac:dyDescent="0.3">
      <c r="A939">
        <v>933</v>
      </c>
      <c r="B939">
        <v>311</v>
      </c>
      <c r="C939">
        <v>3</v>
      </c>
      <c r="D939" t="s">
        <v>19</v>
      </c>
      <c r="E939" t="s">
        <v>22</v>
      </c>
      <c r="F939">
        <v>18</v>
      </c>
      <c r="G939" t="s">
        <v>29</v>
      </c>
      <c r="I939" t="s">
        <v>31</v>
      </c>
      <c r="J939" s="1">
        <v>45743</v>
      </c>
      <c r="K939" t="s">
        <v>34</v>
      </c>
      <c r="L939" t="s">
        <v>37</v>
      </c>
      <c r="M939" t="s">
        <v>38</v>
      </c>
      <c r="N939">
        <v>4</v>
      </c>
      <c r="O939">
        <v>0.77083333333333337</v>
      </c>
      <c r="P939">
        <v>72</v>
      </c>
      <c r="Q939" t="s">
        <v>39</v>
      </c>
      <c r="R939" t="s">
        <v>39</v>
      </c>
      <c r="T939" t="s">
        <v>40</v>
      </c>
      <c r="U939" s="1">
        <v>45838</v>
      </c>
    </row>
    <row r="940" spans="1:21" x14ac:dyDescent="0.3">
      <c r="A940">
        <v>934</v>
      </c>
      <c r="B940">
        <v>312</v>
      </c>
      <c r="C940">
        <v>1</v>
      </c>
      <c r="D940" t="s">
        <v>19</v>
      </c>
      <c r="E940" t="s">
        <v>22</v>
      </c>
      <c r="F940">
        <v>22</v>
      </c>
      <c r="G940" t="s">
        <v>25</v>
      </c>
      <c r="I940" t="s">
        <v>30</v>
      </c>
      <c r="J940" s="1">
        <v>45778</v>
      </c>
      <c r="K940" t="s">
        <v>34</v>
      </c>
      <c r="L940" t="s">
        <v>35</v>
      </c>
      <c r="M940" t="s">
        <v>38</v>
      </c>
      <c r="N940">
        <v>4</v>
      </c>
      <c r="O940">
        <v>0.79166666666666663</v>
      </c>
      <c r="P940">
        <v>62.5</v>
      </c>
      <c r="Q940" t="s">
        <v>40</v>
      </c>
      <c r="R940" t="s">
        <v>40</v>
      </c>
      <c r="T940" t="s">
        <v>40</v>
      </c>
      <c r="U940" s="1">
        <v>45838</v>
      </c>
    </row>
    <row r="941" spans="1:21" x14ac:dyDescent="0.3">
      <c r="A941">
        <v>935</v>
      </c>
      <c r="B941">
        <v>312</v>
      </c>
      <c r="C941">
        <v>2</v>
      </c>
      <c r="D941" t="s">
        <v>21</v>
      </c>
      <c r="E941" t="s">
        <v>22</v>
      </c>
      <c r="F941">
        <v>22</v>
      </c>
      <c r="G941" t="s">
        <v>25</v>
      </c>
      <c r="I941" t="s">
        <v>30</v>
      </c>
      <c r="J941" s="1">
        <v>45778</v>
      </c>
      <c r="K941" t="s">
        <v>34</v>
      </c>
      <c r="L941" t="s">
        <v>36</v>
      </c>
      <c r="M941" t="s">
        <v>38</v>
      </c>
      <c r="N941">
        <v>4</v>
      </c>
      <c r="O941">
        <v>0.83333333333333337</v>
      </c>
      <c r="P941">
        <v>66.5</v>
      </c>
      <c r="Q941" t="s">
        <v>40</v>
      </c>
      <c r="R941" t="s">
        <v>40</v>
      </c>
      <c r="T941" t="s">
        <v>40</v>
      </c>
      <c r="U941" s="1">
        <v>45838</v>
      </c>
    </row>
    <row r="942" spans="1:21" x14ac:dyDescent="0.3">
      <c r="A942">
        <v>936</v>
      </c>
      <c r="B942">
        <v>312</v>
      </c>
      <c r="C942">
        <v>3</v>
      </c>
      <c r="D942" t="s">
        <v>19</v>
      </c>
      <c r="E942" t="s">
        <v>22</v>
      </c>
      <c r="F942">
        <v>22</v>
      </c>
      <c r="G942" t="s">
        <v>25</v>
      </c>
      <c r="I942" t="s">
        <v>30</v>
      </c>
      <c r="J942" s="1">
        <v>45778</v>
      </c>
      <c r="K942" t="s">
        <v>34</v>
      </c>
      <c r="L942" t="s">
        <v>37</v>
      </c>
      <c r="M942" t="s">
        <v>38</v>
      </c>
      <c r="N942">
        <v>4</v>
      </c>
      <c r="O942">
        <v>0.77083333333333337</v>
      </c>
      <c r="P942">
        <v>94</v>
      </c>
      <c r="Q942" t="s">
        <v>40</v>
      </c>
      <c r="R942" t="s">
        <v>40</v>
      </c>
      <c r="T942" t="s">
        <v>40</v>
      </c>
      <c r="U942" s="1">
        <v>45838</v>
      </c>
    </row>
    <row r="943" spans="1:21" x14ac:dyDescent="0.3">
      <c r="A943">
        <v>937</v>
      </c>
      <c r="B943">
        <v>313</v>
      </c>
      <c r="C943">
        <v>1</v>
      </c>
      <c r="D943" t="s">
        <v>19</v>
      </c>
      <c r="E943" t="s">
        <v>22</v>
      </c>
      <c r="F943">
        <v>33</v>
      </c>
      <c r="G943" t="s">
        <v>27</v>
      </c>
      <c r="I943" t="s">
        <v>31</v>
      </c>
      <c r="J943" s="1">
        <v>45678</v>
      </c>
      <c r="K943" t="s">
        <v>34</v>
      </c>
      <c r="L943" t="s">
        <v>35</v>
      </c>
      <c r="M943" t="s">
        <v>38</v>
      </c>
      <c r="N943">
        <v>4</v>
      </c>
      <c r="O943">
        <v>0.89583333333333337</v>
      </c>
      <c r="P943">
        <v>78</v>
      </c>
      <c r="Q943" t="s">
        <v>39</v>
      </c>
      <c r="R943" t="s">
        <v>39</v>
      </c>
      <c r="T943" t="s">
        <v>40</v>
      </c>
      <c r="U943" s="1">
        <v>45838</v>
      </c>
    </row>
    <row r="944" spans="1:21" x14ac:dyDescent="0.3">
      <c r="A944">
        <v>938</v>
      </c>
      <c r="B944">
        <v>313</v>
      </c>
      <c r="C944">
        <v>2</v>
      </c>
      <c r="D944" t="s">
        <v>19</v>
      </c>
      <c r="E944" t="s">
        <v>22</v>
      </c>
      <c r="F944">
        <v>33</v>
      </c>
      <c r="G944" t="s">
        <v>27</v>
      </c>
      <c r="I944" t="s">
        <v>31</v>
      </c>
      <c r="J944" s="1">
        <v>45678</v>
      </c>
      <c r="K944" t="s">
        <v>34</v>
      </c>
      <c r="L944" t="s">
        <v>36</v>
      </c>
      <c r="M944" t="s">
        <v>38</v>
      </c>
      <c r="N944">
        <v>4</v>
      </c>
      <c r="O944">
        <v>0.91666666666666663</v>
      </c>
      <c r="P944">
        <v>80</v>
      </c>
      <c r="Q944" t="s">
        <v>39</v>
      </c>
      <c r="R944" t="s">
        <v>39</v>
      </c>
      <c r="T944" t="s">
        <v>40</v>
      </c>
      <c r="U944" s="1">
        <v>45838</v>
      </c>
    </row>
    <row r="945" spans="1:21" x14ac:dyDescent="0.3">
      <c r="A945">
        <v>939</v>
      </c>
      <c r="B945">
        <v>313</v>
      </c>
      <c r="C945">
        <v>3</v>
      </c>
      <c r="D945" t="s">
        <v>19</v>
      </c>
      <c r="E945" t="s">
        <v>22</v>
      </c>
      <c r="F945">
        <v>33</v>
      </c>
      <c r="G945" t="s">
        <v>27</v>
      </c>
      <c r="I945" t="s">
        <v>31</v>
      </c>
      <c r="J945" s="1">
        <v>45678</v>
      </c>
      <c r="K945" t="s">
        <v>34</v>
      </c>
      <c r="L945" t="s">
        <v>37</v>
      </c>
      <c r="M945" t="s">
        <v>38</v>
      </c>
      <c r="N945">
        <v>4</v>
      </c>
      <c r="O945">
        <v>0.83333333333333337</v>
      </c>
      <c r="P945">
        <v>62</v>
      </c>
      <c r="Q945" t="s">
        <v>39</v>
      </c>
      <c r="R945" t="s">
        <v>39</v>
      </c>
      <c r="T945" t="s">
        <v>40</v>
      </c>
      <c r="U945" s="1">
        <v>45838</v>
      </c>
    </row>
    <row r="946" spans="1:21" x14ac:dyDescent="0.3">
      <c r="A946">
        <v>940</v>
      </c>
      <c r="B946">
        <v>314</v>
      </c>
      <c r="C946">
        <v>1</v>
      </c>
      <c r="D946" t="s">
        <v>20</v>
      </c>
      <c r="E946" t="s">
        <v>22</v>
      </c>
      <c r="F946">
        <v>26</v>
      </c>
      <c r="G946" t="s">
        <v>28</v>
      </c>
      <c r="I946" t="s">
        <v>32</v>
      </c>
      <c r="J946" s="1">
        <v>45798</v>
      </c>
      <c r="K946" t="s">
        <v>34</v>
      </c>
      <c r="L946" t="s">
        <v>35</v>
      </c>
      <c r="M946" t="s">
        <v>38</v>
      </c>
      <c r="N946">
        <v>4</v>
      </c>
      <c r="O946">
        <v>0.9375</v>
      </c>
      <c r="P946">
        <v>62</v>
      </c>
      <c r="Q946" t="s">
        <v>40</v>
      </c>
      <c r="R946" t="s">
        <v>40</v>
      </c>
      <c r="T946" t="s">
        <v>40</v>
      </c>
      <c r="U946" s="1">
        <v>45838</v>
      </c>
    </row>
    <row r="947" spans="1:21" x14ac:dyDescent="0.3">
      <c r="A947">
        <v>941</v>
      </c>
      <c r="B947">
        <v>314</v>
      </c>
      <c r="C947">
        <v>2</v>
      </c>
      <c r="D947" t="s">
        <v>21</v>
      </c>
      <c r="E947" t="s">
        <v>22</v>
      </c>
      <c r="F947">
        <v>26</v>
      </c>
      <c r="G947" t="s">
        <v>28</v>
      </c>
      <c r="I947" t="s">
        <v>32</v>
      </c>
      <c r="J947" s="1">
        <v>45798</v>
      </c>
      <c r="K947" t="s">
        <v>34</v>
      </c>
      <c r="L947" t="s">
        <v>36</v>
      </c>
      <c r="M947" t="s">
        <v>38</v>
      </c>
      <c r="N947">
        <v>4</v>
      </c>
      <c r="O947">
        <v>0.83333333333333337</v>
      </c>
      <c r="P947">
        <v>50.5</v>
      </c>
      <c r="Q947" t="s">
        <v>40</v>
      </c>
      <c r="R947" t="s">
        <v>40</v>
      </c>
      <c r="T947" t="s">
        <v>40</v>
      </c>
      <c r="U947" s="1">
        <v>45838</v>
      </c>
    </row>
    <row r="948" spans="1:21" x14ac:dyDescent="0.3">
      <c r="A948">
        <v>942</v>
      </c>
      <c r="B948">
        <v>314</v>
      </c>
      <c r="C948">
        <v>3</v>
      </c>
      <c r="D948" t="s">
        <v>19</v>
      </c>
      <c r="E948" t="s">
        <v>22</v>
      </c>
      <c r="F948">
        <v>26</v>
      </c>
      <c r="G948" t="s">
        <v>28</v>
      </c>
      <c r="I948" t="s">
        <v>32</v>
      </c>
      <c r="J948" s="1">
        <v>45798</v>
      </c>
      <c r="K948" t="s">
        <v>34</v>
      </c>
      <c r="L948" t="s">
        <v>37</v>
      </c>
      <c r="M948" t="s">
        <v>38</v>
      </c>
      <c r="N948">
        <v>4</v>
      </c>
      <c r="O948">
        <v>0.75</v>
      </c>
      <c r="P948">
        <v>72</v>
      </c>
      <c r="Q948" t="s">
        <v>40</v>
      </c>
      <c r="R948" t="s">
        <v>40</v>
      </c>
      <c r="T948" t="s">
        <v>40</v>
      </c>
      <c r="U948" s="1">
        <v>45838</v>
      </c>
    </row>
    <row r="949" spans="1:21" x14ac:dyDescent="0.3">
      <c r="A949">
        <v>943</v>
      </c>
      <c r="B949">
        <v>315</v>
      </c>
      <c r="C949">
        <v>1</v>
      </c>
      <c r="D949" t="s">
        <v>20</v>
      </c>
      <c r="E949" t="s">
        <v>23</v>
      </c>
      <c r="F949">
        <v>21</v>
      </c>
      <c r="G949" t="s">
        <v>29</v>
      </c>
      <c r="I949" t="s">
        <v>32</v>
      </c>
      <c r="J949" s="1">
        <v>45735</v>
      </c>
      <c r="K949" t="s">
        <v>34</v>
      </c>
      <c r="L949" t="s">
        <v>35</v>
      </c>
      <c r="M949" t="s">
        <v>38</v>
      </c>
      <c r="N949">
        <v>4</v>
      </c>
      <c r="O949">
        <v>0.875</v>
      </c>
      <c r="P949">
        <v>66</v>
      </c>
      <c r="Q949" t="s">
        <v>39</v>
      </c>
      <c r="R949" t="s">
        <v>39</v>
      </c>
      <c r="T949" t="s">
        <v>40</v>
      </c>
      <c r="U949" s="1">
        <v>45838</v>
      </c>
    </row>
    <row r="950" spans="1:21" x14ac:dyDescent="0.3">
      <c r="A950">
        <v>944</v>
      </c>
      <c r="B950">
        <v>315</v>
      </c>
      <c r="C950">
        <v>2</v>
      </c>
      <c r="D950" t="s">
        <v>21</v>
      </c>
      <c r="E950" t="s">
        <v>23</v>
      </c>
      <c r="F950">
        <v>21</v>
      </c>
      <c r="G950" t="s">
        <v>29</v>
      </c>
      <c r="I950" t="s">
        <v>32</v>
      </c>
      <c r="J950" s="1">
        <v>45735</v>
      </c>
      <c r="K950" t="s">
        <v>34</v>
      </c>
      <c r="L950" t="s">
        <v>36</v>
      </c>
      <c r="M950" t="s">
        <v>38</v>
      </c>
      <c r="N950">
        <v>4</v>
      </c>
      <c r="O950">
        <v>0.875</v>
      </c>
      <c r="P950">
        <v>77.5</v>
      </c>
      <c r="Q950" t="s">
        <v>39</v>
      </c>
      <c r="R950" t="s">
        <v>39</v>
      </c>
      <c r="T950" t="s">
        <v>40</v>
      </c>
      <c r="U950" s="1">
        <v>45838</v>
      </c>
    </row>
    <row r="951" spans="1:21" x14ac:dyDescent="0.3">
      <c r="A951">
        <v>945</v>
      </c>
      <c r="B951">
        <v>315</v>
      </c>
      <c r="C951">
        <v>3</v>
      </c>
      <c r="D951" t="s">
        <v>19</v>
      </c>
      <c r="E951" t="s">
        <v>23</v>
      </c>
      <c r="F951">
        <v>21</v>
      </c>
      <c r="G951" t="s">
        <v>29</v>
      </c>
      <c r="I951" t="s">
        <v>32</v>
      </c>
      <c r="J951" s="1">
        <v>45735</v>
      </c>
      <c r="K951" t="s">
        <v>34</v>
      </c>
      <c r="L951" t="s">
        <v>37</v>
      </c>
      <c r="M951" t="s">
        <v>38</v>
      </c>
      <c r="N951">
        <v>4</v>
      </c>
      <c r="O951">
        <v>0.72916666666666663</v>
      </c>
      <c r="P951">
        <v>86.5</v>
      </c>
      <c r="Q951" t="s">
        <v>39</v>
      </c>
      <c r="R951" t="s">
        <v>39</v>
      </c>
      <c r="T951" t="s">
        <v>40</v>
      </c>
      <c r="U951" s="1">
        <v>45838</v>
      </c>
    </row>
    <row r="952" spans="1:21" x14ac:dyDescent="0.3">
      <c r="A952">
        <v>946</v>
      </c>
      <c r="B952">
        <v>316</v>
      </c>
      <c r="C952">
        <v>1</v>
      </c>
      <c r="D952" t="s">
        <v>19</v>
      </c>
      <c r="E952" t="s">
        <v>22</v>
      </c>
      <c r="F952">
        <v>19</v>
      </c>
      <c r="G952" t="s">
        <v>28</v>
      </c>
      <c r="I952" t="s">
        <v>33</v>
      </c>
      <c r="J952" s="1">
        <v>45775</v>
      </c>
      <c r="K952" t="s">
        <v>34</v>
      </c>
      <c r="L952" t="s">
        <v>35</v>
      </c>
      <c r="M952" t="s">
        <v>38</v>
      </c>
      <c r="N952">
        <v>4</v>
      </c>
      <c r="O952">
        <v>0.77083333333333337</v>
      </c>
      <c r="P952">
        <v>88.5</v>
      </c>
      <c r="Q952" t="s">
        <v>39</v>
      </c>
      <c r="R952" t="s">
        <v>39</v>
      </c>
      <c r="T952" t="s">
        <v>40</v>
      </c>
      <c r="U952" s="1">
        <v>45838</v>
      </c>
    </row>
    <row r="953" spans="1:21" x14ac:dyDescent="0.3">
      <c r="A953">
        <v>947</v>
      </c>
      <c r="B953">
        <v>316</v>
      </c>
      <c r="C953">
        <v>2</v>
      </c>
      <c r="D953" t="s">
        <v>19</v>
      </c>
      <c r="E953" t="s">
        <v>22</v>
      </c>
      <c r="F953">
        <v>19</v>
      </c>
      <c r="G953" t="s">
        <v>28</v>
      </c>
      <c r="I953" t="s">
        <v>33</v>
      </c>
      <c r="J953" s="1">
        <v>45775</v>
      </c>
      <c r="K953" t="s">
        <v>34</v>
      </c>
      <c r="L953" t="s">
        <v>36</v>
      </c>
      <c r="M953" t="s">
        <v>38</v>
      </c>
      <c r="N953">
        <v>4</v>
      </c>
      <c r="O953">
        <v>0.79166666666666663</v>
      </c>
      <c r="P953">
        <v>77</v>
      </c>
      <c r="Q953" t="s">
        <v>39</v>
      </c>
      <c r="R953" t="s">
        <v>39</v>
      </c>
      <c r="T953" t="s">
        <v>40</v>
      </c>
      <c r="U953" s="1">
        <v>45838</v>
      </c>
    </row>
    <row r="954" spans="1:21" x14ac:dyDescent="0.3">
      <c r="A954">
        <v>948</v>
      </c>
      <c r="B954">
        <v>316</v>
      </c>
      <c r="C954">
        <v>3</v>
      </c>
      <c r="D954" t="s">
        <v>21</v>
      </c>
      <c r="E954" t="s">
        <v>22</v>
      </c>
      <c r="F954">
        <v>19</v>
      </c>
      <c r="G954" t="s">
        <v>28</v>
      </c>
      <c r="I954" t="s">
        <v>33</v>
      </c>
      <c r="J954" s="1">
        <v>45775</v>
      </c>
      <c r="K954" t="s">
        <v>34</v>
      </c>
      <c r="L954" t="s">
        <v>37</v>
      </c>
      <c r="M954" t="s">
        <v>38</v>
      </c>
      <c r="N954">
        <v>4</v>
      </c>
      <c r="O954">
        <v>0.89583333333333337</v>
      </c>
      <c r="P954">
        <v>61</v>
      </c>
      <c r="Q954" t="s">
        <v>39</v>
      </c>
      <c r="R954" t="s">
        <v>39</v>
      </c>
      <c r="T954" t="s">
        <v>40</v>
      </c>
      <c r="U954" s="1">
        <v>45838</v>
      </c>
    </row>
    <row r="955" spans="1:21" x14ac:dyDescent="0.3">
      <c r="A955">
        <v>949</v>
      </c>
      <c r="B955">
        <v>317</v>
      </c>
      <c r="C955">
        <v>1</v>
      </c>
      <c r="D955" t="s">
        <v>19</v>
      </c>
      <c r="E955" t="s">
        <v>22</v>
      </c>
      <c r="F955">
        <v>21</v>
      </c>
      <c r="G955" t="s">
        <v>27</v>
      </c>
      <c r="I955" t="s">
        <v>31</v>
      </c>
      <c r="J955" s="1">
        <v>45789</v>
      </c>
      <c r="K955" t="s">
        <v>34</v>
      </c>
      <c r="L955" t="s">
        <v>35</v>
      </c>
      <c r="M955" t="s">
        <v>38</v>
      </c>
      <c r="N955">
        <v>4</v>
      </c>
      <c r="O955">
        <v>0.83333333333333337</v>
      </c>
      <c r="P955">
        <v>58</v>
      </c>
      <c r="Q955" t="s">
        <v>40</v>
      </c>
      <c r="R955" t="s">
        <v>40</v>
      </c>
      <c r="T955" t="s">
        <v>40</v>
      </c>
      <c r="U955" s="1">
        <v>45838</v>
      </c>
    </row>
    <row r="956" spans="1:21" x14ac:dyDescent="0.3">
      <c r="A956">
        <v>950</v>
      </c>
      <c r="B956">
        <v>317</v>
      </c>
      <c r="C956">
        <v>2</v>
      </c>
      <c r="D956" t="s">
        <v>19</v>
      </c>
      <c r="E956" t="s">
        <v>22</v>
      </c>
      <c r="F956">
        <v>21</v>
      </c>
      <c r="G956" t="s">
        <v>27</v>
      </c>
      <c r="I956" t="s">
        <v>31</v>
      </c>
      <c r="J956" s="1">
        <v>45789</v>
      </c>
      <c r="K956" t="s">
        <v>34</v>
      </c>
      <c r="L956" t="s">
        <v>36</v>
      </c>
      <c r="M956" t="s">
        <v>38</v>
      </c>
      <c r="N956">
        <v>4</v>
      </c>
      <c r="O956">
        <v>0.89583333333333337</v>
      </c>
      <c r="P956">
        <v>67.5</v>
      </c>
      <c r="Q956" t="s">
        <v>40</v>
      </c>
      <c r="R956" t="s">
        <v>40</v>
      </c>
      <c r="T956" t="s">
        <v>40</v>
      </c>
      <c r="U956" s="1">
        <v>45838</v>
      </c>
    </row>
    <row r="957" spans="1:21" x14ac:dyDescent="0.3">
      <c r="A957">
        <v>951</v>
      </c>
      <c r="B957">
        <v>317</v>
      </c>
      <c r="C957">
        <v>3</v>
      </c>
      <c r="D957" t="s">
        <v>19</v>
      </c>
      <c r="E957" t="s">
        <v>22</v>
      </c>
      <c r="F957">
        <v>21</v>
      </c>
      <c r="G957" t="s">
        <v>27</v>
      </c>
      <c r="I957" t="s">
        <v>31</v>
      </c>
      <c r="J957" s="1">
        <v>45789</v>
      </c>
      <c r="K957" t="s">
        <v>34</v>
      </c>
      <c r="L957" t="s">
        <v>37</v>
      </c>
      <c r="M957" t="s">
        <v>38</v>
      </c>
      <c r="N957">
        <v>4</v>
      </c>
      <c r="O957">
        <v>0.79166666666666663</v>
      </c>
      <c r="P957">
        <v>68.5</v>
      </c>
      <c r="Q957" t="s">
        <v>40</v>
      </c>
      <c r="R957" t="s">
        <v>40</v>
      </c>
      <c r="T957" t="s">
        <v>40</v>
      </c>
      <c r="U957" s="1">
        <v>45838</v>
      </c>
    </row>
    <row r="958" spans="1:21" x14ac:dyDescent="0.3">
      <c r="A958">
        <v>952</v>
      </c>
      <c r="B958">
        <v>318</v>
      </c>
      <c r="C958">
        <v>1</v>
      </c>
      <c r="D958" t="s">
        <v>19</v>
      </c>
      <c r="E958" t="s">
        <v>22</v>
      </c>
      <c r="F958">
        <v>22</v>
      </c>
      <c r="G958" t="s">
        <v>29</v>
      </c>
      <c r="I958" t="s">
        <v>33</v>
      </c>
      <c r="J958" s="1">
        <v>45658</v>
      </c>
      <c r="K958" t="s">
        <v>34</v>
      </c>
      <c r="L958" t="s">
        <v>35</v>
      </c>
      <c r="M958" t="s">
        <v>38</v>
      </c>
      <c r="N958">
        <v>4</v>
      </c>
      <c r="O958">
        <v>0.83333333333333337</v>
      </c>
      <c r="P958">
        <v>86</v>
      </c>
      <c r="Q958" t="s">
        <v>39</v>
      </c>
      <c r="R958" t="s">
        <v>39</v>
      </c>
      <c r="T958" t="s">
        <v>40</v>
      </c>
      <c r="U958" s="1">
        <v>45838</v>
      </c>
    </row>
    <row r="959" spans="1:21" x14ac:dyDescent="0.3">
      <c r="A959">
        <v>953</v>
      </c>
      <c r="B959">
        <v>318</v>
      </c>
      <c r="C959">
        <v>2</v>
      </c>
      <c r="D959" t="s">
        <v>20</v>
      </c>
      <c r="E959" t="s">
        <v>22</v>
      </c>
      <c r="F959">
        <v>22</v>
      </c>
      <c r="G959" t="s">
        <v>29</v>
      </c>
      <c r="I959" t="s">
        <v>33</v>
      </c>
      <c r="J959" s="1">
        <v>45658</v>
      </c>
      <c r="K959" t="s">
        <v>34</v>
      </c>
      <c r="L959" t="s">
        <v>36</v>
      </c>
      <c r="M959" t="s">
        <v>38</v>
      </c>
      <c r="N959">
        <v>4</v>
      </c>
      <c r="O959">
        <v>0.83333333333333337</v>
      </c>
      <c r="P959">
        <v>74</v>
      </c>
      <c r="Q959" t="s">
        <v>39</v>
      </c>
      <c r="R959" t="s">
        <v>39</v>
      </c>
      <c r="T959" t="s">
        <v>40</v>
      </c>
      <c r="U959" s="1">
        <v>45838</v>
      </c>
    </row>
    <row r="960" spans="1:21" x14ac:dyDescent="0.3">
      <c r="A960">
        <v>954</v>
      </c>
      <c r="B960">
        <v>318</v>
      </c>
      <c r="C960">
        <v>3</v>
      </c>
      <c r="D960" t="s">
        <v>19</v>
      </c>
      <c r="E960" t="s">
        <v>22</v>
      </c>
      <c r="F960">
        <v>22</v>
      </c>
      <c r="G960" t="s">
        <v>29</v>
      </c>
      <c r="I960" t="s">
        <v>33</v>
      </c>
      <c r="J960" s="1">
        <v>45658</v>
      </c>
      <c r="K960" t="s">
        <v>34</v>
      </c>
      <c r="L960" t="s">
        <v>37</v>
      </c>
      <c r="M960" t="s">
        <v>38</v>
      </c>
      <c r="N960">
        <v>4</v>
      </c>
      <c r="O960">
        <v>0.875</v>
      </c>
      <c r="P960">
        <v>87</v>
      </c>
      <c r="Q960" t="s">
        <v>39</v>
      </c>
      <c r="R960" t="s">
        <v>39</v>
      </c>
      <c r="T960" t="s">
        <v>40</v>
      </c>
      <c r="U960" s="1">
        <v>45838</v>
      </c>
    </row>
    <row r="961" spans="1:21" x14ac:dyDescent="0.3">
      <c r="A961">
        <v>955</v>
      </c>
      <c r="B961">
        <v>319</v>
      </c>
      <c r="C961">
        <v>1</v>
      </c>
      <c r="D961" t="s">
        <v>21</v>
      </c>
      <c r="E961" t="s">
        <v>23</v>
      </c>
      <c r="F961">
        <v>25</v>
      </c>
      <c r="G961" t="s">
        <v>26</v>
      </c>
      <c r="I961" t="s">
        <v>33</v>
      </c>
      <c r="J961" s="1">
        <v>45705</v>
      </c>
      <c r="K961" t="s">
        <v>34</v>
      </c>
      <c r="L961" t="s">
        <v>35</v>
      </c>
      <c r="M961" t="s">
        <v>38</v>
      </c>
      <c r="N961">
        <v>4</v>
      </c>
      <c r="O961">
        <v>0.95833333333333337</v>
      </c>
      <c r="P961">
        <v>55.5</v>
      </c>
      <c r="Q961" t="s">
        <v>40</v>
      </c>
      <c r="R961" t="s">
        <v>40</v>
      </c>
      <c r="T961" t="s">
        <v>40</v>
      </c>
      <c r="U961" s="1">
        <v>45838</v>
      </c>
    </row>
    <row r="962" spans="1:21" x14ac:dyDescent="0.3">
      <c r="A962">
        <v>956</v>
      </c>
      <c r="B962">
        <v>319</v>
      </c>
      <c r="C962">
        <v>2</v>
      </c>
      <c r="D962" t="s">
        <v>20</v>
      </c>
      <c r="E962" t="s">
        <v>23</v>
      </c>
      <c r="F962">
        <v>25</v>
      </c>
      <c r="G962" t="s">
        <v>26</v>
      </c>
      <c r="I962" t="s">
        <v>33</v>
      </c>
      <c r="J962" s="1">
        <v>45705</v>
      </c>
      <c r="K962" t="s">
        <v>34</v>
      </c>
      <c r="L962" t="s">
        <v>36</v>
      </c>
      <c r="M962" t="s">
        <v>38</v>
      </c>
      <c r="N962">
        <v>4</v>
      </c>
      <c r="O962">
        <v>0.79166666666666663</v>
      </c>
      <c r="P962">
        <v>68.5</v>
      </c>
      <c r="Q962" t="s">
        <v>40</v>
      </c>
      <c r="R962" t="s">
        <v>40</v>
      </c>
      <c r="T962" t="s">
        <v>40</v>
      </c>
      <c r="U962" s="1">
        <v>45838</v>
      </c>
    </row>
    <row r="963" spans="1:21" x14ac:dyDescent="0.3">
      <c r="A963">
        <v>957</v>
      </c>
      <c r="B963">
        <v>319</v>
      </c>
      <c r="C963">
        <v>3</v>
      </c>
      <c r="D963" t="s">
        <v>20</v>
      </c>
      <c r="E963" t="s">
        <v>23</v>
      </c>
      <c r="F963">
        <v>25</v>
      </c>
      <c r="G963" t="s">
        <v>26</v>
      </c>
      <c r="I963" t="s">
        <v>33</v>
      </c>
      <c r="J963" s="1">
        <v>45705</v>
      </c>
      <c r="K963" t="s">
        <v>34</v>
      </c>
      <c r="L963" t="s">
        <v>37</v>
      </c>
      <c r="M963" t="s">
        <v>38</v>
      </c>
      <c r="N963">
        <v>4</v>
      </c>
      <c r="O963">
        <v>0.85416666666666663</v>
      </c>
      <c r="P963">
        <v>74.5</v>
      </c>
      <c r="Q963" t="s">
        <v>40</v>
      </c>
      <c r="R963" t="s">
        <v>40</v>
      </c>
      <c r="T963" t="s">
        <v>40</v>
      </c>
      <c r="U963" s="1">
        <v>45838</v>
      </c>
    </row>
    <row r="964" spans="1:21" x14ac:dyDescent="0.3">
      <c r="A964">
        <v>958</v>
      </c>
      <c r="B964">
        <v>320</v>
      </c>
      <c r="C964">
        <v>1</v>
      </c>
      <c r="D964" t="s">
        <v>19</v>
      </c>
      <c r="E964" t="s">
        <v>22</v>
      </c>
      <c r="F964">
        <v>34</v>
      </c>
      <c r="G964" t="s">
        <v>29</v>
      </c>
      <c r="I964" t="s">
        <v>31</v>
      </c>
      <c r="J964" s="1">
        <v>45792</v>
      </c>
      <c r="K964" t="s">
        <v>34</v>
      </c>
      <c r="L964" t="s">
        <v>35</v>
      </c>
      <c r="M964" t="s">
        <v>38</v>
      </c>
      <c r="N964">
        <v>4</v>
      </c>
      <c r="O964">
        <v>0.79166666666666663</v>
      </c>
      <c r="P964">
        <v>75.5</v>
      </c>
      <c r="Q964" t="s">
        <v>39</v>
      </c>
      <c r="R964" t="s">
        <v>40</v>
      </c>
      <c r="T964" t="s">
        <v>40</v>
      </c>
      <c r="U964" s="1">
        <v>45838</v>
      </c>
    </row>
    <row r="965" spans="1:21" x14ac:dyDescent="0.3">
      <c r="A965">
        <v>959</v>
      </c>
      <c r="B965">
        <v>320</v>
      </c>
      <c r="C965">
        <v>2</v>
      </c>
      <c r="D965" t="s">
        <v>19</v>
      </c>
      <c r="E965" t="s">
        <v>22</v>
      </c>
      <c r="F965">
        <v>34</v>
      </c>
      <c r="G965" t="s">
        <v>29</v>
      </c>
      <c r="I965" t="s">
        <v>31</v>
      </c>
      <c r="J965" s="1">
        <v>45792</v>
      </c>
      <c r="K965" t="s">
        <v>34</v>
      </c>
      <c r="L965" t="s">
        <v>36</v>
      </c>
      <c r="M965" t="s">
        <v>38</v>
      </c>
      <c r="N965">
        <v>4</v>
      </c>
      <c r="O965">
        <v>0.83333333333333337</v>
      </c>
      <c r="P965">
        <v>80.5</v>
      </c>
      <c r="Q965" t="s">
        <v>39</v>
      </c>
      <c r="R965" t="s">
        <v>40</v>
      </c>
      <c r="T965" t="s">
        <v>40</v>
      </c>
      <c r="U965" s="1">
        <v>45838</v>
      </c>
    </row>
    <row r="966" spans="1:21" x14ac:dyDescent="0.3">
      <c r="A966">
        <v>960</v>
      </c>
      <c r="B966">
        <v>320</v>
      </c>
      <c r="C966">
        <v>3</v>
      </c>
      <c r="D966" t="s">
        <v>19</v>
      </c>
      <c r="E966" t="s">
        <v>22</v>
      </c>
      <c r="F966">
        <v>34</v>
      </c>
      <c r="G966" t="s">
        <v>29</v>
      </c>
      <c r="I966" t="s">
        <v>31</v>
      </c>
      <c r="J966" s="1">
        <v>45792</v>
      </c>
      <c r="K966" t="s">
        <v>34</v>
      </c>
      <c r="L966" t="s">
        <v>37</v>
      </c>
      <c r="M966" t="s">
        <v>38</v>
      </c>
      <c r="N966">
        <v>4</v>
      </c>
      <c r="O966">
        <v>0.83333333333333337</v>
      </c>
      <c r="P966">
        <v>81.5</v>
      </c>
      <c r="Q966" t="s">
        <v>39</v>
      </c>
      <c r="R966" t="s">
        <v>40</v>
      </c>
      <c r="T966" t="s">
        <v>40</v>
      </c>
      <c r="U966" s="1">
        <v>45838</v>
      </c>
    </row>
    <row r="967" spans="1:21" x14ac:dyDescent="0.3">
      <c r="A967">
        <v>961</v>
      </c>
      <c r="B967">
        <v>321</v>
      </c>
      <c r="C967">
        <v>1</v>
      </c>
      <c r="D967" t="s">
        <v>21</v>
      </c>
      <c r="E967" t="s">
        <v>22</v>
      </c>
      <c r="F967">
        <v>30</v>
      </c>
      <c r="G967" t="s">
        <v>27</v>
      </c>
      <c r="I967" t="s">
        <v>31</v>
      </c>
      <c r="J967" s="1">
        <v>45757</v>
      </c>
      <c r="K967" t="s">
        <v>34</v>
      </c>
      <c r="L967" t="s">
        <v>35</v>
      </c>
      <c r="M967" t="s">
        <v>38</v>
      </c>
      <c r="N967">
        <v>4</v>
      </c>
      <c r="O967">
        <v>0.9375</v>
      </c>
      <c r="P967">
        <v>94.5</v>
      </c>
      <c r="Q967" t="s">
        <v>39</v>
      </c>
      <c r="R967" t="s">
        <v>39</v>
      </c>
      <c r="T967" t="s">
        <v>39</v>
      </c>
      <c r="U967" s="1">
        <v>45838</v>
      </c>
    </row>
    <row r="968" spans="1:21" x14ac:dyDescent="0.3">
      <c r="A968">
        <v>962</v>
      </c>
      <c r="B968">
        <v>321</v>
      </c>
      <c r="C968">
        <v>2</v>
      </c>
      <c r="D968" t="s">
        <v>19</v>
      </c>
      <c r="E968" t="s">
        <v>22</v>
      </c>
      <c r="F968">
        <v>30</v>
      </c>
      <c r="G968" t="s">
        <v>27</v>
      </c>
      <c r="I968" t="s">
        <v>31</v>
      </c>
      <c r="J968" s="1">
        <v>45757</v>
      </c>
      <c r="K968" t="s">
        <v>34</v>
      </c>
      <c r="L968" t="s">
        <v>36</v>
      </c>
      <c r="M968" t="s">
        <v>38</v>
      </c>
      <c r="N968">
        <v>4</v>
      </c>
      <c r="O968">
        <v>0.85416666666666663</v>
      </c>
      <c r="P968">
        <v>82</v>
      </c>
      <c r="Q968" t="s">
        <v>39</v>
      </c>
      <c r="R968" t="s">
        <v>39</v>
      </c>
      <c r="T968" t="s">
        <v>39</v>
      </c>
      <c r="U968" s="1">
        <v>45838</v>
      </c>
    </row>
    <row r="969" spans="1:21" x14ac:dyDescent="0.3">
      <c r="A969">
        <v>963</v>
      </c>
      <c r="B969">
        <v>321</v>
      </c>
      <c r="C969">
        <v>3</v>
      </c>
      <c r="D969" t="s">
        <v>19</v>
      </c>
      <c r="E969" t="s">
        <v>22</v>
      </c>
      <c r="F969">
        <v>30</v>
      </c>
      <c r="G969" t="s">
        <v>27</v>
      </c>
      <c r="I969" t="s">
        <v>31</v>
      </c>
      <c r="J969" s="1">
        <v>45757</v>
      </c>
      <c r="K969" t="s">
        <v>34</v>
      </c>
      <c r="L969" t="s">
        <v>37</v>
      </c>
      <c r="M969" t="s">
        <v>38</v>
      </c>
      <c r="N969">
        <v>4</v>
      </c>
      <c r="O969">
        <v>0.79166666666666663</v>
      </c>
      <c r="P969">
        <v>56.5</v>
      </c>
      <c r="Q969" t="s">
        <v>39</v>
      </c>
      <c r="R969" t="s">
        <v>39</v>
      </c>
      <c r="T969" t="s">
        <v>39</v>
      </c>
      <c r="U969" s="1">
        <v>45838</v>
      </c>
    </row>
    <row r="970" spans="1:21" x14ac:dyDescent="0.3">
      <c r="A970">
        <v>964</v>
      </c>
      <c r="B970">
        <v>322</v>
      </c>
      <c r="C970">
        <v>1</v>
      </c>
      <c r="D970" t="s">
        <v>19</v>
      </c>
      <c r="E970" t="s">
        <v>23</v>
      </c>
      <c r="F970">
        <v>26</v>
      </c>
      <c r="G970" t="s">
        <v>24</v>
      </c>
      <c r="I970" t="s">
        <v>31</v>
      </c>
      <c r="J970" s="1">
        <v>45749</v>
      </c>
      <c r="K970" t="s">
        <v>34</v>
      </c>
      <c r="L970" t="s">
        <v>35</v>
      </c>
      <c r="M970" t="s">
        <v>38</v>
      </c>
      <c r="N970">
        <v>4</v>
      </c>
      <c r="O970">
        <v>0.85416666666666663</v>
      </c>
      <c r="P970">
        <v>69</v>
      </c>
      <c r="Q970" t="s">
        <v>40</v>
      </c>
      <c r="R970" t="s">
        <v>40</v>
      </c>
      <c r="T970" t="s">
        <v>40</v>
      </c>
      <c r="U970" s="1">
        <v>45838</v>
      </c>
    </row>
    <row r="971" spans="1:21" x14ac:dyDescent="0.3">
      <c r="A971">
        <v>965</v>
      </c>
      <c r="B971">
        <v>322</v>
      </c>
      <c r="C971">
        <v>2</v>
      </c>
      <c r="D971" t="s">
        <v>19</v>
      </c>
      <c r="E971" t="s">
        <v>23</v>
      </c>
      <c r="F971">
        <v>26</v>
      </c>
      <c r="G971" t="s">
        <v>24</v>
      </c>
      <c r="I971" t="s">
        <v>31</v>
      </c>
      <c r="J971" s="1">
        <v>45749</v>
      </c>
      <c r="K971" t="s">
        <v>34</v>
      </c>
      <c r="L971" t="s">
        <v>36</v>
      </c>
      <c r="M971" t="s">
        <v>38</v>
      </c>
      <c r="N971">
        <v>4</v>
      </c>
      <c r="O971">
        <v>0.79166666666666663</v>
      </c>
      <c r="P971">
        <v>87.5</v>
      </c>
      <c r="Q971" t="s">
        <v>40</v>
      </c>
      <c r="R971" t="s">
        <v>40</v>
      </c>
      <c r="T971" t="s">
        <v>40</v>
      </c>
      <c r="U971" s="1">
        <v>45838</v>
      </c>
    </row>
    <row r="972" spans="1:21" x14ac:dyDescent="0.3">
      <c r="A972">
        <v>966</v>
      </c>
      <c r="B972">
        <v>322</v>
      </c>
      <c r="C972">
        <v>3</v>
      </c>
      <c r="D972" t="s">
        <v>19</v>
      </c>
      <c r="E972" t="s">
        <v>23</v>
      </c>
      <c r="F972">
        <v>26</v>
      </c>
      <c r="G972" t="s">
        <v>24</v>
      </c>
      <c r="I972" t="s">
        <v>31</v>
      </c>
      <c r="J972" s="1">
        <v>45749</v>
      </c>
      <c r="K972" t="s">
        <v>34</v>
      </c>
      <c r="L972" t="s">
        <v>37</v>
      </c>
      <c r="M972" t="s">
        <v>38</v>
      </c>
      <c r="N972">
        <v>4</v>
      </c>
      <c r="O972">
        <v>0.85416666666666663</v>
      </c>
      <c r="P972">
        <v>71</v>
      </c>
      <c r="Q972" t="s">
        <v>40</v>
      </c>
      <c r="R972" t="s">
        <v>40</v>
      </c>
      <c r="T972" t="s">
        <v>40</v>
      </c>
      <c r="U972" s="1">
        <v>45838</v>
      </c>
    </row>
    <row r="973" spans="1:21" x14ac:dyDescent="0.3">
      <c r="A973">
        <v>967</v>
      </c>
      <c r="B973">
        <v>323</v>
      </c>
      <c r="C973">
        <v>1</v>
      </c>
      <c r="D973" t="s">
        <v>19</v>
      </c>
      <c r="E973" t="s">
        <v>22</v>
      </c>
      <c r="F973">
        <v>29</v>
      </c>
      <c r="G973" t="s">
        <v>28</v>
      </c>
      <c r="I973" t="s">
        <v>31</v>
      </c>
      <c r="J973" s="1">
        <v>45806</v>
      </c>
      <c r="K973" t="s">
        <v>34</v>
      </c>
      <c r="L973" t="s">
        <v>35</v>
      </c>
      <c r="M973" t="s">
        <v>38</v>
      </c>
      <c r="N973">
        <v>4</v>
      </c>
      <c r="O973">
        <v>0.875</v>
      </c>
      <c r="P973">
        <v>83</v>
      </c>
      <c r="Q973" t="s">
        <v>40</v>
      </c>
      <c r="R973" t="s">
        <v>40</v>
      </c>
      <c r="T973" t="s">
        <v>40</v>
      </c>
      <c r="U973" s="1">
        <v>45838</v>
      </c>
    </row>
    <row r="974" spans="1:21" x14ac:dyDescent="0.3">
      <c r="A974">
        <v>968</v>
      </c>
      <c r="B974">
        <v>323</v>
      </c>
      <c r="C974">
        <v>2</v>
      </c>
      <c r="D974" t="s">
        <v>19</v>
      </c>
      <c r="E974" t="s">
        <v>22</v>
      </c>
      <c r="F974">
        <v>29</v>
      </c>
      <c r="G974" t="s">
        <v>28</v>
      </c>
      <c r="I974" t="s">
        <v>31</v>
      </c>
      <c r="J974" s="1">
        <v>45806</v>
      </c>
      <c r="K974" t="s">
        <v>34</v>
      </c>
      <c r="L974" t="s">
        <v>36</v>
      </c>
      <c r="M974" t="s">
        <v>38</v>
      </c>
      <c r="N974">
        <v>4</v>
      </c>
      <c r="O974">
        <v>0.83333333333333337</v>
      </c>
      <c r="P974">
        <v>62</v>
      </c>
      <c r="Q974" t="s">
        <v>40</v>
      </c>
      <c r="R974" t="s">
        <v>40</v>
      </c>
      <c r="T974" t="s">
        <v>40</v>
      </c>
      <c r="U974" s="1">
        <v>45838</v>
      </c>
    </row>
    <row r="975" spans="1:21" x14ac:dyDescent="0.3">
      <c r="A975">
        <v>969</v>
      </c>
      <c r="B975">
        <v>323</v>
      </c>
      <c r="C975">
        <v>3</v>
      </c>
      <c r="D975" t="s">
        <v>19</v>
      </c>
      <c r="E975" t="s">
        <v>22</v>
      </c>
      <c r="F975">
        <v>29</v>
      </c>
      <c r="G975" t="s">
        <v>28</v>
      </c>
      <c r="I975" t="s">
        <v>31</v>
      </c>
      <c r="J975" s="1">
        <v>45806</v>
      </c>
      <c r="K975" t="s">
        <v>34</v>
      </c>
      <c r="L975" t="s">
        <v>37</v>
      </c>
      <c r="M975" t="s">
        <v>38</v>
      </c>
      <c r="N975">
        <v>4</v>
      </c>
      <c r="O975">
        <v>0.77083333333333337</v>
      </c>
      <c r="P975">
        <v>74.5</v>
      </c>
      <c r="Q975" t="s">
        <v>40</v>
      </c>
      <c r="R975" t="s">
        <v>40</v>
      </c>
      <c r="T975" t="s">
        <v>40</v>
      </c>
      <c r="U975" s="1">
        <v>45838</v>
      </c>
    </row>
    <row r="976" spans="1:21" x14ac:dyDescent="0.3">
      <c r="A976">
        <v>970</v>
      </c>
      <c r="B976">
        <v>324</v>
      </c>
      <c r="C976">
        <v>1</v>
      </c>
      <c r="D976" t="s">
        <v>19</v>
      </c>
      <c r="E976" t="s">
        <v>23</v>
      </c>
      <c r="F976">
        <v>22</v>
      </c>
      <c r="G976" t="s">
        <v>25</v>
      </c>
      <c r="I976" t="s">
        <v>30</v>
      </c>
      <c r="J976" s="1">
        <v>45797</v>
      </c>
      <c r="K976" t="s">
        <v>34</v>
      </c>
      <c r="L976" t="s">
        <v>35</v>
      </c>
      <c r="M976" t="s">
        <v>38</v>
      </c>
      <c r="N976">
        <v>4</v>
      </c>
      <c r="O976">
        <v>0.72916666666666663</v>
      </c>
      <c r="P976">
        <v>80.5</v>
      </c>
      <c r="Q976" t="s">
        <v>40</v>
      </c>
      <c r="R976" t="s">
        <v>40</v>
      </c>
      <c r="T976" t="s">
        <v>40</v>
      </c>
      <c r="U976" s="1">
        <v>45838</v>
      </c>
    </row>
    <row r="977" spans="1:21" x14ac:dyDescent="0.3">
      <c r="A977">
        <v>971</v>
      </c>
      <c r="B977">
        <v>324</v>
      </c>
      <c r="C977">
        <v>2</v>
      </c>
      <c r="D977" t="s">
        <v>19</v>
      </c>
      <c r="E977" t="s">
        <v>23</v>
      </c>
      <c r="F977">
        <v>22</v>
      </c>
      <c r="G977" t="s">
        <v>25</v>
      </c>
      <c r="I977" t="s">
        <v>30</v>
      </c>
      <c r="J977" s="1">
        <v>45797</v>
      </c>
      <c r="K977" t="s">
        <v>34</v>
      </c>
      <c r="L977" t="s">
        <v>36</v>
      </c>
      <c r="M977" t="s">
        <v>38</v>
      </c>
      <c r="N977">
        <v>4</v>
      </c>
      <c r="O977">
        <v>0.8125</v>
      </c>
      <c r="P977">
        <v>88.5</v>
      </c>
      <c r="Q977" t="s">
        <v>40</v>
      </c>
      <c r="R977" t="s">
        <v>40</v>
      </c>
      <c r="T977" t="s">
        <v>40</v>
      </c>
      <c r="U977" s="1">
        <v>45838</v>
      </c>
    </row>
    <row r="978" spans="1:21" x14ac:dyDescent="0.3">
      <c r="A978">
        <v>972</v>
      </c>
      <c r="B978">
        <v>324</v>
      </c>
      <c r="C978">
        <v>3</v>
      </c>
      <c r="D978" t="s">
        <v>21</v>
      </c>
      <c r="E978" t="s">
        <v>23</v>
      </c>
      <c r="F978">
        <v>22</v>
      </c>
      <c r="G978" t="s">
        <v>25</v>
      </c>
      <c r="I978" t="s">
        <v>30</v>
      </c>
      <c r="J978" s="1">
        <v>45797</v>
      </c>
      <c r="K978" t="s">
        <v>34</v>
      </c>
      <c r="L978" t="s">
        <v>37</v>
      </c>
      <c r="M978" t="s">
        <v>38</v>
      </c>
      <c r="N978">
        <v>4</v>
      </c>
      <c r="O978">
        <v>0.85416666666666663</v>
      </c>
      <c r="P978">
        <v>73.5</v>
      </c>
      <c r="Q978" t="s">
        <v>40</v>
      </c>
      <c r="R978" t="s">
        <v>40</v>
      </c>
      <c r="T978" t="s">
        <v>40</v>
      </c>
      <c r="U978" s="1">
        <v>45838</v>
      </c>
    </row>
    <row r="979" spans="1:21" x14ac:dyDescent="0.3">
      <c r="A979">
        <v>973</v>
      </c>
      <c r="B979">
        <v>325</v>
      </c>
      <c r="C979">
        <v>1</v>
      </c>
      <c r="D979" t="s">
        <v>19</v>
      </c>
      <c r="E979" t="s">
        <v>23</v>
      </c>
      <c r="F979">
        <v>23</v>
      </c>
      <c r="G979" t="s">
        <v>24</v>
      </c>
      <c r="I979" t="s">
        <v>33</v>
      </c>
      <c r="J979" s="1">
        <v>45780</v>
      </c>
      <c r="K979" t="s">
        <v>34</v>
      </c>
      <c r="L979" t="s">
        <v>35</v>
      </c>
      <c r="M979" t="s">
        <v>38</v>
      </c>
      <c r="N979">
        <v>4</v>
      </c>
      <c r="O979">
        <v>0.77083333333333337</v>
      </c>
      <c r="P979">
        <v>61</v>
      </c>
      <c r="Q979" t="s">
        <v>40</v>
      </c>
      <c r="R979" t="s">
        <v>40</v>
      </c>
      <c r="T979" t="s">
        <v>40</v>
      </c>
      <c r="U979" s="1">
        <v>45838</v>
      </c>
    </row>
    <row r="980" spans="1:21" x14ac:dyDescent="0.3">
      <c r="A980">
        <v>974</v>
      </c>
      <c r="B980">
        <v>325</v>
      </c>
      <c r="C980">
        <v>2</v>
      </c>
      <c r="D980" t="s">
        <v>20</v>
      </c>
      <c r="E980" t="s">
        <v>23</v>
      </c>
      <c r="F980">
        <v>23</v>
      </c>
      <c r="G980" t="s">
        <v>24</v>
      </c>
      <c r="I980" t="s">
        <v>33</v>
      </c>
      <c r="J980" s="1">
        <v>45780</v>
      </c>
      <c r="K980" t="s">
        <v>34</v>
      </c>
      <c r="L980" t="s">
        <v>36</v>
      </c>
      <c r="M980" t="s">
        <v>38</v>
      </c>
      <c r="N980">
        <v>4</v>
      </c>
      <c r="O980">
        <v>0.79166666666666663</v>
      </c>
      <c r="P980">
        <v>88</v>
      </c>
      <c r="Q980" t="s">
        <v>40</v>
      </c>
      <c r="R980" t="s">
        <v>40</v>
      </c>
      <c r="T980" t="s">
        <v>40</v>
      </c>
      <c r="U980" s="1">
        <v>45838</v>
      </c>
    </row>
    <row r="981" spans="1:21" x14ac:dyDescent="0.3">
      <c r="A981">
        <v>975</v>
      </c>
      <c r="B981">
        <v>325</v>
      </c>
      <c r="C981">
        <v>3</v>
      </c>
      <c r="D981" t="s">
        <v>21</v>
      </c>
      <c r="E981" t="s">
        <v>23</v>
      </c>
      <c r="F981">
        <v>23</v>
      </c>
      <c r="G981" t="s">
        <v>24</v>
      </c>
      <c r="I981" t="s">
        <v>33</v>
      </c>
      <c r="J981" s="1">
        <v>45780</v>
      </c>
      <c r="K981" t="s">
        <v>34</v>
      </c>
      <c r="L981" t="s">
        <v>37</v>
      </c>
      <c r="M981" t="s">
        <v>38</v>
      </c>
      <c r="N981">
        <v>4</v>
      </c>
      <c r="O981">
        <v>0.875</v>
      </c>
      <c r="P981">
        <v>98</v>
      </c>
      <c r="Q981" t="s">
        <v>40</v>
      </c>
      <c r="R981" t="s">
        <v>40</v>
      </c>
      <c r="T981" t="s">
        <v>40</v>
      </c>
      <c r="U981" s="1">
        <v>45838</v>
      </c>
    </row>
    <row r="982" spans="1:21" x14ac:dyDescent="0.3">
      <c r="A982">
        <v>976</v>
      </c>
      <c r="B982">
        <v>326</v>
      </c>
      <c r="C982">
        <v>1</v>
      </c>
      <c r="D982" t="s">
        <v>19</v>
      </c>
      <c r="E982" t="s">
        <v>22</v>
      </c>
      <c r="F982">
        <v>22</v>
      </c>
      <c r="G982" t="s">
        <v>25</v>
      </c>
      <c r="I982" t="s">
        <v>33</v>
      </c>
      <c r="J982" s="1">
        <v>45667</v>
      </c>
      <c r="K982" t="s">
        <v>34</v>
      </c>
      <c r="L982" t="s">
        <v>35</v>
      </c>
      <c r="M982" t="s">
        <v>38</v>
      </c>
      <c r="N982">
        <v>4</v>
      </c>
      <c r="O982">
        <v>0.875</v>
      </c>
      <c r="P982">
        <v>86</v>
      </c>
      <c r="Q982" t="s">
        <v>39</v>
      </c>
      <c r="R982" t="s">
        <v>40</v>
      </c>
      <c r="T982" t="s">
        <v>39</v>
      </c>
      <c r="U982" s="1">
        <v>45838</v>
      </c>
    </row>
    <row r="983" spans="1:21" x14ac:dyDescent="0.3">
      <c r="A983">
        <v>977</v>
      </c>
      <c r="B983">
        <v>326</v>
      </c>
      <c r="C983">
        <v>2</v>
      </c>
      <c r="D983" t="s">
        <v>19</v>
      </c>
      <c r="E983" t="s">
        <v>22</v>
      </c>
      <c r="F983">
        <v>22</v>
      </c>
      <c r="G983" t="s">
        <v>25</v>
      </c>
      <c r="I983" t="s">
        <v>33</v>
      </c>
      <c r="J983" s="1">
        <v>45667</v>
      </c>
      <c r="K983" t="s">
        <v>34</v>
      </c>
      <c r="L983" t="s">
        <v>36</v>
      </c>
      <c r="M983" t="s">
        <v>38</v>
      </c>
      <c r="N983">
        <v>4</v>
      </c>
      <c r="O983">
        <v>0.875</v>
      </c>
      <c r="P983">
        <v>62.5</v>
      </c>
      <c r="Q983" t="s">
        <v>39</v>
      </c>
      <c r="R983" t="s">
        <v>40</v>
      </c>
      <c r="T983" t="s">
        <v>39</v>
      </c>
      <c r="U983" s="1">
        <v>45838</v>
      </c>
    </row>
    <row r="984" spans="1:21" x14ac:dyDescent="0.3">
      <c r="A984">
        <v>978</v>
      </c>
      <c r="B984">
        <v>326</v>
      </c>
      <c r="C984">
        <v>3</v>
      </c>
      <c r="D984" t="s">
        <v>19</v>
      </c>
      <c r="E984" t="s">
        <v>22</v>
      </c>
      <c r="F984">
        <v>22</v>
      </c>
      <c r="G984" t="s">
        <v>25</v>
      </c>
      <c r="I984" t="s">
        <v>33</v>
      </c>
      <c r="J984" s="1">
        <v>45667</v>
      </c>
      <c r="K984" t="s">
        <v>34</v>
      </c>
      <c r="L984" t="s">
        <v>37</v>
      </c>
      <c r="M984" t="s">
        <v>38</v>
      </c>
      <c r="N984">
        <v>4</v>
      </c>
      <c r="O984">
        <v>0.77083333333333337</v>
      </c>
      <c r="P984">
        <v>65.5</v>
      </c>
      <c r="Q984" t="s">
        <v>39</v>
      </c>
      <c r="R984" t="s">
        <v>40</v>
      </c>
      <c r="T984" t="s">
        <v>39</v>
      </c>
      <c r="U984" s="1">
        <v>45838</v>
      </c>
    </row>
    <row r="985" spans="1:21" x14ac:dyDescent="0.3">
      <c r="A985">
        <v>979</v>
      </c>
      <c r="B985">
        <v>327</v>
      </c>
      <c r="C985">
        <v>1</v>
      </c>
      <c r="D985" t="s">
        <v>19</v>
      </c>
      <c r="E985" t="s">
        <v>23</v>
      </c>
      <c r="F985">
        <v>24</v>
      </c>
      <c r="G985" t="s">
        <v>25</v>
      </c>
      <c r="I985" t="s">
        <v>32</v>
      </c>
      <c r="J985" s="1">
        <v>45668</v>
      </c>
      <c r="K985" t="s">
        <v>34</v>
      </c>
      <c r="L985" t="s">
        <v>35</v>
      </c>
      <c r="M985" t="s">
        <v>38</v>
      </c>
      <c r="N985">
        <v>4</v>
      </c>
      <c r="O985">
        <v>0.77083333333333337</v>
      </c>
      <c r="P985">
        <v>82</v>
      </c>
      <c r="Q985" t="s">
        <v>39</v>
      </c>
      <c r="R985" t="s">
        <v>40</v>
      </c>
      <c r="T985" t="s">
        <v>39</v>
      </c>
      <c r="U985" s="1">
        <v>45838</v>
      </c>
    </row>
    <row r="986" spans="1:21" x14ac:dyDescent="0.3">
      <c r="A986">
        <v>980</v>
      </c>
      <c r="B986">
        <v>327</v>
      </c>
      <c r="C986">
        <v>2</v>
      </c>
      <c r="D986" t="s">
        <v>19</v>
      </c>
      <c r="E986" t="s">
        <v>23</v>
      </c>
      <c r="F986">
        <v>24</v>
      </c>
      <c r="G986" t="s">
        <v>25</v>
      </c>
      <c r="I986" t="s">
        <v>32</v>
      </c>
      <c r="J986" s="1">
        <v>45668</v>
      </c>
      <c r="K986" t="s">
        <v>34</v>
      </c>
      <c r="L986" t="s">
        <v>36</v>
      </c>
      <c r="M986" t="s">
        <v>38</v>
      </c>
      <c r="N986">
        <v>4</v>
      </c>
      <c r="O986">
        <v>0.79166666666666663</v>
      </c>
      <c r="P986">
        <v>68.5</v>
      </c>
      <c r="Q986" t="s">
        <v>39</v>
      </c>
      <c r="R986" t="s">
        <v>40</v>
      </c>
      <c r="T986" t="s">
        <v>39</v>
      </c>
      <c r="U986" s="1">
        <v>45838</v>
      </c>
    </row>
    <row r="987" spans="1:21" x14ac:dyDescent="0.3">
      <c r="A987">
        <v>981</v>
      </c>
      <c r="B987">
        <v>327</v>
      </c>
      <c r="C987">
        <v>3</v>
      </c>
      <c r="D987" t="s">
        <v>21</v>
      </c>
      <c r="E987" t="s">
        <v>23</v>
      </c>
      <c r="F987">
        <v>24</v>
      </c>
      <c r="G987" t="s">
        <v>25</v>
      </c>
      <c r="I987" t="s">
        <v>32</v>
      </c>
      <c r="J987" s="1">
        <v>45668</v>
      </c>
      <c r="K987" t="s">
        <v>34</v>
      </c>
      <c r="L987" t="s">
        <v>37</v>
      </c>
      <c r="M987" t="s">
        <v>38</v>
      </c>
      <c r="N987">
        <v>4</v>
      </c>
      <c r="O987">
        <v>0.83333333333333337</v>
      </c>
      <c r="P987">
        <v>80</v>
      </c>
      <c r="Q987" t="s">
        <v>39</v>
      </c>
      <c r="R987" t="s">
        <v>40</v>
      </c>
      <c r="T987" t="s">
        <v>39</v>
      </c>
      <c r="U987" s="1">
        <v>45838</v>
      </c>
    </row>
    <row r="988" spans="1:21" x14ac:dyDescent="0.3">
      <c r="A988">
        <v>982</v>
      </c>
      <c r="B988">
        <v>328</v>
      </c>
      <c r="C988">
        <v>1</v>
      </c>
      <c r="D988" t="s">
        <v>21</v>
      </c>
      <c r="E988" t="s">
        <v>23</v>
      </c>
      <c r="F988">
        <v>27</v>
      </c>
      <c r="G988" t="s">
        <v>26</v>
      </c>
      <c r="I988" t="s">
        <v>33</v>
      </c>
      <c r="J988" s="1">
        <v>45797</v>
      </c>
      <c r="K988" t="s">
        <v>34</v>
      </c>
      <c r="L988" t="s">
        <v>35</v>
      </c>
      <c r="M988" t="s">
        <v>38</v>
      </c>
      <c r="N988">
        <v>4</v>
      </c>
      <c r="O988">
        <v>0.8125</v>
      </c>
      <c r="P988">
        <v>73</v>
      </c>
      <c r="Q988" t="s">
        <v>40</v>
      </c>
      <c r="R988" t="s">
        <v>40</v>
      </c>
      <c r="T988" t="s">
        <v>40</v>
      </c>
      <c r="U988" s="1">
        <v>45838</v>
      </c>
    </row>
    <row r="989" spans="1:21" x14ac:dyDescent="0.3">
      <c r="A989">
        <v>983</v>
      </c>
      <c r="B989">
        <v>328</v>
      </c>
      <c r="C989">
        <v>2</v>
      </c>
      <c r="D989" t="s">
        <v>20</v>
      </c>
      <c r="E989" t="s">
        <v>23</v>
      </c>
      <c r="F989">
        <v>27</v>
      </c>
      <c r="G989" t="s">
        <v>26</v>
      </c>
      <c r="I989" t="s">
        <v>33</v>
      </c>
      <c r="J989" s="1">
        <v>45797</v>
      </c>
      <c r="K989" t="s">
        <v>34</v>
      </c>
      <c r="L989" t="s">
        <v>36</v>
      </c>
      <c r="M989" t="s">
        <v>38</v>
      </c>
      <c r="N989">
        <v>4</v>
      </c>
      <c r="O989">
        <v>0.875</v>
      </c>
      <c r="P989">
        <v>70</v>
      </c>
      <c r="Q989" t="s">
        <v>40</v>
      </c>
      <c r="R989" t="s">
        <v>40</v>
      </c>
      <c r="T989" t="s">
        <v>40</v>
      </c>
      <c r="U989" s="1">
        <v>45838</v>
      </c>
    </row>
    <row r="990" spans="1:21" x14ac:dyDescent="0.3">
      <c r="A990">
        <v>984</v>
      </c>
      <c r="B990">
        <v>328</v>
      </c>
      <c r="C990">
        <v>3</v>
      </c>
      <c r="D990" t="s">
        <v>19</v>
      </c>
      <c r="E990" t="s">
        <v>23</v>
      </c>
      <c r="F990">
        <v>27</v>
      </c>
      <c r="G990" t="s">
        <v>26</v>
      </c>
      <c r="I990" t="s">
        <v>33</v>
      </c>
      <c r="J990" s="1">
        <v>45797</v>
      </c>
      <c r="K990" t="s">
        <v>34</v>
      </c>
      <c r="L990" t="s">
        <v>37</v>
      </c>
      <c r="M990" t="s">
        <v>38</v>
      </c>
      <c r="N990">
        <v>4</v>
      </c>
      <c r="O990">
        <v>0.85416666666666663</v>
      </c>
      <c r="P990">
        <v>65</v>
      </c>
      <c r="Q990" t="s">
        <v>40</v>
      </c>
      <c r="R990" t="s">
        <v>40</v>
      </c>
      <c r="T990" t="s">
        <v>40</v>
      </c>
      <c r="U990" s="1">
        <v>45838</v>
      </c>
    </row>
    <row r="991" spans="1:21" x14ac:dyDescent="0.3">
      <c r="A991">
        <v>985</v>
      </c>
      <c r="B991">
        <v>329</v>
      </c>
      <c r="C991">
        <v>1</v>
      </c>
      <c r="D991" t="s">
        <v>19</v>
      </c>
      <c r="E991" t="s">
        <v>23</v>
      </c>
      <c r="F991">
        <v>26</v>
      </c>
      <c r="G991" t="s">
        <v>25</v>
      </c>
      <c r="I991" t="s">
        <v>32</v>
      </c>
      <c r="J991" s="1">
        <v>45731</v>
      </c>
      <c r="K991" t="s">
        <v>34</v>
      </c>
      <c r="L991" t="s">
        <v>35</v>
      </c>
      <c r="M991" t="s">
        <v>38</v>
      </c>
      <c r="N991">
        <v>4</v>
      </c>
      <c r="O991">
        <v>0.89583333333333337</v>
      </c>
      <c r="P991">
        <v>79</v>
      </c>
      <c r="Q991" t="s">
        <v>39</v>
      </c>
      <c r="R991" t="s">
        <v>39</v>
      </c>
      <c r="T991" t="s">
        <v>40</v>
      </c>
      <c r="U991" s="1">
        <v>45838</v>
      </c>
    </row>
    <row r="992" spans="1:21" x14ac:dyDescent="0.3">
      <c r="A992">
        <v>986</v>
      </c>
      <c r="B992">
        <v>329</v>
      </c>
      <c r="C992">
        <v>2</v>
      </c>
      <c r="D992" t="s">
        <v>21</v>
      </c>
      <c r="E992" t="s">
        <v>23</v>
      </c>
      <c r="F992">
        <v>26</v>
      </c>
      <c r="G992" t="s">
        <v>25</v>
      </c>
      <c r="I992" t="s">
        <v>32</v>
      </c>
      <c r="J992" s="1">
        <v>45731</v>
      </c>
      <c r="K992" t="s">
        <v>34</v>
      </c>
      <c r="L992" t="s">
        <v>36</v>
      </c>
      <c r="M992" t="s">
        <v>38</v>
      </c>
      <c r="N992">
        <v>4</v>
      </c>
      <c r="O992">
        <v>0.83333333333333337</v>
      </c>
      <c r="P992">
        <v>68</v>
      </c>
      <c r="Q992" t="s">
        <v>39</v>
      </c>
      <c r="R992" t="s">
        <v>39</v>
      </c>
      <c r="T992" t="s">
        <v>40</v>
      </c>
      <c r="U992" s="1">
        <v>45838</v>
      </c>
    </row>
    <row r="993" spans="1:21" x14ac:dyDescent="0.3">
      <c r="A993">
        <v>987</v>
      </c>
      <c r="B993">
        <v>329</v>
      </c>
      <c r="C993">
        <v>3</v>
      </c>
      <c r="D993" t="s">
        <v>21</v>
      </c>
      <c r="E993" t="s">
        <v>23</v>
      </c>
      <c r="F993">
        <v>26</v>
      </c>
      <c r="G993" t="s">
        <v>25</v>
      </c>
      <c r="I993" t="s">
        <v>32</v>
      </c>
      <c r="J993" s="1">
        <v>45731</v>
      </c>
      <c r="K993" t="s">
        <v>34</v>
      </c>
      <c r="L993" t="s">
        <v>37</v>
      </c>
      <c r="M993" t="s">
        <v>38</v>
      </c>
      <c r="N993">
        <v>4</v>
      </c>
      <c r="O993">
        <v>0.83333333333333337</v>
      </c>
      <c r="P993">
        <v>51.5</v>
      </c>
      <c r="Q993" t="s">
        <v>39</v>
      </c>
      <c r="R993" t="s">
        <v>39</v>
      </c>
      <c r="T993" t="s">
        <v>40</v>
      </c>
      <c r="U993" s="1">
        <v>45838</v>
      </c>
    </row>
    <row r="994" spans="1:21" x14ac:dyDescent="0.3">
      <c r="A994">
        <v>988</v>
      </c>
      <c r="B994">
        <v>330</v>
      </c>
      <c r="C994">
        <v>1</v>
      </c>
      <c r="D994" t="s">
        <v>19</v>
      </c>
      <c r="E994" t="s">
        <v>23</v>
      </c>
      <c r="F994">
        <v>19</v>
      </c>
      <c r="G994" t="s">
        <v>24</v>
      </c>
      <c r="I994" t="s">
        <v>30</v>
      </c>
      <c r="J994" s="1">
        <v>45727</v>
      </c>
      <c r="K994" t="s">
        <v>34</v>
      </c>
      <c r="L994" t="s">
        <v>35</v>
      </c>
      <c r="M994" t="s">
        <v>38</v>
      </c>
      <c r="N994">
        <v>4</v>
      </c>
      <c r="O994">
        <v>0.85416666666666663</v>
      </c>
      <c r="P994">
        <v>70.5</v>
      </c>
      <c r="Q994" t="s">
        <v>39</v>
      </c>
      <c r="R994" t="s">
        <v>39</v>
      </c>
      <c r="T994" t="s">
        <v>40</v>
      </c>
      <c r="U994" s="1">
        <v>45838</v>
      </c>
    </row>
    <row r="995" spans="1:21" x14ac:dyDescent="0.3">
      <c r="A995">
        <v>989</v>
      </c>
      <c r="B995">
        <v>330</v>
      </c>
      <c r="C995">
        <v>2</v>
      </c>
      <c r="D995" t="s">
        <v>19</v>
      </c>
      <c r="E995" t="s">
        <v>23</v>
      </c>
      <c r="F995">
        <v>19</v>
      </c>
      <c r="G995" t="s">
        <v>24</v>
      </c>
      <c r="I995" t="s">
        <v>30</v>
      </c>
      <c r="J995" s="1">
        <v>45727</v>
      </c>
      <c r="K995" t="s">
        <v>34</v>
      </c>
      <c r="L995" t="s">
        <v>36</v>
      </c>
      <c r="M995" t="s">
        <v>38</v>
      </c>
      <c r="N995">
        <v>4</v>
      </c>
      <c r="O995">
        <v>0.91666666666666663</v>
      </c>
      <c r="P995">
        <v>72</v>
      </c>
      <c r="Q995" t="s">
        <v>39</v>
      </c>
      <c r="R995" t="s">
        <v>39</v>
      </c>
      <c r="T995" t="s">
        <v>40</v>
      </c>
      <c r="U995" s="1">
        <v>45838</v>
      </c>
    </row>
    <row r="996" spans="1:21" x14ac:dyDescent="0.3">
      <c r="A996">
        <v>990</v>
      </c>
      <c r="B996">
        <v>330</v>
      </c>
      <c r="C996">
        <v>3</v>
      </c>
      <c r="D996" t="s">
        <v>19</v>
      </c>
      <c r="E996" t="s">
        <v>23</v>
      </c>
      <c r="F996">
        <v>19</v>
      </c>
      <c r="G996" t="s">
        <v>24</v>
      </c>
      <c r="I996" t="s">
        <v>30</v>
      </c>
      <c r="J996" s="1">
        <v>45727</v>
      </c>
      <c r="K996" t="s">
        <v>34</v>
      </c>
      <c r="L996" t="s">
        <v>37</v>
      </c>
      <c r="M996" t="s">
        <v>38</v>
      </c>
      <c r="N996">
        <v>4</v>
      </c>
      <c r="O996">
        <v>0.89583333333333337</v>
      </c>
      <c r="P996">
        <v>77</v>
      </c>
      <c r="Q996" t="s">
        <v>39</v>
      </c>
      <c r="R996" t="s">
        <v>39</v>
      </c>
      <c r="T996" t="s">
        <v>40</v>
      </c>
      <c r="U996" s="1">
        <v>45838</v>
      </c>
    </row>
    <row r="997" spans="1:21" x14ac:dyDescent="0.3">
      <c r="A997">
        <v>991</v>
      </c>
      <c r="B997">
        <v>331</v>
      </c>
      <c r="C997">
        <v>1</v>
      </c>
      <c r="D997" t="s">
        <v>19</v>
      </c>
      <c r="E997" t="s">
        <v>22</v>
      </c>
      <c r="F997">
        <v>29</v>
      </c>
      <c r="G997" t="s">
        <v>27</v>
      </c>
      <c r="I997" t="s">
        <v>33</v>
      </c>
      <c r="J997" s="1">
        <v>45770</v>
      </c>
      <c r="K997" t="s">
        <v>34</v>
      </c>
      <c r="L997" t="s">
        <v>35</v>
      </c>
      <c r="M997" t="s">
        <v>38</v>
      </c>
      <c r="N997">
        <v>4</v>
      </c>
      <c r="O997">
        <v>0.83333333333333337</v>
      </c>
      <c r="P997">
        <v>74.5</v>
      </c>
      <c r="Q997" t="s">
        <v>39</v>
      </c>
      <c r="R997" t="s">
        <v>39</v>
      </c>
      <c r="T997" t="s">
        <v>40</v>
      </c>
      <c r="U997" s="1">
        <v>45838</v>
      </c>
    </row>
    <row r="998" spans="1:21" x14ac:dyDescent="0.3">
      <c r="A998">
        <v>992</v>
      </c>
      <c r="B998">
        <v>331</v>
      </c>
      <c r="C998">
        <v>2</v>
      </c>
      <c r="D998" t="s">
        <v>19</v>
      </c>
      <c r="E998" t="s">
        <v>22</v>
      </c>
      <c r="F998">
        <v>29</v>
      </c>
      <c r="G998" t="s">
        <v>27</v>
      </c>
      <c r="I998" t="s">
        <v>33</v>
      </c>
      <c r="J998" s="1">
        <v>45770</v>
      </c>
      <c r="K998" t="s">
        <v>34</v>
      </c>
      <c r="L998" t="s">
        <v>36</v>
      </c>
      <c r="M998" t="s">
        <v>38</v>
      </c>
      <c r="N998">
        <v>4</v>
      </c>
      <c r="O998">
        <v>0.8125</v>
      </c>
      <c r="P998">
        <v>76</v>
      </c>
      <c r="Q998" t="s">
        <v>39</v>
      </c>
      <c r="R998" t="s">
        <v>39</v>
      </c>
      <c r="T998" t="s">
        <v>40</v>
      </c>
      <c r="U998" s="1">
        <v>45838</v>
      </c>
    </row>
    <row r="999" spans="1:21" x14ac:dyDescent="0.3">
      <c r="A999">
        <v>993</v>
      </c>
      <c r="B999">
        <v>331</v>
      </c>
      <c r="C999">
        <v>3</v>
      </c>
      <c r="D999" t="s">
        <v>20</v>
      </c>
      <c r="E999" t="s">
        <v>22</v>
      </c>
      <c r="F999">
        <v>29</v>
      </c>
      <c r="G999" t="s">
        <v>27</v>
      </c>
      <c r="I999" t="s">
        <v>33</v>
      </c>
      <c r="J999" s="1">
        <v>45770</v>
      </c>
      <c r="K999" t="s">
        <v>34</v>
      </c>
      <c r="L999" t="s">
        <v>37</v>
      </c>
      <c r="M999" t="s">
        <v>38</v>
      </c>
      <c r="N999">
        <v>4</v>
      </c>
      <c r="O999">
        <v>0.8125</v>
      </c>
      <c r="P999">
        <v>80</v>
      </c>
      <c r="Q999" t="s">
        <v>39</v>
      </c>
      <c r="R999" t="s">
        <v>39</v>
      </c>
      <c r="T999" t="s">
        <v>40</v>
      </c>
      <c r="U999" s="1">
        <v>45838</v>
      </c>
    </row>
    <row r="1000" spans="1:21" x14ac:dyDescent="0.3">
      <c r="A1000">
        <v>994</v>
      </c>
      <c r="B1000">
        <v>332</v>
      </c>
      <c r="C1000">
        <v>1</v>
      </c>
      <c r="D1000" t="s">
        <v>21</v>
      </c>
      <c r="E1000" t="s">
        <v>23</v>
      </c>
      <c r="F1000">
        <v>28</v>
      </c>
      <c r="G1000" t="s">
        <v>28</v>
      </c>
      <c r="I1000" t="s">
        <v>33</v>
      </c>
      <c r="J1000" s="1">
        <v>45785</v>
      </c>
      <c r="K1000" t="s">
        <v>34</v>
      </c>
      <c r="L1000" t="s">
        <v>35</v>
      </c>
      <c r="M1000" t="s">
        <v>38</v>
      </c>
      <c r="N1000">
        <v>4</v>
      </c>
      <c r="O1000">
        <v>0.8125</v>
      </c>
      <c r="P1000">
        <v>79.5</v>
      </c>
      <c r="Q1000" t="s">
        <v>39</v>
      </c>
      <c r="R1000" t="s">
        <v>39</v>
      </c>
      <c r="T1000" t="s">
        <v>39</v>
      </c>
      <c r="U1000" s="1">
        <v>45838</v>
      </c>
    </row>
    <row r="1001" spans="1:21" x14ac:dyDescent="0.3">
      <c r="A1001">
        <v>995</v>
      </c>
      <c r="B1001">
        <v>332</v>
      </c>
      <c r="C1001">
        <v>2</v>
      </c>
      <c r="D1001" t="s">
        <v>19</v>
      </c>
      <c r="E1001" t="s">
        <v>23</v>
      </c>
      <c r="F1001">
        <v>28</v>
      </c>
      <c r="G1001" t="s">
        <v>28</v>
      </c>
      <c r="I1001" t="s">
        <v>33</v>
      </c>
      <c r="J1001" s="1">
        <v>45785</v>
      </c>
      <c r="K1001" t="s">
        <v>34</v>
      </c>
      <c r="L1001" t="s">
        <v>36</v>
      </c>
      <c r="M1001" t="s">
        <v>38</v>
      </c>
      <c r="N1001">
        <v>4</v>
      </c>
      <c r="O1001">
        <v>0.875</v>
      </c>
      <c r="P1001">
        <v>82.5</v>
      </c>
      <c r="Q1001" t="s">
        <v>39</v>
      </c>
      <c r="R1001" t="s">
        <v>39</v>
      </c>
      <c r="T1001" t="s">
        <v>39</v>
      </c>
      <c r="U1001" s="1">
        <v>45838</v>
      </c>
    </row>
    <row r="1002" spans="1:21" x14ac:dyDescent="0.3">
      <c r="A1002">
        <v>996</v>
      </c>
      <c r="B1002">
        <v>332</v>
      </c>
      <c r="C1002">
        <v>3</v>
      </c>
      <c r="D1002" t="s">
        <v>20</v>
      </c>
      <c r="E1002" t="s">
        <v>23</v>
      </c>
      <c r="F1002">
        <v>28</v>
      </c>
      <c r="G1002" t="s">
        <v>28</v>
      </c>
      <c r="I1002" t="s">
        <v>33</v>
      </c>
      <c r="J1002" s="1">
        <v>45785</v>
      </c>
      <c r="K1002" t="s">
        <v>34</v>
      </c>
      <c r="L1002" t="s">
        <v>37</v>
      </c>
      <c r="M1002" t="s">
        <v>38</v>
      </c>
      <c r="N1002">
        <v>4</v>
      </c>
      <c r="O1002">
        <v>0.70833333333333337</v>
      </c>
      <c r="P1002">
        <v>94</v>
      </c>
      <c r="Q1002" t="s">
        <v>39</v>
      </c>
      <c r="R1002" t="s">
        <v>39</v>
      </c>
      <c r="T1002" t="s">
        <v>39</v>
      </c>
      <c r="U1002" s="1">
        <v>45838</v>
      </c>
    </row>
    <row r="1003" spans="1:21" x14ac:dyDescent="0.3">
      <c r="A1003">
        <v>997</v>
      </c>
      <c r="B1003">
        <v>333</v>
      </c>
      <c r="C1003">
        <v>1</v>
      </c>
      <c r="D1003" t="s">
        <v>20</v>
      </c>
      <c r="E1003" t="s">
        <v>23</v>
      </c>
      <c r="F1003">
        <v>34</v>
      </c>
      <c r="G1003" t="s">
        <v>29</v>
      </c>
      <c r="I1003" t="s">
        <v>31</v>
      </c>
      <c r="J1003" s="1">
        <v>45766</v>
      </c>
      <c r="K1003" t="s">
        <v>34</v>
      </c>
      <c r="L1003" t="s">
        <v>35</v>
      </c>
      <c r="M1003" t="s">
        <v>38</v>
      </c>
      <c r="N1003">
        <v>4</v>
      </c>
      <c r="O1003">
        <v>0.8125</v>
      </c>
      <c r="P1003">
        <v>71.5</v>
      </c>
      <c r="Q1003" t="s">
        <v>40</v>
      </c>
      <c r="R1003" t="s">
        <v>40</v>
      </c>
      <c r="T1003" t="s">
        <v>40</v>
      </c>
      <c r="U1003" s="1">
        <v>45838</v>
      </c>
    </row>
    <row r="1004" spans="1:21" x14ac:dyDescent="0.3">
      <c r="A1004">
        <v>998</v>
      </c>
      <c r="B1004">
        <v>333</v>
      </c>
      <c r="C1004">
        <v>2</v>
      </c>
      <c r="D1004" t="s">
        <v>19</v>
      </c>
      <c r="E1004" t="s">
        <v>23</v>
      </c>
      <c r="F1004">
        <v>34</v>
      </c>
      <c r="G1004" t="s">
        <v>29</v>
      </c>
      <c r="I1004" t="s">
        <v>31</v>
      </c>
      <c r="J1004" s="1">
        <v>45766</v>
      </c>
      <c r="K1004" t="s">
        <v>34</v>
      </c>
      <c r="L1004" t="s">
        <v>36</v>
      </c>
      <c r="M1004" t="s">
        <v>38</v>
      </c>
      <c r="N1004">
        <v>4</v>
      </c>
      <c r="O1004">
        <v>0.83333333333333337</v>
      </c>
      <c r="P1004">
        <v>73.5</v>
      </c>
      <c r="Q1004" t="s">
        <v>40</v>
      </c>
      <c r="R1004" t="s">
        <v>40</v>
      </c>
      <c r="T1004" t="s">
        <v>40</v>
      </c>
      <c r="U1004" s="1">
        <v>45838</v>
      </c>
    </row>
    <row r="1005" spans="1:21" x14ac:dyDescent="0.3">
      <c r="A1005">
        <v>999</v>
      </c>
      <c r="B1005">
        <v>333</v>
      </c>
      <c r="C1005">
        <v>3</v>
      </c>
      <c r="D1005" t="s">
        <v>21</v>
      </c>
      <c r="E1005" t="s">
        <v>23</v>
      </c>
      <c r="F1005">
        <v>34</v>
      </c>
      <c r="G1005" t="s">
        <v>29</v>
      </c>
      <c r="I1005" t="s">
        <v>31</v>
      </c>
      <c r="J1005" s="1">
        <v>45766</v>
      </c>
      <c r="K1005" t="s">
        <v>34</v>
      </c>
      <c r="L1005" t="s">
        <v>37</v>
      </c>
      <c r="M1005" t="s">
        <v>38</v>
      </c>
      <c r="N1005">
        <v>4</v>
      </c>
      <c r="O1005">
        <v>0.79166666666666663</v>
      </c>
      <c r="P1005">
        <v>87.5</v>
      </c>
      <c r="Q1005" t="s">
        <v>40</v>
      </c>
      <c r="R1005" t="s">
        <v>40</v>
      </c>
      <c r="T1005" t="s">
        <v>40</v>
      </c>
      <c r="U1005" s="1">
        <v>45838</v>
      </c>
    </row>
    <row r="1006" spans="1:21" x14ac:dyDescent="0.3">
      <c r="A1006">
        <v>1000</v>
      </c>
      <c r="B1006">
        <v>334</v>
      </c>
      <c r="C1006">
        <v>1</v>
      </c>
      <c r="D1006" t="s">
        <v>19</v>
      </c>
      <c r="E1006" t="s">
        <v>22</v>
      </c>
      <c r="F1006">
        <v>31</v>
      </c>
      <c r="G1006" t="s">
        <v>26</v>
      </c>
      <c r="I1006" t="s">
        <v>32</v>
      </c>
      <c r="J1006" s="1">
        <v>45797</v>
      </c>
      <c r="K1006" t="s">
        <v>34</v>
      </c>
      <c r="L1006" t="s">
        <v>35</v>
      </c>
      <c r="M1006" t="s">
        <v>38</v>
      </c>
      <c r="N1006">
        <v>4</v>
      </c>
      <c r="O1006">
        <v>0.95833333333333337</v>
      </c>
      <c r="P1006">
        <v>56.5</v>
      </c>
      <c r="Q1006" t="s">
        <v>40</v>
      </c>
      <c r="R1006" t="s">
        <v>40</v>
      </c>
      <c r="T1006" t="s">
        <v>40</v>
      </c>
      <c r="U1006" s="1">
        <v>45838</v>
      </c>
    </row>
    <row r="1007" spans="1:21" x14ac:dyDescent="0.3">
      <c r="A1007">
        <v>1001</v>
      </c>
      <c r="B1007">
        <v>334</v>
      </c>
      <c r="C1007">
        <v>2</v>
      </c>
      <c r="D1007" t="s">
        <v>20</v>
      </c>
      <c r="E1007" t="s">
        <v>22</v>
      </c>
      <c r="F1007">
        <v>31</v>
      </c>
      <c r="G1007" t="s">
        <v>26</v>
      </c>
      <c r="I1007" t="s">
        <v>32</v>
      </c>
      <c r="J1007" s="1">
        <v>45797</v>
      </c>
      <c r="K1007" t="s">
        <v>34</v>
      </c>
      <c r="L1007" t="s">
        <v>36</v>
      </c>
      <c r="M1007" t="s">
        <v>38</v>
      </c>
      <c r="N1007">
        <v>4</v>
      </c>
      <c r="O1007">
        <v>0.79166666666666663</v>
      </c>
      <c r="P1007">
        <v>52</v>
      </c>
      <c r="Q1007" t="s">
        <v>40</v>
      </c>
      <c r="R1007" t="s">
        <v>40</v>
      </c>
      <c r="T1007" t="s">
        <v>40</v>
      </c>
      <c r="U1007" s="1">
        <v>45838</v>
      </c>
    </row>
    <row r="1008" spans="1:21" x14ac:dyDescent="0.3">
      <c r="A1008">
        <v>1002</v>
      </c>
      <c r="B1008">
        <v>334</v>
      </c>
      <c r="C1008">
        <v>3</v>
      </c>
      <c r="D1008" t="s">
        <v>19</v>
      </c>
      <c r="E1008" t="s">
        <v>22</v>
      </c>
      <c r="F1008">
        <v>31</v>
      </c>
      <c r="G1008" t="s">
        <v>26</v>
      </c>
      <c r="I1008" t="s">
        <v>32</v>
      </c>
      <c r="J1008" s="1">
        <v>45797</v>
      </c>
      <c r="K1008" t="s">
        <v>34</v>
      </c>
      <c r="L1008" t="s">
        <v>37</v>
      </c>
      <c r="M1008" t="s">
        <v>38</v>
      </c>
      <c r="N1008">
        <v>4</v>
      </c>
      <c r="O1008">
        <v>0.77083333333333337</v>
      </c>
      <c r="P1008">
        <v>79.5</v>
      </c>
      <c r="Q1008" t="s">
        <v>40</v>
      </c>
      <c r="R1008" t="s">
        <v>40</v>
      </c>
      <c r="T1008" t="s">
        <v>40</v>
      </c>
      <c r="U1008" s="1">
        <v>45838</v>
      </c>
    </row>
    <row r="1009" spans="1:21" x14ac:dyDescent="0.3">
      <c r="A1009">
        <v>1003</v>
      </c>
      <c r="B1009">
        <v>335</v>
      </c>
      <c r="C1009">
        <v>1</v>
      </c>
      <c r="D1009" t="s">
        <v>19</v>
      </c>
      <c r="E1009" t="s">
        <v>23</v>
      </c>
      <c r="F1009">
        <v>28</v>
      </c>
      <c r="G1009" t="s">
        <v>25</v>
      </c>
      <c r="I1009" t="s">
        <v>31</v>
      </c>
      <c r="J1009" s="1">
        <v>45741</v>
      </c>
      <c r="K1009" t="s">
        <v>34</v>
      </c>
      <c r="L1009" t="s">
        <v>35</v>
      </c>
      <c r="M1009" t="s">
        <v>38</v>
      </c>
      <c r="N1009">
        <v>4</v>
      </c>
      <c r="O1009">
        <v>0.79166666666666663</v>
      </c>
      <c r="P1009">
        <v>80.5</v>
      </c>
      <c r="Q1009" t="s">
        <v>39</v>
      </c>
      <c r="R1009" t="s">
        <v>39</v>
      </c>
      <c r="T1009" t="s">
        <v>40</v>
      </c>
      <c r="U1009" s="1">
        <v>45838</v>
      </c>
    </row>
    <row r="1010" spans="1:21" x14ac:dyDescent="0.3">
      <c r="A1010">
        <v>1004</v>
      </c>
      <c r="B1010">
        <v>335</v>
      </c>
      <c r="C1010">
        <v>2</v>
      </c>
      <c r="D1010" t="s">
        <v>19</v>
      </c>
      <c r="E1010" t="s">
        <v>23</v>
      </c>
      <c r="F1010">
        <v>28</v>
      </c>
      <c r="G1010" t="s">
        <v>25</v>
      </c>
      <c r="I1010" t="s">
        <v>31</v>
      </c>
      <c r="J1010" s="1">
        <v>45741</v>
      </c>
      <c r="K1010" t="s">
        <v>34</v>
      </c>
      <c r="L1010" t="s">
        <v>36</v>
      </c>
      <c r="M1010" t="s">
        <v>38</v>
      </c>
      <c r="N1010">
        <v>4</v>
      </c>
      <c r="O1010">
        <v>0.79166666666666663</v>
      </c>
      <c r="P1010">
        <v>67.5</v>
      </c>
      <c r="Q1010" t="s">
        <v>39</v>
      </c>
      <c r="R1010" t="s">
        <v>39</v>
      </c>
      <c r="T1010" t="s">
        <v>40</v>
      </c>
      <c r="U1010" s="1">
        <v>45838</v>
      </c>
    </row>
    <row r="1011" spans="1:21" x14ac:dyDescent="0.3">
      <c r="A1011">
        <v>1005</v>
      </c>
      <c r="B1011">
        <v>335</v>
      </c>
      <c r="C1011">
        <v>3</v>
      </c>
      <c r="D1011" t="s">
        <v>21</v>
      </c>
      <c r="E1011" t="s">
        <v>23</v>
      </c>
      <c r="F1011">
        <v>28</v>
      </c>
      <c r="G1011" t="s">
        <v>25</v>
      </c>
      <c r="I1011" t="s">
        <v>31</v>
      </c>
      <c r="J1011" s="1">
        <v>45741</v>
      </c>
      <c r="K1011" t="s">
        <v>34</v>
      </c>
      <c r="L1011" t="s">
        <v>37</v>
      </c>
      <c r="M1011" t="s">
        <v>38</v>
      </c>
      <c r="N1011">
        <v>4</v>
      </c>
      <c r="O1011">
        <v>0.875</v>
      </c>
      <c r="P1011">
        <v>58.5</v>
      </c>
      <c r="Q1011" t="s">
        <v>39</v>
      </c>
      <c r="R1011" t="s">
        <v>39</v>
      </c>
      <c r="T1011" t="s">
        <v>40</v>
      </c>
      <c r="U1011" s="1">
        <v>45838</v>
      </c>
    </row>
    <row r="1012" spans="1:21" x14ac:dyDescent="0.3">
      <c r="A1012">
        <v>1006</v>
      </c>
      <c r="B1012">
        <v>336</v>
      </c>
      <c r="C1012">
        <v>1</v>
      </c>
      <c r="D1012" t="s">
        <v>19</v>
      </c>
      <c r="E1012" t="s">
        <v>23</v>
      </c>
      <c r="F1012">
        <v>27</v>
      </c>
      <c r="G1012" t="s">
        <v>27</v>
      </c>
      <c r="I1012" t="s">
        <v>33</v>
      </c>
      <c r="J1012" s="1">
        <v>45700</v>
      </c>
      <c r="K1012" t="s">
        <v>34</v>
      </c>
      <c r="L1012" t="s">
        <v>35</v>
      </c>
      <c r="M1012" t="s">
        <v>38</v>
      </c>
      <c r="N1012">
        <v>4</v>
      </c>
      <c r="O1012">
        <v>0.875</v>
      </c>
      <c r="P1012">
        <v>75</v>
      </c>
      <c r="Q1012" t="s">
        <v>39</v>
      </c>
      <c r="R1012" t="s">
        <v>40</v>
      </c>
      <c r="T1012" t="s">
        <v>39</v>
      </c>
      <c r="U1012" s="1">
        <v>45838</v>
      </c>
    </row>
    <row r="1013" spans="1:21" x14ac:dyDescent="0.3">
      <c r="A1013">
        <v>1007</v>
      </c>
      <c r="B1013">
        <v>336</v>
      </c>
      <c r="C1013">
        <v>2</v>
      </c>
      <c r="D1013" t="s">
        <v>19</v>
      </c>
      <c r="E1013" t="s">
        <v>23</v>
      </c>
      <c r="F1013">
        <v>27</v>
      </c>
      <c r="G1013" t="s">
        <v>27</v>
      </c>
      <c r="I1013" t="s">
        <v>33</v>
      </c>
      <c r="J1013" s="1">
        <v>45700</v>
      </c>
      <c r="K1013" t="s">
        <v>34</v>
      </c>
      <c r="L1013" t="s">
        <v>36</v>
      </c>
      <c r="M1013" t="s">
        <v>38</v>
      </c>
      <c r="N1013">
        <v>4</v>
      </c>
      <c r="O1013">
        <v>0.83333333333333337</v>
      </c>
      <c r="P1013">
        <v>84</v>
      </c>
      <c r="Q1013" t="s">
        <v>39</v>
      </c>
      <c r="R1013" t="s">
        <v>40</v>
      </c>
      <c r="T1013" t="s">
        <v>39</v>
      </c>
      <c r="U1013" s="1">
        <v>45838</v>
      </c>
    </row>
    <row r="1014" spans="1:21" x14ac:dyDescent="0.3">
      <c r="A1014">
        <v>1008</v>
      </c>
      <c r="B1014">
        <v>336</v>
      </c>
      <c r="C1014">
        <v>3</v>
      </c>
      <c r="D1014" t="s">
        <v>19</v>
      </c>
      <c r="E1014" t="s">
        <v>23</v>
      </c>
      <c r="F1014">
        <v>27</v>
      </c>
      <c r="G1014" t="s">
        <v>27</v>
      </c>
      <c r="I1014" t="s">
        <v>33</v>
      </c>
      <c r="J1014" s="1">
        <v>45700</v>
      </c>
      <c r="K1014" t="s">
        <v>34</v>
      </c>
      <c r="L1014" t="s">
        <v>37</v>
      </c>
      <c r="M1014" t="s">
        <v>38</v>
      </c>
      <c r="N1014">
        <v>4</v>
      </c>
      <c r="O1014">
        <v>0.875</v>
      </c>
      <c r="P1014">
        <v>68</v>
      </c>
      <c r="Q1014" t="s">
        <v>39</v>
      </c>
      <c r="R1014" t="s">
        <v>40</v>
      </c>
      <c r="T1014" t="s">
        <v>39</v>
      </c>
      <c r="U1014" s="1">
        <v>45838</v>
      </c>
    </row>
    <row r="1015" spans="1:21" x14ac:dyDescent="0.3">
      <c r="A1015">
        <v>1009</v>
      </c>
      <c r="B1015">
        <v>337</v>
      </c>
      <c r="C1015">
        <v>1</v>
      </c>
      <c r="D1015" t="s">
        <v>20</v>
      </c>
      <c r="E1015" t="s">
        <v>23</v>
      </c>
      <c r="F1015">
        <v>29</v>
      </c>
      <c r="G1015" t="s">
        <v>27</v>
      </c>
      <c r="I1015" t="s">
        <v>31</v>
      </c>
      <c r="J1015" s="1">
        <v>45748</v>
      </c>
      <c r="K1015" t="s">
        <v>34</v>
      </c>
      <c r="L1015" t="s">
        <v>35</v>
      </c>
      <c r="M1015" t="s">
        <v>38</v>
      </c>
      <c r="N1015">
        <v>4</v>
      </c>
      <c r="O1015">
        <v>0.83333333333333337</v>
      </c>
      <c r="P1015">
        <v>69</v>
      </c>
      <c r="Q1015" t="s">
        <v>40</v>
      </c>
      <c r="R1015" t="s">
        <v>40</v>
      </c>
      <c r="T1015" t="s">
        <v>40</v>
      </c>
      <c r="U1015" s="1">
        <v>45838</v>
      </c>
    </row>
    <row r="1016" spans="1:21" x14ac:dyDescent="0.3">
      <c r="A1016">
        <v>1010</v>
      </c>
      <c r="B1016">
        <v>337</v>
      </c>
      <c r="C1016">
        <v>2</v>
      </c>
      <c r="D1016" t="s">
        <v>19</v>
      </c>
      <c r="E1016" t="s">
        <v>23</v>
      </c>
      <c r="F1016">
        <v>29</v>
      </c>
      <c r="G1016" t="s">
        <v>27</v>
      </c>
      <c r="I1016" t="s">
        <v>31</v>
      </c>
      <c r="J1016" s="1">
        <v>45748</v>
      </c>
      <c r="K1016" t="s">
        <v>34</v>
      </c>
      <c r="L1016" t="s">
        <v>36</v>
      </c>
      <c r="M1016" t="s">
        <v>38</v>
      </c>
      <c r="N1016">
        <v>4</v>
      </c>
      <c r="O1016">
        <v>0.83333333333333337</v>
      </c>
      <c r="P1016">
        <v>68</v>
      </c>
      <c r="Q1016" t="s">
        <v>40</v>
      </c>
      <c r="R1016" t="s">
        <v>40</v>
      </c>
      <c r="T1016" t="s">
        <v>40</v>
      </c>
      <c r="U1016" s="1">
        <v>45838</v>
      </c>
    </row>
    <row r="1017" spans="1:21" x14ac:dyDescent="0.3">
      <c r="A1017">
        <v>1011</v>
      </c>
      <c r="B1017">
        <v>337</v>
      </c>
      <c r="C1017">
        <v>3</v>
      </c>
      <c r="D1017" t="s">
        <v>19</v>
      </c>
      <c r="E1017" t="s">
        <v>23</v>
      </c>
      <c r="F1017">
        <v>29</v>
      </c>
      <c r="G1017" t="s">
        <v>27</v>
      </c>
      <c r="I1017" t="s">
        <v>31</v>
      </c>
      <c r="J1017" s="1">
        <v>45748</v>
      </c>
      <c r="K1017" t="s">
        <v>34</v>
      </c>
      <c r="L1017" t="s">
        <v>37</v>
      </c>
      <c r="M1017" t="s">
        <v>38</v>
      </c>
      <c r="N1017">
        <v>4</v>
      </c>
      <c r="O1017">
        <v>0.8125</v>
      </c>
      <c r="P1017">
        <v>80</v>
      </c>
      <c r="Q1017" t="s">
        <v>40</v>
      </c>
      <c r="R1017" t="s">
        <v>40</v>
      </c>
      <c r="T1017" t="s">
        <v>40</v>
      </c>
      <c r="U1017" s="1">
        <v>45838</v>
      </c>
    </row>
    <row r="1018" spans="1:21" x14ac:dyDescent="0.3">
      <c r="A1018">
        <v>1012</v>
      </c>
      <c r="B1018">
        <v>338</v>
      </c>
      <c r="C1018">
        <v>1</v>
      </c>
      <c r="D1018" t="s">
        <v>19</v>
      </c>
      <c r="E1018" t="s">
        <v>23</v>
      </c>
      <c r="F1018">
        <v>26</v>
      </c>
      <c r="G1018" t="s">
        <v>24</v>
      </c>
      <c r="I1018" t="s">
        <v>31</v>
      </c>
      <c r="J1018" s="1">
        <v>45677</v>
      </c>
      <c r="K1018" t="s">
        <v>34</v>
      </c>
      <c r="L1018" t="s">
        <v>35</v>
      </c>
      <c r="M1018" t="s">
        <v>38</v>
      </c>
      <c r="N1018">
        <v>4</v>
      </c>
      <c r="O1018">
        <v>0.85416666666666663</v>
      </c>
      <c r="P1018">
        <v>76.5</v>
      </c>
      <c r="Q1018" t="s">
        <v>39</v>
      </c>
      <c r="R1018" t="s">
        <v>40</v>
      </c>
      <c r="T1018" t="s">
        <v>40</v>
      </c>
      <c r="U1018" s="1">
        <v>45838</v>
      </c>
    </row>
    <row r="1019" spans="1:21" x14ac:dyDescent="0.3">
      <c r="A1019">
        <v>1013</v>
      </c>
      <c r="B1019">
        <v>338</v>
      </c>
      <c r="C1019">
        <v>2</v>
      </c>
      <c r="D1019" t="s">
        <v>21</v>
      </c>
      <c r="E1019" t="s">
        <v>23</v>
      </c>
      <c r="F1019">
        <v>26</v>
      </c>
      <c r="G1019" t="s">
        <v>24</v>
      </c>
      <c r="I1019" t="s">
        <v>31</v>
      </c>
      <c r="J1019" s="1">
        <v>45677</v>
      </c>
      <c r="K1019" t="s">
        <v>34</v>
      </c>
      <c r="L1019" t="s">
        <v>36</v>
      </c>
      <c r="M1019" t="s">
        <v>38</v>
      </c>
      <c r="N1019">
        <v>4</v>
      </c>
      <c r="O1019">
        <v>0.89583333333333337</v>
      </c>
      <c r="P1019">
        <v>88</v>
      </c>
      <c r="Q1019" t="s">
        <v>39</v>
      </c>
      <c r="R1019" t="s">
        <v>40</v>
      </c>
      <c r="T1019" t="s">
        <v>40</v>
      </c>
      <c r="U1019" s="1">
        <v>45838</v>
      </c>
    </row>
    <row r="1020" spans="1:21" x14ac:dyDescent="0.3">
      <c r="A1020">
        <v>1014</v>
      </c>
      <c r="B1020">
        <v>338</v>
      </c>
      <c r="C1020">
        <v>3</v>
      </c>
      <c r="D1020" t="s">
        <v>21</v>
      </c>
      <c r="E1020" t="s">
        <v>23</v>
      </c>
      <c r="F1020">
        <v>26</v>
      </c>
      <c r="G1020" t="s">
        <v>24</v>
      </c>
      <c r="I1020" t="s">
        <v>31</v>
      </c>
      <c r="J1020" s="1">
        <v>45677</v>
      </c>
      <c r="K1020" t="s">
        <v>34</v>
      </c>
      <c r="L1020" t="s">
        <v>37</v>
      </c>
      <c r="M1020" t="s">
        <v>38</v>
      </c>
      <c r="N1020">
        <v>4</v>
      </c>
      <c r="O1020">
        <v>0.875</v>
      </c>
      <c r="P1020">
        <v>74</v>
      </c>
      <c r="Q1020" t="s">
        <v>39</v>
      </c>
      <c r="R1020" t="s">
        <v>40</v>
      </c>
      <c r="T1020" t="s">
        <v>40</v>
      </c>
      <c r="U1020" s="1">
        <v>45838</v>
      </c>
    </row>
    <row r="1021" spans="1:21" x14ac:dyDescent="0.3">
      <c r="A1021">
        <v>1015</v>
      </c>
      <c r="B1021">
        <v>339</v>
      </c>
      <c r="C1021">
        <v>1</v>
      </c>
      <c r="D1021" t="s">
        <v>21</v>
      </c>
      <c r="E1021" t="s">
        <v>23</v>
      </c>
      <c r="F1021">
        <v>29</v>
      </c>
      <c r="G1021" t="s">
        <v>26</v>
      </c>
      <c r="I1021" t="s">
        <v>32</v>
      </c>
      <c r="J1021" s="1">
        <v>45665</v>
      </c>
      <c r="K1021" t="s">
        <v>34</v>
      </c>
      <c r="L1021" t="s">
        <v>35</v>
      </c>
      <c r="M1021" t="s">
        <v>38</v>
      </c>
      <c r="N1021">
        <v>4</v>
      </c>
      <c r="O1021">
        <v>0.79166666666666663</v>
      </c>
      <c r="P1021">
        <v>52</v>
      </c>
      <c r="Q1021" t="s">
        <v>39</v>
      </c>
      <c r="R1021" t="s">
        <v>39</v>
      </c>
      <c r="T1021" t="s">
        <v>40</v>
      </c>
      <c r="U1021" s="1">
        <v>45838</v>
      </c>
    </row>
    <row r="1022" spans="1:21" x14ac:dyDescent="0.3">
      <c r="A1022">
        <v>1016</v>
      </c>
      <c r="B1022">
        <v>339</v>
      </c>
      <c r="C1022">
        <v>2</v>
      </c>
      <c r="D1022" t="s">
        <v>19</v>
      </c>
      <c r="E1022" t="s">
        <v>23</v>
      </c>
      <c r="F1022">
        <v>29</v>
      </c>
      <c r="G1022" t="s">
        <v>26</v>
      </c>
      <c r="I1022" t="s">
        <v>32</v>
      </c>
      <c r="J1022" s="1">
        <v>45665</v>
      </c>
      <c r="K1022" t="s">
        <v>34</v>
      </c>
      <c r="L1022" t="s">
        <v>36</v>
      </c>
      <c r="M1022" t="s">
        <v>38</v>
      </c>
      <c r="N1022">
        <v>4</v>
      </c>
      <c r="O1022">
        <v>0.83333333333333337</v>
      </c>
      <c r="P1022">
        <v>65.5</v>
      </c>
      <c r="Q1022" t="s">
        <v>39</v>
      </c>
      <c r="R1022" t="s">
        <v>39</v>
      </c>
      <c r="T1022" t="s">
        <v>40</v>
      </c>
      <c r="U1022" s="1">
        <v>45838</v>
      </c>
    </row>
    <row r="1023" spans="1:21" x14ac:dyDescent="0.3">
      <c r="A1023">
        <v>1017</v>
      </c>
      <c r="B1023">
        <v>339</v>
      </c>
      <c r="C1023">
        <v>3</v>
      </c>
      <c r="D1023" t="s">
        <v>19</v>
      </c>
      <c r="E1023" t="s">
        <v>23</v>
      </c>
      <c r="F1023">
        <v>29</v>
      </c>
      <c r="G1023" t="s">
        <v>26</v>
      </c>
      <c r="I1023" t="s">
        <v>32</v>
      </c>
      <c r="J1023" s="1">
        <v>45665</v>
      </c>
      <c r="K1023" t="s">
        <v>34</v>
      </c>
      <c r="L1023" t="s">
        <v>37</v>
      </c>
      <c r="M1023" t="s">
        <v>38</v>
      </c>
      <c r="N1023">
        <v>4</v>
      </c>
      <c r="O1023">
        <v>0.83333333333333337</v>
      </c>
      <c r="P1023">
        <v>74</v>
      </c>
      <c r="Q1023" t="s">
        <v>39</v>
      </c>
      <c r="R1023" t="s">
        <v>39</v>
      </c>
      <c r="T1023" t="s">
        <v>40</v>
      </c>
      <c r="U1023" s="1">
        <v>45838</v>
      </c>
    </row>
    <row r="1024" spans="1:21" x14ac:dyDescent="0.3">
      <c r="A1024">
        <v>1018</v>
      </c>
      <c r="B1024">
        <v>340</v>
      </c>
      <c r="C1024">
        <v>1</v>
      </c>
      <c r="D1024" t="s">
        <v>19</v>
      </c>
      <c r="E1024" t="s">
        <v>22</v>
      </c>
      <c r="F1024">
        <v>32</v>
      </c>
      <c r="G1024" t="s">
        <v>25</v>
      </c>
      <c r="I1024" t="s">
        <v>32</v>
      </c>
      <c r="J1024" s="1">
        <v>45675</v>
      </c>
      <c r="K1024" t="s">
        <v>34</v>
      </c>
      <c r="L1024" t="s">
        <v>35</v>
      </c>
      <c r="M1024" t="s">
        <v>38</v>
      </c>
      <c r="N1024">
        <v>4</v>
      </c>
      <c r="O1024">
        <v>0.83333333333333337</v>
      </c>
      <c r="P1024">
        <v>62</v>
      </c>
      <c r="Q1024" t="s">
        <v>39</v>
      </c>
      <c r="R1024" t="s">
        <v>39</v>
      </c>
      <c r="T1024" t="s">
        <v>40</v>
      </c>
      <c r="U1024" s="1">
        <v>45838</v>
      </c>
    </row>
    <row r="1025" spans="1:21" x14ac:dyDescent="0.3">
      <c r="A1025">
        <v>1019</v>
      </c>
      <c r="B1025">
        <v>340</v>
      </c>
      <c r="C1025">
        <v>2</v>
      </c>
      <c r="D1025" t="s">
        <v>19</v>
      </c>
      <c r="E1025" t="s">
        <v>22</v>
      </c>
      <c r="F1025">
        <v>32</v>
      </c>
      <c r="G1025" t="s">
        <v>25</v>
      </c>
      <c r="I1025" t="s">
        <v>32</v>
      </c>
      <c r="J1025" s="1">
        <v>45675</v>
      </c>
      <c r="K1025" t="s">
        <v>34</v>
      </c>
      <c r="L1025" t="s">
        <v>36</v>
      </c>
      <c r="M1025" t="s">
        <v>38</v>
      </c>
      <c r="N1025">
        <v>4</v>
      </c>
      <c r="O1025">
        <v>0.79166666666666663</v>
      </c>
      <c r="P1025">
        <v>86</v>
      </c>
      <c r="Q1025" t="s">
        <v>39</v>
      </c>
      <c r="R1025" t="s">
        <v>39</v>
      </c>
      <c r="T1025" t="s">
        <v>40</v>
      </c>
      <c r="U1025" s="1">
        <v>45838</v>
      </c>
    </row>
    <row r="1026" spans="1:21" x14ac:dyDescent="0.3">
      <c r="A1026">
        <v>1020</v>
      </c>
      <c r="B1026">
        <v>340</v>
      </c>
      <c r="C1026">
        <v>3</v>
      </c>
      <c r="D1026" t="s">
        <v>21</v>
      </c>
      <c r="E1026" t="s">
        <v>22</v>
      </c>
      <c r="F1026">
        <v>32</v>
      </c>
      <c r="G1026" t="s">
        <v>25</v>
      </c>
      <c r="I1026" t="s">
        <v>32</v>
      </c>
      <c r="J1026" s="1">
        <v>45675</v>
      </c>
      <c r="K1026" t="s">
        <v>34</v>
      </c>
      <c r="L1026" t="s">
        <v>37</v>
      </c>
      <c r="M1026" t="s">
        <v>38</v>
      </c>
      <c r="N1026">
        <v>4</v>
      </c>
      <c r="O1026">
        <v>0.875</v>
      </c>
      <c r="P1026">
        <v>82.5</v>
      </c>
      <c r="Q1026" t="s">
        <v>39</v>
      </c>
      <c r="R1026" t="s">
        <v>39</v>
      </c>
      <c r="T1026" t="s">
        <v>40</v>
      </c>
      <c r="U1026" s="1">
        <v>45838</v>
      </c>
    </row>
    <row r="1027" spans="1:21" x14ac:dyDescent="0.3">
      <c r="A1027">
        <v>1021</v>
      </c>
      <c r="B1027">
        <v>341</v>
      </c>
      <c r="C1027">
        <v>1</v>
      </c>
      <c r="D1027" t="s">
        <v>19</v>
      </c>
      <c r="E1027" t="s">
        <v>22</v>
      </c>
      <c r="F1027">
        <v>29</v>
      </c>
      <c r="G1027" t="s">
        <v>29</v>
      </c>
      <c r="I1027" t="s">
        <v>33</v>
      </c>
      <c r="J1027" s="1">
        <v>45803</v>
      </c>
      <c r="K1027" t="s">
        <v>34</v>
      </c>
      <c r="L1027" t="s">
        <v>35</v>
      </c>
      <c r="M1027" t="s">
        <v>38</v>
      </c>
      <c r="N1027">
        <v>4</v>
      </c>
      <c r="O1027">
        <v>0.89583333333333337</v>
      </c>
      <c r="P1027">
        <v>57</v>
      </c>
      <c r="Q1027" t="s">
        <v>39</v>
      </c>
      <c r="R1027" t="s">
        <v>39</v>
      </c>
      <c r="T1027" t="s">
        <v>40</v>
      </c>
      <c r="U1027" s="1">
        <v>45838</v>
      </c>
    </row>
    <row r="1028" spans="1:21" x14ac:dyDescent="0.3">
      <c r="A1028">
        <v>1022</v>
      </c>
      <c r="B1028">
        <v>341</v>
      </c>
      <c r="C1028">
        <v>2</v>
      </c>
      <c r="D1028" t="s">
        <v>19</v>
      </c>
      <c r="E1028" t="s">
        <v>22</v>
      </c>
      <c r="F1028">
        <v>29</v>
      </c>
      <c r="G1028" t="s">
        <v>29</v>
      </c>
      <c r="I1028" t="s">
        <v>33</v>
      </c>
      <c r="J1028" s="1">
        <v>45803</v>
      </c>
      <c r="K1028" t="s">
        <v>34</v>
      </c>
      <c r="L1028" t="s">
        <v>36</v>
      </c>
      <c r="M1028" t="s">
        <v>38</v>
      </c>
      <c r="N1028">
        <v>4</v>
      </c>
      <c r="O1028">
        <v>0.9375</v>
      </c>
      <c r="P1028">
        <v>60</v>
      </c>
      <c r="Q1028" t="s">
        <v>39</v>
      </c>
      <c r="R1028" t="s">
        <v>39</v>
      </c>
      <c r="T1028" t="s">
        <v>40</v>
      </c>
      <c r="U1028" s="1">
        <v>45838</v>
      </c>
    </row>
    <row r="1029" spans="1:21" x14ac:dyDescent="0.3">
      <c r="A1029">
        <v>1023</v>
      </c>
      <c r="B1029">
        <v>341</v>
      </c>
      <c r="C1029">
        <v>3</v>
      </c>
      <c r="D1029" t="s">
        <v>19</v>
      </c>
      <c r="E1029" t="s">
        <v>22</v>
      </c>
      <c r="F1029">
        <v>29</v>
      </c>
      <c r="G1029" t="s">
        <v>29</v>
      </c>
      <c r="I1029" t="s">
        <v>33</v>
      </c>
      <c r="J1029" s="1">
        <v>45803</v>
      </c>
      <c r="K1029" t="s">
        <v>34</v>
      </c>
      <c r="L1029" t="s">
        <v>37</v>
      </c>
      <c r="M1029" t="s">
        <v>38</v>
      </c>
      <c r="N1029">
        <v>4</v>
      </c>
      <c r="O1029">
        <v>0.77083333333333337</v>
      </c>
      <c r="P1029">
        <v>76</v>
      </c>
      <c r="Q1029" t="s">
        <v>39</v>
      </c>
      <c r="R1029" t="s">
        <v>39</v>
      </c>
      <c r="T1029" t="s">
        <v>40</v>
      </c>
      <c r="U1029" s="1">
        <v>45838</v>
      </c>
    </row>
    <row r="1030" spans="1:21" x14ac:dyDescent="0.3">
      <c r="A1030">
        <v>1024</v>
      </c>
      <c r="B1030">
        <v>342</v>
      </c>
      <c r="C1030">
        <v>1</v>
      </c>
      <c r="D1030" t="s">
        <v>19</v>
      </c>
      <c r="E1030" t="s">
        <v>22</v>
      </c>
      <c r="F1030">
        <v>22</v>
      </c>
      <c r="G1030" t="s">
        <v>24</v>
      </c>
      <c r="I1030" t="s">
        <v>33</v>
      </c>
      <c r="J1030" s="1">
        <v>45752</v>
      </c>
      <c r="K1030" t="s">
        <v>34</v>
      </c>
      <c r="L1030" t="s">
        <v>35</v>
      </c>
      <c r="M1030" t="s">
        <v>38</v>
      </c>
      <c r="N1030">
        <v>4</v>
      </c>
      <c r="O1030">
        <v>0.8125</v>
      </c>
      <c r="P1030">
        <v>89.5</v>
      </c>
      <c r="Q1030" t="s">
        <v>39</v>
      </c>
      <c r="R1030" t="s">
        <v>40</v>
      </c>
      <c r="T1030" t="s">
        <v>40</v>
      </c>
      <c r="U1030" s="1">
        <v>45838</v>
      </c>
    </row>
    <row r="1031" spans="1:21" x14ac:dyDescent="0.3">
      <c r="A1031">
        <v>1025</v>
      </c>
      <c r="B1031">
        <v>342</v>
      </c>
      <c r="C1031">
        <v>2</v>
      </c>
      <c r="D1031" t="s">
        <v>19</v>
      </c>
      <c r="E1031" t="s">
        <v>22</v>
      </c>
      <c r="F1031">
        <v>22</v>
      </c>
      <c r="G1031" t="s">
        <v>24</v>
      </c>
      <c r="I1031" t="s">
        <v>33</v>
      </c>
      <c r="J1031" s="1">
        <v>45752</v>
      </c>
      <c r="K1031" t="s">
        <v>34</v>
      </c>
      <c r="L1031" t="s">
        <v>36</v>
      </c>
      <c r="M1031" t="s">
        <v>38</v>
      </c>
      <c r="N1031">
        <v>4</v>
      </c>
      <c r="O1031">
        <v>0.8125</v>
      </c>
      <c r="P1031">
        <v>70</v>
      </c>
      <c r="Q1031" t="s">
        <v>39</v>
      </c>
      <c r="R1031" t="s">
        <v>40</v>
      </c>
      <c r="T1031" t="s">
        <v>40</v>
      </c>
      <c r="U1031" s="1">
        <v>45838</v>
      </c>
    </row>
    <row r="1032" spans="1:21" x14ac:dyDescent="0.3">
      <c r="A1032">
        <v>1026</v>
      </c>
      <c r="B1032">
        <v>342</v>
      </c>
      <c r="C1032">
        <v>3</v>
      </c>
      <c r="D1032" t="s">
        <v>19</v>
      </c>
      <c r="E1032" t="s">
        <v>22</v>
      </c>
      <c r="F1032">
        <v>22</v>
      </c>
      <c r="G1032" t="s">
        <v>24</v>
      </c>
      <c r="I1032" t="s">
        <v>33</v>
      </c>
      <c r="J1032" s="1">
        <v>45752</v>
      </c>
      <c r="K1032" t="s">
        <v>34</v>
      </c>
      <c r="L1032" t="s">
        <v>37</v>
      </c>
      <c r="M1032" t="s">
        <v>38</v>
      </c>
      <c r="N1032">
        <v>4</v>
      </c>
      <c r="O1032">
        <v>0.85416666666666663</v>
      </c>
      <c r="P1032">
        <v>81</v>
      </c>
      <c r="Q1032" t="s">
        <v>39</v>
      </c>
      <c r="R1032" t="s">
        <v>40</v>
      </c>
      <c r="T1032" t="s">
        <v>40</v>
      </c>
      <c r="U1032" s="1">
        <v>45838</v>
      </c>
    </row>
    <row r="1033" spans="1:21" x14ac:dyDescent="0.3">
      <c r="A1033">
        <v>1027</v>
      </c>
      <c r="B1033">
        <v>343</v>
      </c>
      <c r="C1033">
        <v>1</v>
      </c>
      <c r="D1033" t="s">
        <v>20</v>
      </c>
      <c r="E1033" t="s">
        <v>23</v>
      </c>
      <c r="F1033">
        <v>32</v>
      </c>
      <c r="G1033" t="s">
        <v>25</v>
      </c>
      <c r="I1033" t="s">
        <v>32</v>
      </c>
      <c r="J1033" s="1">
        <v>45793</v>
      </c>
      <c r="K1033" t="s">
        <v>34</v>
      </c>
      <c r="L1033" t="s">
        <v>35</v>
      </c>
      <c r="M1033" t="s">
        <v>38</v>
      </c>
      <c r="N1033">
        <v>4</v>
      </c>
      <c r="O1033">
        <v>0.77083333333333337</v>
      </c>
      <c r="P1033">
        <v>68.5</v>
      </c>
      <c r="Q1033" t="s">
        <v>39</v>
      </c>
      <c r="R1033" t="s">
        <v>40</v>
      </c>
      <c r="T1033" t="s">
        <v>39</v>
      </c>
      <c r="U1033" s="1">
        <v>45838</v>
      </c>
    </row>
    <row r="1034" spans="1:21" x14ac:dyDescent="0.3">
      <c r="A1034">
        <v>1028</v>
      </c>
      <c r="B1034">
        <v>343</v>
      </c>
      <c r="C1034">
        <v>2</v>
      </c>
      <c r="D1034" t="s">
        <v>19</v>
      </c>
      <c r="E1034" t="s">
        <v>23</v>
      </c>
      <c r="F1034">
        <v>32</v>
      </c>
      <c r="G1034" t="s">
        <v>25</v>
      </c>
      <c r="I1034" t="s">
        <v>32</v>
      </c>
      <c r="J1034" s="1">
        <v>45793</v>
      </c>
      <c r="K1034" t="s">
        <v>34</v>
      </c>
      <c r="L1034" t="s">
        <v>36</v>
      </c>
      <c r="M1034" t="s">
        <v>38</v>
      </c>
      <c r="N1034">
        <v>4</v>
      </c>
      <c r="O1034">
        <v>0.85416666666666663</v>
      </c>
      <c r="P1034">
        <v>70.5</v>
      </c>
      <c r="Q1034" t="s">
        <v>39</v>
      </c>
      <c r="R1034" t="s">
        <v>40</v>
      </c>
      <c r="T1034" t="s">
        <v>39</v>
      </c>
      <c r="U1034" s="1">
        <v>45838</v>
      </c>
    </row>
    <row r="1035" spans="1:21" x14ac:dyDescent="0.3">
      <c r="A1035">
        <v>1029</v>
      </c>
      <c r="B1035">
        <v>343</v>
      </c>
      <c r="C1035">
        <v>3</v>
      </c>
      <c r="D1035" t="s">
        <v>19</v>
      </c>
      <c r="E1035" t="s">
        <v>23</v>
      </c>
      <c r="F1035">
        <v>32</v>
      </c>
      <c r="G1035" t="s">
        <v>25</v>
      </c>
      <c r="I1035" t="s">
        <v>32</v>
      </c>
      <c r="J1035" s="1">
        <v>45793</v>
      </c>
      <c r="K1035" t="s">
        <v>34</v>
      </c>
      <c r="L1035" t="s">
        <v>37</v>
      </c>
      <c r="M1035" t="s">
        <v>38</v>
      </c>
      <c r="N1035">
        <v>4</v>
      </c>
      <c r="O1035">
        <v>0.83333333333333337</v>
      </c>
      <c r="P1035">
        <v>67</v>
      </c>
      <c r="Q1035" t="s">
        <v>39</v>
      </c>
      <c r="R1035" t="s">
        <v>40</v>
      </c>
      <c r="T1035" t="s">
        <v>39</v>
      </c>
      <c r="U1035" s="1">
        <v>45838</v>
      </c>
    </row>
    <row r="1036" spans="1:21" x14ac:dyDescent="0.3">
      <c r="A1036">
        <v>1030</v>
      </c>
      <c r="B1036">
        <v>344</v>
      </c>
      <c r="C1036">
        <v>1</v>
      </c>
      <c r="D1036" t="s">
        <v>19</v>
      </c>
      <c r="E1036" t="s">
        <v>23</v>
      </c>
      <c r="F1036">
        <v>30</v>
      </c>
      <c r="G1036" t="s">
        <v>29</v>
      </c>
      <c r="I1036" t="s">
        <v>30</v>
      </c>
      <c r="J1036" s="1">
        <v>45721</v>
      </c>
      <c r="K1036" t="s">
        <v>34</v>
      </c>
      <c r="L1036" t="s">
        <v>35</v>
      </c>
      <c r="M1036" t="s">
        <v>38</v>
      </c>
      <c r="N1036">
        <v>4</v>
      </c>
      <c r="O1036">
        <v>0.9375</v>
      </c>
      <c r="P1036">
        <v>51.5</v>
      </c>
      <c r="Q1036" t="s">
        <v>40</v>
      </c>
      <c r="R1036" t="s">
        <v>40</v>
      </c>
      <c r="T1036" t="s">
        <v>40</v>
      </c>
      <c r="U1036" s="1">
        <v>45838</v>
      </c>
    </row>
    <row r="1037" spans="1:21" x14ac:dyDescent="0.3">
      <c r="A1037">
        <v>1031</v>
      </c>
      <c r="B1037">
        <v>344</v>
      </c>
      <c r="C1037">
        <v>2</v>
      </c>
      <c r="D1037" t="s">
        <v>19</v>
      </c>
      <c r="E1037" t="s">
        <v>23</v>
      </c>
      <c r="F1037">
        <v>30</v>
      </c>
      <c r="G1037" t="s">
        <v>29</v>
      </c>
      <c r="I1037" t="s">
        <v>30</v>
      </c>
      <c r="J1037" s="1">
        <v>45721</v>
      </c>
      <c r="K1037" t="s">
        <v>34</v>
      </c>
      <c r="L1037" t="s">
        <v>36</v>
      </c>
      <c r="M1037" t="s">
        <v>38</v>
      </c>
      <c r="N1037">
        <v>4</v>
      </c>
      <c r="O1037">
        <v>0.89583333333333337</v>
      </c>
      <c r="P1037">
        <v>56.5</v>
      </c>
      <c r="Q1037" t="s">
        <v>40</v>
      </c>
      <c r="R1037" t="s">
        <v>40</v>
      </c>
      <c r="T1037" t="s">
        <v>40</v>
      </c>
      <c r="U1037" s="1">
        <v>45838</v>
      </c>
    </row>
    <row r="1038" spans="1:21" x14ac:dyDescent="0.3">
      <c r="A1038">
        <v>1032</v>
      </c>
      <c r="B1038">
        <v>344</v>
      </c>
      <c r="C1038">
        <v>3</v>
      </c>
      <c r="D1038" t="s">
        <v>19</v>
      </c>
      <c r="E1038" t="s">
        <v>23</v>
      </c>
      <c r="F1038">
        <v>30</v>
      </c>
      <c r="G1038" t="s">
        <v>29</v>
      </c>
      <c r="I1038" t="s">
        <v>30</v>
      </c>
      <c r="J1038" s="1">
        <v>45721</v>
      </c>
      <c r="K1038" t="s">
        <v>34</v>
      </c>
      <c r="L1038" t="s">
        <v>37</v>
      </c>
      <c r="M1038" t="s">
        <v>38</v>
      </c>
      <c r="N1038">
        <v>4</v>
      </c>
      <c r="O1038">
        <v>0.75</v>
      </c>
      <c r="P1038">
        <v>64.5</v>
      </c>
      <c r="Q1038" t="s">
        <v>40</v>
      </c>
      <c r="R1038" t="s">
        <v>40</v>
      </c>
      <c r="T1038" t="s">
        <v>40</v>
      </c>
      <c r="U1038" s="1">
        <v>45838</v>
      </c>
    </row>
    <row r="1039" spans="1:21" x14ac:dyDescent="0.3">
      <c r="A1039">
        <v>1033</v>
      </c>
      <c r="B1039">
        <v>345</v>
      </c>
      <c r="C1039">
        <v>1</v>
      </c>
      <c r="D1039" t="s">
        <v>21</v>
      </c>
      <c r="E1039" t="s">
        <v>22</v>
      </c>
      <c r="F1039">
        <v>18</v>
      </c>
      <c r="G1039" t="s">
        <v>24</v>
      </c>
      <c r="I1039" t="s">
        <v>32</v>
      </c>
      <c r="J1039" s="1">
        <v>45785</v>
      </c>
      <c r="K1039" t="s">
        <v>34</v>
      </c>
      <c r="L1039" t="s">
        <v>35</v>
      </c>
      <c r="M1039" t="s">
        <v>38</v>
      </c>
      <c r="N1039">
        <v>4</v>
      </c>
      <c r="O1039">
        <v>0.875</v>
      </c>
      <c r="P1039">
        <v>70.5</v>
      </c>
      <c r="Q1039" t="s">
        <v>39</v>
      </c>
      <c r="R1039" t="s">
        <v>39</v>
      </c>
      <c r="T1039" t="s">
        <v>40</v>
      </c>
      <c r="U1039" s="1">
        <v>45838</v>
      </c>
    </row>
    <row r="1040" spans="1:21" x14ac:dyDescent="0.3">
      <c r="A1040">
        <v>1034</v>
      </c>
      <c r="B1040">
        <v>345</v>
      </c>
      <c r="C1040">
        <v>2</v>
      </c>
      <c r="D1040" t="s">
        <v>21</v>
      </c>
      <c r="E1040" t="s">
        <v>22</v>
      </c>
      <c r="F1040">
        <v>18</v>
      </c>
      <c r="G1040" t="s">
        <v>24</v>
      </c>
      <c r="I1040" t="s">
        <v>32</v>
      </c>
      <c r="J1040" s="1">
        <v>45785</v>
      </c>
      <c r="K1040" t="s">
        <v>34</v>
      </c>
      <c r="L1040" t="s">
        <v>36</v>
      </c>
      <c r="M1040" t="s">
        <v>38</v>
      </c>
      <c r="N1040">
        <v>4</v>
      </c>
      <c r="O1040">
        <v>0.83333333333333337</v>
      </c>
      <c r="P1040">
        <v>81.5</v>
      </c>
      <c r="Q1040" t="s">
        <v>39</v>
      </c>
      <c r="R1040" t="s">
        <v>39</v>
      </c>
      <c r="T1040" t="s">
        <v>40</v>
      </c>
      <c r="U1040" s="1">
        <v>45838</v>
      </c>
    </row>
    <row r="1041" spans="1:21" x14ac:dyDescent="0.3">
      <c r="A1041">
        <v>1035</v>
      </c>
      <c r="B1041">
        <v>345</v>
      </c>
      <c r="C1041">
        <v>3</v>
      </c>
      <c r="D1041" t="s">
        <v>21</v>
      </c>
      <c r="E1041" t="s">
        <v>22</v>
      </c>
      <c r="F1041">
        <v>18</v>
      </c>
      <c r="G1041" t="s">
        <v>24</v>
      </c>
      <c r="I1041" t="s">
        <v>32</v>
      </c>
      <c r="J1041" s="1">
        <v>45785</v>
      </c>
      <c r="K1041" t="s">
        <v>34</v>
      </c>
      <c r="L1041" t="s">
        <v>37</v>
      </c>
      <c r="M1041" t="s">
        <v>38</v>
      </c>
      <c r="N1041">
        <v>4</v>
      </c>
      <c r="O1041">
        <v>0.70833333333333337</v>
      </c>
      <c r="P1041">
        <v>70.5</v>
      </c>
      <c r="Q1041" t="s">
        <v>39</v>
      </c>
      <c r="R1041" t="s">
        <v>39</v>
      </c>
      <c r="T1041" t="s">
        <v>40</v>
      </c>
      <c r="U1041" s="1">
        <v>45838</v>
      </c>
    </row>
    <row r="1042" spans="1:21" x14ac:dyDescent="0.3">
      <c r="A1042">
        <v>1036</v>
      </c>
      <c r="B1042">
        <v>346</v>
      </c>
      <c r="C1042">
        <v>1</v>
      </c>
      <c r="D1042" t="s">
        <v>19</v>
      </c>
      <c r="E1042" t="s">
        <v>23</v>
      </c>
      <c r="F1042">
        <v>35</v>
      </c>
      <c r="G1042" t="s">
        <v>25</v>
      </c>
      <c r="I1042" t="s">
        <v>30</v>
      </c>
      <c r="J1042" s="1">
        <v>45724</v>
      </c>
      <c r="K1042" t="s">
        <v>34</v>
      </c>
      <c r="L1042" t="s">
        <v>35</v>
      </c>
      <c r="M1042" t="s">
        <v>38</v>
      </c>
      <c r="N1042">
        <v>4</v>
      </c>
      <c r="O1042">
        <v>0.83333333333333337</v>
      </c>
      <c r="P1042">
        <v>82</v>
      </c>
      <c r="Q1042" t="s">
        <v>39</v>
      </c>
      <c r="R1042" t="s">
        <v>39</v>
      </c>
      <c r="T1042" t="s">
        <v>40</v>
      </c>
      <c r="U1042" s="1">
        <v>45838</v>
      </c>
    </row>
    <row r="1043" spans="1:21" x14ac:dyDescent="0.3">
      <c r="A1043">
        <v>1037</v>
      </c>
      <c r="B1043">
        <v>346</v>
      </c>
      <c r="C1043">
        <v>2</v>
      </c>
      <c r="D1043" t="s">
        <v>21</v>
      </c>
      <c r="E1043" t="s">
        <v>23</v>
      </c>
      <c r="F1043">
        <v>35</v>
      </c>
      <c r="G1043" t="s">
        <v>25</v>
      </c>
      <c r="I1043" t="s">
        <v>30</v>
      </c>
      <c r="J1043" s="1">
        <v>45724</v>
      </c>
      <c r="K1043" t="s">
        <v>34</v>
      </c>
      <c r="L1043" t="s">
        <v>36</v>
      </c>
      <c r="M1043" t="s">
        <v>38</v>
      </c>
      <c r="N1043">
        <v>4</v>
      </c>
      <c r="O1043">
        <v>0.77083333333333337</v>
      </c>
      <c r="P1043">
        <v>85</v>
      </c>
      <c r="Q1043" t="s">
        <v>39</v>
      </c>
      <c r="R1043" t="s">
        <v>39</v>
      </c>
      <c r="T1043" t="s">
        <v>40</v>
      </c>
      <c r="U1043" s="1">
        <v>45838</v>
      </c>
    </row>
    <row r="1044" spans="1:21" x14ac:dyDescent="0.3">
      <c r="A1044">
        <v>1038</v>
      </c>
      <c r="B1044">
        <v>346</v>
      </c>
      <c r="C1044">
        <v>3</v>
      </c>
      <c r="D1044" t="s">
        <v>19</v>
      </c>
      <c r="E1044" t="s">
        <v>23</v>
      </c>
      <c r="F1044">
        <v>35</v>
      </c>
      <c r="G1044" t="s">
        <v>25</v>
      </c>
      <c r="I1044" t="s">
        <v>30</v>
      </c>
      <c r="J1044" s="1">
        <v>45724</v>
      </c>
      <c r="K1044" t="s">
        <v>34</v>
      </c>
      <c r="L1044" t="s">
        <v>37</v>
      </c>
      <c r="M1044" t="s">
        <v>38</v>
      </c>
      <c r="N1044">
        <v>4</v>
      </c>
      <c r="O1044">
        <v>0.875</v>
      </c>
      <c r="P1044">
        <v>70</v>
      </c>
      <c r="Q1044" t="s">
        <v>39</v>
      </c>
      <c r="R1044" t="s">
        <v>39</v>
      </c>
      <c r="T1044" t="s">
        <v>40</v>
      </c>
      <c r="U1044" s="1">
        <v>45838</v>
      </c>
    </row>
    <row r="1045" spans="1:21" x14ac:dyDescent="0.3">
      <c r="A1045">
        <v>1039</v>
      </c>
      <c r="B1045">
        <v>347</v>
      </c>
      <c r="C1045">
        <v>1</v>
      </c>
      <c r="D1045" t="s">
        <v>19</v>
      </c>
      <c r="E1045" t="s">
        <v>23</v>
      </c>
      <c r="F1045">
        <v>24</v>
      </c>
      <c r="G1045" t="s">
        <v>26</v>
      </c>
      <c r="I1045" t="s">
        <v>30</v>
      </c>
      <c r="J1045" s="1">
        <v>45783</v>
      </c>
      <c r="K1045" t="s">
        <v>34</v>
      </c>
      <c r="L1045" t="s">
        <v>35</v>
      </c>
      <c r="M1045" t="s">
        <v>38</v>
      </c>
      <c r="N1045">
        <v>4</v>
      </c>
      <c r="O1045">
        <v>0.77083333333333337</v>
      </c>
      <c r="P1045">
        <v>95.5</v>
      </c>
      <c r="Q1045" t="s">
        <v>39</v>
      </c>
      <c r="R1045" t="s">
        <v>39</v>
      </c>
      <c r="T1045" t="s">
        <v>40</v>
      </c>
      <c r="U1045" s="1">
        <v>45838</v>
      </c>
    </row>
    <row r="1046" spans="1:21" x14ac:dyDescent="0.3">
      <c r="A1046">
        <v>1040</v>
      </c>
      <c r="B1046">
        <v>347</v>
      </c>
      <c r="C1046">
        <v>2</v>
      </c>
      <c r="D1046" t="s">
        <v>19</v>
      </c>
      <c r="E1046" t="s">
        <v>23</v>
      </c>
      <c r="F1046">
        <v>24</v>
      </c>
      <c r="G1046" t="s">
        <v>26</v>
      </c>
      <c r="I1046" t="s">
        <v>30</v>
      </c>
      <c r="J1046" s="1">
        <v>45783</v>
      </c>
      <c r="K1046" t="s">
        <v>34</v>
      </c>
      <c r="L1046" t="s">
        <v>36</v>
      </c>
      <c r="M1046" t="s">
        <v>38</v>
      </c>
      <c r="N1046">
        <v>4</v>
      </c>
      <c r="O1046">
        <v>0.77083333333333337</v>
      </c>
      <c r="P1046">
        <v>86</v>
      </c>
      <c r="Q1046" t="s">
        <v>39</v>
      </c>
      <c r="R1046" t="s">
        <v>39</v>
      </c>
      <c r="T1046" t="s">
        <v>40</v>
      </c>
      <c r="U1046" s="1">
        <v>45838</v>
      </c>
    </row>
    <row r="1047" spans="1:21" x14ac:dyDescent="0.3">
      <c r="A1047">
        <v>1041</v>
      </c>
      <c r="B1047">
        <v>347</v>
      </c>
      <c r="C1047">
        <v>3</v>
      </c>
      <c r="D1047" t="s">
        <v>19</v>
      </c>
      <c r="E1047" t="s">
        <v>23</v>
      </c>
      <c r="F1047">
        <v>24</v>
      </c>
      <c r="G1047" t="s">
        <v>26</v>
      </c>
      <c r="I1047" t="s">
        <v>30</v>
      </c>
      <c r="J1047" s="1">
        <v>45783</v>
      </c>
      <c r="K1047" t="s">
        <v>34</v>
      </c>
      <c r="L1047" t="s">
        <v>37</v>
      </c>
      <c r="M1047" t="s">
        <v>38</v>
      </c>
      <c r="N1047">
        <v>4</v>
      </c>
      <c r="O1047">
        <v>0.8125</v>
      </c>
      <c r="P1047">
        <v>89.5</v>
      </c>
      <c r="Q1047" t="s">
        <v>39</v>
      </c>
      <c r="R1047" t="s">
        <v>39</v>
      </c>
      <c r="T1047" t="s">
        <v>40</v>
      </c>
      <c r="U1047" s="1">
        <v>45838</v>
      </c>
    </row>
    <row r="1048" spans="1:21" x14ac:dyDescent="0.3">
      <c r="A1048">
        <v>1042</v>
      </c>
      <c r="B1048">
        <v>348</v>
      </c>
      <c r="C1048">
        <v>1</v>
      </c>
      <c r="D1048" t="s">
        <v>19</v>
      </c>
      <c r="E1048" t="s">
        <v>22</v>
      </c>
      <c r="F1048">
        <v>21</v>
      </c>
      <c r="G1048" t="s">
        <v>28</v>
      </c>
      <c r="I1048" t="s">
        <v>31</v>
      </c>
      <c r="J1048" s="1">
        <v>45773</v>
      </c>
      <c r="K1048" t="s">
        <v>34</v>
      </c>
      <c r="L1048" t="s">
        <v>35</v>
      </c>
      <c r="M1048" t="s">
        <v>38</v>
      </c>
      <c r="N1048">
        <v>4</v>
      </c>
      <c r="O1048">
        <v>0.79166666666666663</v>
      </c>
      <c r="P1048">
        <v>67</v>
      </c>
      <c r="Q1048" t="s">
        <v>39</v>
      </c>
      <c r="R1048" t="s">
        <v>40</v>
      </c>
      <c r="T1048" t="s">
        <v>39</v>
      </c>
      <c r="U1048" s="1">
        <v>45838</v>
      </c>
    </row>
    <row r="1049" spans="1:21" x14ac:dyDescent="0.3">
      <c r="A1049">
        <v>1043</v>
      </c>
      <c r="B1049">
        <v>348</v>
      </c>
      <c r="C1049">
        <v>2</v>
      </c>
      <c r="D1049" t="s">
        <v>19</v>
      </c>
      <c r="E1049" t="s">
        <v>22</v>
      </c>
      <c r="F1049">
        <v>21</v>
      </c>
      <c r="G1049" t="s">
        <v>28</v>
      </c>
      <c r="I1049" t="s">
        <v>31</v>
      </c>
      <c r="J1049" s="1">
        <v>45773</v>
      </c>
      <c r="K1049" t="s">
        <v>34</v>
      </c>
      <c r="L1049" t="s">
        <v>36</v>
      </c>
      <c r="M1049" t="s">
        <v>38</v>
      </c>
      <c r="N1049">
        <v>4</v>
      </c>
      <c r="O1049">
        <v>0.85416666666666663</v>
      </c>
      <c r="P1049">
        <v>90</v>
      </c>
      <c r="Q1049" t="s">
        <v>39</v>
      </c>
      <c r="R1049" t="s">
        <v>40</v>
      </c>
      <c r="T1049" t="s">
        <v>39</v>
      </c>
      <c r="U1049" s="1">
        <v>45838</v>
      </c>
    </row>
    <row r="1050" spans="1:21" x14ac:dyDescent="0.3">
      <c r="A1050">
        <v>1044</v>
      </c>
      <c r="B1050">
        <v>348</v>
      </c>
      <c r="C1050">
        <v>3</v>
      </c>
      <c r="D1050" t="s">
        <v>19</v>
      </c>
      <c r="E1050" t="s">
        <v>22</v>
      </c>
      <c r="F1050">
        <v>21</v>
      </c>
      <c r="G1050" t="s">
        <v>28</v>
      </c>
      <c r="I1050" t="s">
        <v>31</v>
      </c>
      <c r="J1050" s="1">
        <v>45773</v>
      </c>
      <c r="K1050" t="s">
        <v>34</v>
      </c>
      <c r="L1050" t="s">
        <v>37</v>
      </c>
      <c r="M1050" t="s">
        <v>38</v>
      </c>
      <c r="N1050">
        <v>4</v>
      </c>
      <c r="O1050">
        <v>0.85416666666666663</v>
      </c>
      <c r="P1050">
        <v>75</v>
      </c>
      <c r="Q1050" t="s">
        <v>39</v>
      </c>
      <c r="R1050" t="s">
        <v>40</v>
      </c>
      <c r="T1050" t="s">
        <v>39</v>
      </c>
      <c r="U1050" s="1">
        <v>45838</v>
      </c>
    </row>
    <row r="1051" spans="1:21" x14ac:dyDescent="0.3">
      <c r="A1051">
        <v>1045</v>
      </c>
      <c r="B1051">
        <v>349</v>
      </c>
      <c r="C1051">
        <v>1</v>
      </c>
      <c r="D1051" t="s">
        <v>20</v>
      </c>
      <c r="E1051" t="s">
        <v>22</v>
      </c>
      <c r="F1051">
        <v>32</v>
      </c>
      <c r="G1051" t="s">
        <v>25</v>
      </c>
      <c r="I1051" t="s">
        <v>30</v>
      </c>
      <c r="J1051" s="1">
        <v>45746</v>
      </c>
      <c r="K1051" t="s">
        <v>34</v>
      </c>
      <c r="L1051" t="s">
        <v>35</v>
      </c>
      <c r="M1051" t="s">
        <v>38</v>
      </c>
      <c r="N1051">
        <v>4</v>
      </c>
      <c r="O1051">
        <v>0.875</v>
      </c>
      <c r="P1051">
        <v>71.5</v>
      </c>
      <c r="Q1051" t="s">
        <v>39</v>
      </c>
      <c r="R1051" t="s">
        <v>39</v>
      </c>
      <c r="T1051" t="s">
        <v>39</v>
      </c>
      <c r="U1051" s="1">
        <v>45838</v>
      </c>
    </row>
    <row r="1052" spans="1:21" x14ac:dyDescent="0.3">
      <c r="A1052">
        <v>1046</v>
      </c>
      <c r="B1052">
        <v>349</v>
      </c>
      <c r="C1052">
        <v>2</v>
      </c>
      <c r="D1052" t="s">
        <v>19</v>
      </c>
      <c r="E1052" t="s">
        <v>22</v>
      </c>
      <c r="F1052">
        <v>32</v>
      </c>
      <c r="G1052" t="s">
        <v>25</v>
      </c>
      <c r="I1052" t="s">
        <v>30</v>
      </c>
      <c r="J1052" s="1">
        <v>45746</v>
      </c>
      <c r="K1052" t="s">
        <v>34</v>
      </c>
      <c r="L1052" t="s">
        <v>36</v>
      </c>
      <c r="M1052" t="s">
        <v>38</v>
      </c>
      <c r="N1052">
        <v>4</v>
      </c>
      <c r="O1052">
        <v>0.79166666666666663</v>
      </c>
      <c r="P1052">
        <v>81</v>
      </c>
      <c r="Q1052" t="s">
        <v>39</v>
      </c>
      <c r="R1052" t="s">
        <v>39</v>
      </c>
      <c r="T1052" t="s">
        <v>39</v>
      </c>
      <c r="U1052" s="1">
        <v>45838</v>
      </c>
    </row>
    <row r="1053" spans="1:21" x14ac:dyDescent="0.3">
      <c r="A1053">
        <v>1047</v>
      </c>
      <c r="B1053">
        <v>349</v>
      </c>
      <c r="C1053">
        <v>3</v>
      </c>
      <c r="D1053" t="s">
        <v>19</v>
      </c>
      <c r="E1053" t="s">
        <v>22</v>
      </c>
      <c r="F1053">
        <v>32</v>
      </c>
      <c r="G1053" t="s">
        <v>25</v>
      </c>
      <c r="I1053" t="s">
        <v>30</v>
      </c>
      <c r="J1053" s="1">
        <v>45746</v>
      </c>
      <c r="K1053" t="s">
        <v>34</v>
      </c>
      <c r="L1053" t="s">
        <v>37</v>
      </c>
      <c r="M1053" t="s">
        <v>38</v>
      </c>
      <c r="N1053">
        <v>4</v>
      </c>
      <c r="O1053">
        <v>0.875</v>
      </c>
      <c r="P1053">
        <v>91</v>
      </c>
      <c r="Q1053" t="s">
        <v>39</v>
      </c>
      <c r="R1053" t="s">
        <v>39</v>
      </c>
      <c r="T1053" t="s">
        <v>39</v>
      </c>
      <c r="U1053" s="1">
        <v>45838</v>
      </c>
    </row>
    <row r="1054" spans="1:21" x14ac:dyDescent="0.3">
      <c r="A1054">
        <v>1048</v>
      </c>
      <c r="B1054">
        <v>350</v>
      </c>
      <c r="C1054">
        <v>1</v>
      </c>
      <c r="D1054" t="s">
        <v>19</v>
      </c>
      <c r="E1054" t="s">
        <v>22</v>
      </c>
      <c r="F1054">
        <v>35</v>
      </c>
      <c r="G1054" t="s">
        <v>26</v>
      </c>
      <c r="I1054" t="s">
        <v>30</v>
      </c>
      <c r="J1054" s="1">
        <v>45734</v>
      </c>
      <c r="K1054" t="s">
        <v>34</v>
      </c>
      <c r="L1054" t="s">
        <v>35</v>
      </c>
      <c r="M1054" t="s">
        <v>38</v>
      </c>
      <c r="N1054">
        <v>4</v>
      </c>
      <c r="O1054">
        <v>0.79166666666666663</v>
      </c>
      <c r="P1054">
        <v>49.5</v>
      </c>
      <c r="Q1054" t="s">
        <v>39</v>
      </c>
      <c r="R1054" t="s">
        <v>40</v>
      </c>
      <c r="T1054" t="s">
        <v>40</v>
      </c>
      <c r="U1054" s="1">
        <v>45838</v>
      </c>
    </row>
    <row r="1055" spans="1:21" x14ac:dyDescent="0.3">
      <c r="A1055">
        <v>1049</v>
      </c>
      <c r="B1055">
        <v>350</v>
      </c>
      <c r="C1055">
        <v>2</v>
      </c>
      <c r="D1055" t="s">
        <v>21</v>
      </c>
      <c r="E1055" t="s">
        <v>22</v>
      </c>
      <c r="F1055">
        <v>35</v>
      </c>
      <c r="G1055" t="s">
        <v>26</v>
      </c>
      <c r="I1055" t="s">
        <v>30</v>
      </c>
      <c r="J1055" s="1">
        <v>45734</v>
      </c>
      <c r="K1055" t="s">
        <v>34</v>
      </c>
      <c r="L1055" t="s">
        <v>36</v>
      </c>
      <c r="M1055" t="s">
        <v>38</v>
      </c>
      <c r="N1055">
        <v>4</v>
      </c>
      <c r="O1055">
        <v>0.75</v>
      </c>
      <c r="P1055">
        <v>72.5</v>
      </c>
      <c r="Q1055" t="s">
        <v>39</v>
      </c>
      <c r="R1055" t="s">
        <v>40</v>
      </c>
      <c r="T1055" t="s">
        <v>40</v>
      </c>
      <c r="U1055" s="1">
        <v>45838</v>
      </c>
    </row>
    <row r="1056" spans="1:21" x14ac:dyDescent="0.3">
      <c r="A1056">
        <v>1050</v>
      </c>
      <c r="B1056">
        <v>350</v>
      </c>
      <c r="C1056">
        <v>3</v>
      </c>
      <c r="D1056" t="s">
        <v>19</v>
      </c>
      <c r="E1056" t="s">
        <v>22</v>
      </c>
      <c r="F1056">
        <v>35</v>
      </c>
      <c r="G1056" t="s">
        <v>26</v>
      </c>
      <c r="I1056" t="s">
        <v>30</v>
      </c>
      <c r="J1056" s="1">
        <v>45734</v>
      </c>
      <c r="K1056" t="s">
        <v>34</v>
      </c>
      <c r="L1056" t="s">
        <v>37</v>
      </c>
      <c r="M1056" t="s">
        <v>38</v>
      </c>
      <c r="N1056">
        <v>4</v>
      </c>
      <c r="O1056">
        <v>0.85416666666666663</v>
      </c>
      <c r="P1056">
        <v>67</v>
      </c>
      <c r="Q1056" t="s">
        <v>39</v>
      </c>
      <c r="R1056" t="s">
        <v>40</v>
      </c>
      <c r="T1056" t="s">
        <v>40</v>
      </c>
      <c r="U1056" s="1">
        <v>45838</v>
      </c>
    </row>
    <row r="1057" spans="1:21" x14ac:dyDescent="0.3">
      <c r="A1057">
        <v>1051</v>
      </c>
      <c r="B1057">
        <v>351</v>
      </c>
      <c r="C1057">
        <v>1</v>
      </c>
      <c r="D1057" t="s">
        <v>19</v>
      </c>
      <c r="E1057" t="s">
        <v>22</v>
      </c>
      <c r="F1057">
        <v>23</v>
      </c>
      <c r="G1057" t="s">
        <v>29</v>
      </c>
      <c r="I1057" t="s">
        <v>32</v>
      </c>
      <c r="J1057" s="1">
        <v>45689</v>
      </c>
      <c r="K1057" t="s">
        <v>34</v>
      </c>
      <c r="L1057" t="s">
        <v>35</v>
      </c>
      <c r="M1057" t="s">
        <v>38</v>
      </c>
      <c r="N1057">
        <v>4</v>
      </c>
      <c r="O1057">
        <v>0.875</v>
      </c>
      <c r="P1057">
        <v>53.5</v>
      </c>
      <c r="Q1057" t="s">
        <v>39</v>
      </c>
      <c r="R1057" t="s">
        <v>39</v>
      </c>
      <c r="T1057" t="s">
        <v>40</v>
      </c>
      <c r="U1057" s="1">
        <v>45838</v>
      </c>
    </row>
    <row r="1058" spans="1:21" x14ac:dyDescent="0.3">
      <c r="A1058">
        <v>1052</v>
      </c>
      <c r="B1058">
        <v>351</v>
      </c>
      <c r="C1058">
        <v>2</v>
      </c>
      <c r="D1058" t="s">
        <v>21</v>
      </c>
      <c r="E1058" t="s">
        <v>22</v>
      </c>
      <c r="F1058">
        <v>23</v>
      </c>
      <c r="G1058" t="s">
        <v>29</v>
      </c>
      <c r="I1058" t="s">
        <v>32</v>
      </c>
      <c r="J1058" s="1">
        <v>45689</v>
      </c>
      <c r="K1058" t="s">
        <v>34</v>
      </c>
      <c r="L1058" t="s">
        <v>36</v>
      </c>
      <c r="M1058" t="s">
        <v>38</v>
      </c>
      <c r="N1058">
        <v>4</v>
      </c>
      <c r="O1058">
        <v>0.9375</v>
      </c>
      <c r="P1058">
        <v>73</v>
      </c>
      <c r="Q1058" t="s">
        <v>39</v>
      </c>
      <c r="R1058" t="s">
        <v>39</v>
      </c>
      <c r="T1058" t="s">
        <v>40</v>
      </c>
      <c r="U1058" s="1">
        <v>45838</v>
      </c>
    </row>
    <row r="1059" spans="1:21" x14ac:dyDescent="0.3">
      <c r="A1059">
        <v>1053</v>
      </c>
      <c r="B1059">
        <v>351</v>
      </c>
      <c r="C1059">
        <v>3</v>
      </c>
      <c r="D1059" t="s">
        <v>19</v>
      </c>
      <c r="E1059" t="s">
        <v>22</v>
      </c>
      <c r="F1059">
        <v>23</v>
      </c>
      <c r="G1059" t="s">
        <v>29</v>
      </c>
      <c r="I1059" t="s">
        <v>32</v>
      </c>
      <c r="J1059" s="1">
        <v>45689</v>
      </c>
      <c r="K1059" t="s">
        <v>34</v>
      </c>
      <c r="L1059" t="s">
        <v>37</v>
      </c>
      <c r="M1059" t="s">
        <v>38</v>
      </c>
      <c r="N1059">
        <v>4</v>
      </c>
      <c r="O1059">
        <v>0.83333333333333337</v>
      </c>
      <c r="P1059">
        <v>85.5</v>
      </c>
      <c r="Q1059" t="s">
        <v>39</v>
      </c>
      <c r="R1059" t="s">
        <v>39</v>
      </c>
      <c r="T1059" t="s">
        <v>40</v>
      </c>
      <c r="U1059" s="1">
        <v>45838</v>
      </c>
    </row>
    <row r="1060" spans="1:21" x14ac:dyDescent="0.3">
      <c r="A1060">
        <v>1054</v>
      </c>
      <c r="B1060">
        <v>352</v>
      </c>
      <c r="C1060">
        <v>1</v>
      </c>
      <c r="D1060" t="s">
        <v>19</v>
      </c>
      <c r="E1060" t="s">
        <v>22</v>
      </c>
      <c r="F1060">
        <v>22</v>
      </c>
      <c r="G1060" t="s">
        <v>28</v>
      </c>
      <c r="I1060" t="s">
        <v>33</v>
      </c>
      <c r="J1060" s="1">
        <v>45664</v>
      </c>
      <c r="K1060" t="s">
        <v>34</v>
      </c>
      <c r="L1060" t="s">
        <v>35</v>
      </c>
      <c r="M1060" t="s">
        <v>38</v>
      </c>
      <c r="N1060">
        <v>4</v>
      </c>
      <c r="O1060">
        <v>0.8125</v>
      </c>
      <c r="P1060">
        <v>61</v>
      </c>
      <c r="Q1060" t="s">
        <v>39</v>
      </c>
      <c r="R1060" t="s">
        <v>39</v>
      </c>
      <c r="T1060" t="s">
        <v>40</v>
      </c>
      <c r="U1060" s="1">
        <v>45838</v>
      </c>
    </row>
    <row r="1061" spans="1:21" x14ac:dyDescent="0.3">
      <c r="A1061">
        <v>1055</v>
      </c>
      <c r="B1061">
        <v>352</v>
      </c>
      <c r="C1061">
        <v>2</v>
      </c>
      <c r="D1061" t="s">
        <v>21</v>
      </c>
      <c r="E1061" t="s">
        <v>22</v>
      </c>
      <c r="F1061">
        <v>22</v>
      </c>
      <c r="G1061" t="s">
        <v>28</v>
      </c>
      <c r="I1061" t="s">
        <v>33</v>
      </c>
      <c r="J1061" s="1">
        <v>45664</v>
      </c>
      <c r="K1061" t="s">
        <v>34</v>
      </c>
      <c r="L1061" t="s">
        <v>36</v>
      </c>
      <c r="M1061" t="s">
        <v>38</v>
      </c>
      <c r="N1061">
        <v>4</v>
      </c>
      <c r="O1061">
        <v>0.89583333333333337</v>
      </c>
      <c r="P1061">
        <v>80.5</v>
      </c>
      <c r="Q1061" t="s">
        <v>39</v>
      </c>
      <c r="R1061" t="s">
        <v>39</v>
      </c>
      <c r="T1061" t="s">
        <v>40</v>
      </c>
      <c r="U1061" s="1">
        <v>45838</v>
      </c>
    </row>
    <row r="1062" spans="1:21" x14ac:dyDescent="0.3">
      <c r="A1062">
        <v>1056</v>
      </c>
      <c r="B1062">
        <v>352</v>
      </c>
      <c r="C1062">
        <v>3</v>
      </c>
      <c r="D1062" t="s">
        <v>20</v>
      </c>
      <c r="E1062" t="s">
        <v>22</v>
      </c>
      <c r="F1062">
        <v>22</v>
      </c>
      <c r="G1062" t="s">
        <v>28</v>
      </c>
      <c r="I1062" t="s">
        <v>33</v>
      </c>
      <c r="J1062" s="1">
        <v>45664</v>
      </c>
      <c r="K1062" t="s">
        <v>34</v>
      </c>
      <c r="L1062" t="s">
        <v>37</v>
      </c>
      <c r="M1062" t="s">
        <v>38</v>
      </c>
      <c r="N1062">
        <v>4</v>
      </c>
      <c r="O1062">
        <v>0.70833333333333337</v>
      </c>
      <c r="P1062">
        <v>65.5</v>
      </c>
      <c r="Q1062" t="s">
        <v>39</v>
      </c>
      <c r="R1062" t="s">
        <v>39</v>
      </c>
      <c r="T1062" t="s">
        <v>40</v>
      </c>
      <c r="U1062" s="1">
        <v>45838</v>
      </c>
    </row>
    <row r="1063" spans="1:21" x14ac:dyDescent="0.3">
      <c r="A1063">
        <v>1057</v>
      </c>
      <c r="B1063">
        <v>353</v>
      </c>
      <c r="C1063">
        <v>1</v>
      </c>
      <c r="D1063" t="s">
        <v>19</v>
      </c>
      <c r="E1063" t="s">
        <v>23</v>
      </c>
      <c r="F1063">
        <v>35</v>
      </c>
      <c r="G1063" t="s">
        <v>26</v>
      </c>
      <c r="I1063" t="s">
        <v>30</v>
      </c>
      <c r="J1063" s="1">
        <v>45777</v>
      </c>
      <c r="K1063" t="s">
        <v>34</v>
      </c>
      <c r="L1063" t="s">
        <v>35</v>
      </c>
      <c r="M1063" t="s">
        <v>38</v>
      </c>
      <c r="N1063">
        <v>4</v>
      </c>
      <c r="O1063">
        <v>0.79166666666666663</v>
      </c>
      <c r="P1063">
        <v>78.5</v>
      </c>
      <c r="Q1063" t="s">
        <v>39</v>
      </c>
      <c r="R1063" t="s">
        <v>39</v>
      </c>
      <c r="T1063" t="s">
        <v>40</v>
      </c>
      <c r="U1063" s="1">
        <v>45838</v>
      </c>
    </row>
    <row r="1064" spans="1:21" x14ac:dyDescent="0.3">
      <c r="A1064">
        <v>1058</v>
      </c>
      <c r="B1064">
        <v>353</v>
      </c>
      <c r="C1064">
        <v>2</v>
      </c>
      <c r="D1064" t="s">
        <v>21</v>
      </c>
      <c r="E1064" t="s">
        <v>23</v>
      </c>
      <c r="F1064">
        <v>35</v>
      </c>
      <c r="G1064" t="s">
        <v>26</v>
      </c>
      <c r="I1064" t="s">
        <v>30</v>
      </c>
      <c r="J1064" s="1">
        <v>45777</v>
      </c>
      <c r="K1064" t="s">
        <v>34</v>
      </c>
      <c r="L1064" t="s">
        <v>36</v>
      </c>
      <c r="M1064" t="s">
        <v>38</v>
      </c>
      <c r="N1064">
        <v>4</v>
      </c>
      <c r="O1064">
        <v>0.8125</v>
      </c>
      <c r="P1064">
        <v>75</v>
      </c>
      <c r="Q1064" t="s">
        <v>39</v>
      </c>
      <c r="R1064" t="s">
        <v>39</v>
      </c>
      <c r="T1064" t="s">
        <v>40</v>
      </c>
      <c r="U1064" s="1">
        <v>45838</v>
      </c>
    </row>
    <row r="1065" spans="1:21" x14ac:dyDescent="0.3">
      <c r="A1065">
        <v>1059</v>
      </c>
      <c r="B1065">
        <v>353</v>
      </c>
      <c r="C1065">
        <v>3</v>
      </c>
      <c r="D1065" t="s">
        <v>19</v>
      </c>
      <c r="E1065" t="s">
        <v>23</v>
      </c>
      <c r="F1065">
        <v>35</v>
      </c>
      <c r="G1065" t="s">
        <v>26</v>
      </c>
      <c r="I1065" t="s">
        <v>30</v>
      </c>
      <c r="J1065" s="1">
        <v>45777</v>
      </c>
      <c r="K1065" t="s">
        <v>34</v>
      </c>
      <c r="L1065" t="s">
        <v>37</v>
      </c>
      <c r="M1065" t="s">
        <v>38</v>
      </c>
      <c r="N1065">
        <v>4</v>
      </c>
      <c r="O1065">
        <v>0.8125</v>
      </c>
      <c r="P1065">
        <v>59</v>
      </c>
      <c r="Q1065" t="s">
        <v>39</v>
      </c>
      <c r="R1065" t="s">
        <v>39</v>
      </c>
      <c r="T1065" t="s">
        <v>40</v>
      </c>
      <c r="U1065" s="1">
        <v>45838</v>
      </c>
    </row>
    <row r="1066" spans="1:21" x14ac:dyDescent="0.3">
      <c r="A1066">
        <v>1060</v>
      </c>
      <c r="B1066">
        <v>354</v>
      </c>
      <c r="C1066">
        <v>1</v>
      </c>
      <c r="D1066" t="s">
        <v>19</v>
      </c>
      <c r="E1066" t="s">
        <v>22</v>
      </c>
      <c r="F1066">
        <v>20</v>
      </c>
      <c r="G1066" t="s">
        <v>25</v>
      </c>
      <c r="I1066" t="s">
        <v>30</v>
      </c>
      <c r="J1066" s="1">
        <v>45759</v>
      </c>
      <c r="K1066" t="s">
        <v>34</v>
      </c>
      <c r="L1066" t="s">
        <v>35</v>
      </c>
      <c r="M1066" t="s">
        <v>38</v>
      </c>
      <c r="N1066">
        <v>4</v>
      </c>
      <c r="O1066">
        <v>0.8125</v>
      </c>
      <c r="P1066">
        <v>73</v>
      </c>
      <c r="Q1066" t="s">
        <v>39</v>
      </c>
      <c r="R1066" t="s">
        <v>39</v>
      </c>
      <c r="T1066" t="s">
        <v>40</v>
      </c>
      <c r="U1066" s="1">
        <v>45838</v>
      </c>
    </row>
    <row r="1067" spans="1:21" x14ac:dyDescent="0.3">
      <c r="A1067">
        <v>1061</v>
      </c>
      <c r="B1067">
        <v>354</v>
      </c>
      <c r="C1067">
        <v>2</v>
      </c>
      <c r="D1067" t="s">
        <v>19</v>
      </c>
      <c r="E1067" t="s">
        <v>22</v>
      </c>
      <c r="F1067">
        <v>20</v>
      </c>
      <c r="G1067" t="s">
        <v>25</v>
      </c>
      <c r="I1067" t="s">
        <v>30</v>
      </c>
      <c r="J1067" s="1">
        <v>45759</v>
      </c>
      <c r="K1067" t="s">
        <v>34</v>
      </c>
      <c r="L1067" t="s">
        <v>36</v>
      </c>
      <c r="M1067" t="s">
        <v>38</v>
      </c>
      <c r="N1067">
        <v>4</v>
      </c>
      <c r="O1067">
        <v>0.6875</v>
      </c>
      <c r="P1067">
        <v>62</v>
      </c>
      <c r="Q1067" t="s">
        <v>39</v>
      </c>
      <c r="R1067" t="s">
        <v>39</v>
      </c>
      <c r="T1067" t="s">
        <v>40</v>
      </c>
      <c r="U1067" s="1">
        <v>45838</v>
      </c>
    </row>
    <row r="1068" spans="1:21" x14ac:dyDescent="0.3">
      <c r="A1068">
        <v>1062</v>
      </c>
      <c r="B1068">
        <v>354</v>
      </c>
      <c r="C1068">
        <v>3</v>
      </c>
      <c r="D1068" t="s">
        <v>19</v>
      </c>
      <c r="E1068" t="s">
        <v>22</v>
      </c>
      <c r="F1068">
        <v>20</v>
      </c>
      <c r="G1068" t="s">
        <v>25</v>
      </c>
      <c r="I1068" t="s">
        <v>30</v>
      </c>
      <c r="J1068" s="1">
        <v>45759</v>
      </c>
      <c r="K1068" t="s">
        <v>34</v>
      </c>
      <c r="L1068" t="s">
        <v>37</v>
      </c>
      <c r="M1068" t="s">
        <v>38</v>
      </c>
      <c r="N1068">
        <v>4</v>
      </c>
      <c r="O1068">
        <v>0.83333333333333337</v>
      </c>
      <c r="P1068">
        <v>80</v>
      </c>
      <c r="Q1068" t="s">
        <v>39</v>
      </c>
      <c r="R1068" t="s">
        <v>39</v>
      </c>
      <c r="T1068" t="s">
        <v>40</v>
      </c>
      <c r="U1068" s="1">
        <v>45838</v>
      </c>
    </row>
    <row r="1069" spans="1:21" x14ac:dyDescent="0.3">
      <c r="A1069">
        <v>1063</v>
      </c>
      <c r="B1069">
        <v>355</v>
      </c>
      <c r="C1069">
        <v>1</v>
      </c>
      <c r="D1069" t="s">
        <v>19</v>
      </c>
      <c r="E1069" t="s">
        <v>23</v>
      </c>
      <c r="F1069">
        <v>34</v>
      </c>
      <c r="G1069" t="s">
        <v>27</v>
      </c>
      <c r="I1069" t="s">
        <v>33</v>
      </c>
      <c r="J1069" s="1">
        <v>45805</v>
      </c>
      <c r="K1069" t="s">
        <v>34</v>
      </c>
      <c r="L1069" t="s">
        <v>35</v>
      </c>
      <c r="M1069" t="s">
        <v>38</v>
      </c>
      <c r="N1069">
        <v>4</v>
      </c>
      <c r="O1069">
        <v>0.85416666666666663</v>
      </c>
      <c r="P1069">
        <v>67</v>
      </c>
      <c r="Q1069" t="s">
        <v>39</v>
      </c>
      <c r="R1069" t="s">
        <v>40</v>
      </c>
      <c r="T1069" t="s">
        <v>40</v>
      </c>
      <c r="U1069" s="1">
        <v>45838</v>
      </c>
    </row>
    <row r="1070" spans="1:21" x14ac:dyDescent="0.3">
      <c r="A1070">
        <v>1064</v>
      </c>
      <c r="B1070">
        <v>355</v>
      </c>
      <c r="C1070">
        <v>2</v>
      </c>
      <c r="D1070" t="s">
        <v>21</v>
      </c>
      <c r="E1070" t="s">
        <v>23</v>
      </c>
      <c r="F1070">
        <v>34</v>
      </c>
      <c r="G1070" t="s">
        <v>27</v>
      </c>
      <c r="I1070" t="s">
        <v>33</v>
      </c>
      <c r="J1070" s="1">
        <v>45805</v>
      </c>
      <c r="K1070" t="s">
        <v>34</v>
      </c>
      <c r="L1070" t="s">
        <v>36</v>
      </c>
      <c r="M1070" t="s">
        <v>38</v>
      </c>
      <c r="N1070">
        <v>4</v>
      </c>
      <c r="O1070">
        <v>0.83333333333333337</v>
      </c>
      <c r="P1070">
        <v>91</v>
      </c>
      <c r="Q1070" t="s">
        <v>39</v>
      </c>
      <c r="R1070" t="s">
        <v>40</v>
      </c>
      <c r="T1070" t="s">
        <v>40</v>
      </c>
      <c r="U1070" s="1">
        <v>45838</v>
      </c>
    </row>
    <row r="1071" spans="1:21" x14ac:dyDescent="0.3">
      <c r="A1071">
        <v>1065</v>
      </c>
      <c r="B1071">
        <v>355</v>
      </c>
      <c r="C1071">
        <v>3</v>
      </c>
      <c r="D1071" t="s">
        <v>19</v>
      </c>
      <c r="E1071" t="s">
        <v>23</v>
      </c>
      <c r="F1071">
        <v>34</v>
      </c>
      <c r="G1071" t="s">
        <v>27</v>
      </c>
      <c r="I1071" t="s">
        <v>33</v>
      </c>
      <c r="J1071" s="1">
        <v>45805</v>
      </c>
      <c r="K1071" t="s">
        <v>34</v>
      </c>
      <c r="L1071" t="s">
        <v>37</v>
      </c>
      <c r="M1071" t="s">
        <v>38</v>
      </c>
      <c r="N1071">
        <v>4</v>
      </c>
      <c r="O1071">
        <v>0.83333333333333337</v>
      </c>
      <c r="P1071">
        <v>62.5</v>
      </c>
      <c r="Q1071" t="s">
        <v>39</v>
      </c>
      <c r="R1071" t="s">
        <v>40</v>
      </c>
      <c r="T1071" t="s">
        <v>40</v>
      </c>
      <c r="U1071" s="1">
        <v>45838</v>
      </c>
    </row>
    <row r="1072" spans="1:21" x14ac:dyDescent="0.3">
      <c r="A1072">
        <v>1066</v>
      </c>
      <c r="B1072">
        <v>356</v>
      </c>
      <c r="C1072">
        <v>1</v>
      </c>
      <c r="D1072" t="s">
        <v>19</v>
      </c>
      <c r="E1072" t="s">
        <v>22</v>
      </c>
      <c r="F1072">
        <v>22</v>
      </c>
      <c r="G1072" t="s">
        <v>29</v>
      </c>
      <c r="I1072" t="s">
        <v>31</v>
      </c>
      <c r="J1072" s="1">
        <v>45773</v>
      </c>
      <c r="K1072" t="s">
        <v>34</v>
      </c>
      <c r="L1072" t="s">
        <v>35</v>
      </c>
      <c r="M1072" t="s">
        <v>38</v>
      </c>
      <c r="N1072">
        <v>4</v>
      </c>
      <c r="O1072">
        <v>0.79166666666666663</v>
      </c>
      <c r="P1072">
        <v>92</v>
      </c>
      <c r="Q1072" t="s">
        <v>40</v>
      </c>
      <c r="R1072" t="s">
        <v>40</v>
      </c>
      <c r="T1072" t="s">
        <v>40</v>
      </c>
      <c r="U1072" s="1">
        <v>45838</v>
      </c>
    </row>
    <row r="1073" spans="1:21" x14ac:dyDescent="0.3">
      <c r="A1073">
        <v>1067</v>
      </c>
      <c r="B1073">
        <v>356</v>
      </c>
      <c r="C1073">
        <v>2</v>
      </c>
      <c r="D1073" t="s">
        <v>20</v>
      </c>
      <c r="E1073" t="s">
        <v>22</v>
      </c>
      <c r="F1073">
        <v>22</v>
      </c>
      <c r="G1073" t="s">
        <v>29</v>
      </c>
      <c r="I1073" t="s">
        <v>31</v>
      </c>
      <c r="J1073" s="1">
        <v>45773</v>
      </c>
      <c r="K1073" t="s">
        <v>34</v>
      </c>
      <c r="L1073" t="s">
        <v>36</v>
      </c>
      <c r="M1073" t="s">
        <v>38</v>
      </c>
      <c r="N1073">
        <v>4</v>
      </c>
      <c r="O1073">
        <v>0.8125</v>
      </c>
      <c r="P1073">
        <v>61.5</v>
      </c>
      <c r="Q1073" t="s">
        <v>40</v>
      </c>
      <c r="R1073" t="s">
        <v>40</v>
      </c>
      <c r="T1073" t="s">
        <v>40</v>
      </c>
      <c r="U1073" s="1">
        <v>45838</v>
      </c>
    </row>
    <row r="1074" spans="1:21" x14ac:dyDescent="0.3">
      <c r="A1074">
        <v>1068</v>
      </c>
      <c r="B1074">
        <v>356</v>
      </c>
      <c r="C1074">
        <v>3</v>
      </c>
      <c r="D1074" t="s">
        <v>19</v>
      </c>
      <c r="E1074" t="s">
        <v>22</v>
      </c>
      <c r="F1074">
        <v>22</v>
      </c>
      <c r="G1074" t="s">
        <v>29</v>
      </c>
      <c r="I1074" t="s">
        <v>31</v>
      </c>
      <c r="J1074" s="1">
        <v>45773</v>
      </c>
      <c r="K1074" t="s">
        <v>34</v>
      </c>
      <c r="L1074" t="s">
        <v>37</v>
      </c>
      <c r="M1074" t="s">
        <v>38</v>
      </c>
      <c r="N1074">
        <v>4</v>
      </c>
      <c r="O1074">
        <v>0.83333333333333337</v>
      </c>
      <c r="P1074">
        <v>70</v>
      </c>
      <c r="Q1074" t="s">
        <v>40</v>
      </c>
      <c r="R1074" t="s">
        <v>40</v>
      </c>
      <c r="T1074" t="s">
        <v>40</v>
      </c>
      <c r="U1074" s="1">
        <v>45838</v>
      </c>
    </row>
    <row r="1075" spans="1:21" x14ac:dyDescent="0.3">
      <c r="A1075">
        <v>1069</v>
      </c>
      <c r="B1075">
        <v>357</v>
      </c>
      <c r="C1075">
        <v>1</v>
      </c>
      <c r="D1075" t="s">
        <v>19</v>
      </c>
      <c r="E1075" t="s">
        <v>23</v>
      </c>
      <c r="F1075">
        <v>34</v>
      </c>
      <c r="G1075" t="s">
        <v>29</v>
      </c>
      <c r="I1075" t="s">
        <v>32</v>
      </c>
      <c r="J1075" s="1">
        <v>45799</v>
      </c>
      <c r="K1075" t="s">
        <v>34</v>
      </c>
      <c r="L1075" t="s">
        <v>35</v>
      </c>
      <c r="M1075" t="s">
        <v>38</v>
      </c>
      <c r="N1075">
        <v>4</v>
      </c>
      <c r="O1075">
        <v>0.77083333333333337</v>
      </c>
      <c r="P1075">
        <v>64</v>
      </c>
      <c r="Q1075" t="s">
        <v>39</v>
      </c>
      <c r="R1075" t="s">
        <v>40</v>
      </c>
      <c r="T1075" t="s">
        <v>39</v>
      </c>
      <c r="U1075" s="1">
        <v>45838</v>
      </c>
    </row>
    <row r="1076" spans="1:21" x14ac:dyDescent="0.3">
      <c r="A1076">
        <v>1070</v>
      </c>
      <c r="B1076">
        <v>357</v>
      </c>
      <c r="C1076">
        <v>2</v>
      </c>
      <c r="D1076" t="s">
        <v>20</v>
      </c>
      <c r="E1076" t="s">
        <v>23</v>
      </c>
      <c r="F1076">
        <v>34</v>
      </c>
      <c r="G1076" t="s">
        <v>29</v>
      </c>
      <c r="I1076" t="s">
        <v>32</v>
      </c>
      <c r="J1076" s="1">
        <v>45799</v>
      </c>
      <c r="K1076" t="s">
        <v>34</v>
      </c>
      <c r="L1076" t="s">
        <v>36</v>
      </c>
      <c r="M1076" t="s">
        <v>38</v>
      </c>
      <c r="N1076">
        <v>4</v>
      </c>
      <c r="O1076">
        <v>0.89583333333333337</v>
      </c>
      <c r="P1076">
        <v>84</v>
      </c>
      <c r="Q1076" t="s">
        <v>39</v>
      </c>
      <c r="R1076" t="s">
        <v>40</v>
      </c>
      <c r="T1076" t="s">
        <v>39</v>
      </c>
      <c r="U1076" s="1">
        <v>45838</v>
      </c>
    </row>
    <row r="1077" spans="1:21" x14ac:dyDescent="0.3">
      <c r="A1077">
        <v>1071</v>
      </c>
      <c r="B1077">
        <v>357</v>
      </c>
      <c r="C1077">
        <v>3</v>
      </c>
      <c r="D1077" t="s">
        <v>21</v>
      </c>
      <c r="E1077" t="s">
        <v>23</v>
      </c>
      <c r="F1077">
        <v>34</v>
      </c>
      <c r="G1077" t="s">
        <v>29</v>
      </c>
      <c r="I1077" t="s">
        <v>32</v>
      </c>
      <c r="J1077" s="1">
        <v>45799</v>
      </c>
      <c r="K1077" t="s">
        <v>34</v>
      </c>
      <c r="L1077" t="s">
        <v>37</v>
      </c>
      <c r="M1077" t="s">
        <v>38</v>
      </c>
      <c r="N1077">
        <v>4</v>
      </c>
      <c r="O1077">
        <v>0.79166666666666663</v>
      </c>
      <c r="P1077">
        <v>65</v>
      </c>
      <c r="Q1077" t="s">
        <v>39</v>
      </c>
      <c r="R1077" t="s">
        <v>40</v>
      </c>
      <c r="T1077" t="s">
        <v>39</v>
      </c>
      <c r="U1077" s="1">
        <v>45838</v>
      </c>
    </row>
    <row r="1078" spans="1:21" x14ac:dyDescent="0.3">
      <c r="A1078">
        <v>1072</v>
      </c>
      <c r="B1078">
        <v>358</v>
      </c>
      <c r="C1078">
        <v>1</v>
      </c>
      <c r="D1078" t="s">
        <v>19</v>
      </c>
      <c r="E1078" t="s">
        <v>22</v>
      </c>
      <c r="F1078">
        <v>22</v>
      </c>
      <c r="G1078" t="s">
        <v>27</v>
      </c>
      <c r="I1078" t="s">
        <v>31</v>
      </c>
      <c r="J1078" s="1">
        <v>45689</v>
      </c>
      <c r="K1078" t="s">
        <v>34</v>
      </c>
      <c r="L1078" t="s">
        <v>35</v>
      </c>
      <c r="M1078" t="s">
        <v>38</v>
      </c>
      <c r="N1078">
        <v>4</v>
      </c>
      <c r="O1078">
        <v>0.8125</v>
      </c>
      <c r="P1078">
        <v>51</v>
      </c>
      <c r="Q1078" t="s">
        <v>39</v>
      </c>
      <c r="R1078" t="s">
        <v>39</v>
      </c>
      <c r="T1078" t="s">
        <v>40</v>
      </c>
      <c r="U1078" s="1">
        <v>45838</v>
      </c>
    </row>
    <row r="1079" spans="1:21" x14ac:dyDescent="0.3">
      <c r="A1079">
        <v>1073</v>
      </c>
      <c r="B1079">
        <v>358</v>
      </c>
      <c r="C1079">
        <v>2</v>
      </c>
      <c r="D1079" t="s">
        <v>19</v>
      </c>
      <c r="E1079" t="s">
        <v>22</v>
      </c>
      <c r="F1079">
        <v>22</v>
      </c>
      <c r="G1079" t="s">
        <v>27</v>
      </c>
      <c r="I1079" t="s">
        <v>31</v>
      </c>
      <c r="J1079" s="1">
        <v>45689</v>
      </c>
      <c r="K1079" t="s">
        <v>34</v>
      </c>
      <c r="L1079" t="s">
        <v>36</v>
      </c>
      <c r="M1079" t="s">
        <v>38</v>
      </c>
      <c r="N1079">
        <v>4</v>
      </c>
      <c r="O1079">
        <v>0.85416666666666663</v>
      </c>
      <c r="P1079">
        <v>83</v>
      </c>
      <c r="Q1079" t="s">
        <v>39</v>
      </c>
      <c r="R1079" t="s">
        <v>39</v>
      </c>
      <c r="T1079" t="s">
        <v>40</v>
      </c>
      <c r="U1079" s="1">
        <v>45838</v>
      </c>
    </row>
    <row r="1080" spans="1:21" x14ac:dyDescent="0.3">
      <c r="A1080">
        <v>1074</v>
      </c>
      <c r="B1080">
        <v>358</v>
      </c>
      <c r="C1080">
        <v>3</v>
      </c>
      <c r="D1080" t="s">
        <v>19</v>
      </c>
      <c r="E1080" t="s">
        <v>22</v>
      </c>
      <c r="F1080">
        <v>22</v>
      </c>
      <c r="G1080" t="s">
        <v>27</v>
      </c>
      <c r="I1080" t="s">
        <v>31</v>
      </c>
      <c r="J1080" s="1">
        <v>45689</v>
      </c>
      <c r="K1080" t="s">
        <v>34</v>
      </c>
      <c r="L1080" t="s">
        <v>37</v>
      </c>
      <c r="M1080" t="s">
        <v>38</v>
      </c>
      <c r="N1080">
        <v>4</v>
      </c>
      <c r="O1080">
        <v>0.8125</v>
      </c>
      <c r="P1080">
        <v>76.5</v>
      </c>
      <c r="Q1080" t="s">
        <v>39</v>
      </c>
      <c r="R1080" t="s">
        <v>39</v>
      </c>
      <c r="T1080" t="s">
        <v>40</v>
      </c>
      <c r="U1080" s="1">
        <v>45838</v>
      </c>
    </row>
    <row r="1081" spans="1:21" x14ac:dyDescent="0.3">
      <c r="A1081">
        <v>1075</v>
      </c>
      <c r="B1081">
        <v>359</v>
      </c>
      <c r="C1081">
        <v>1</v>
      </c>
      <c r="D1081" t="s">
        <v>19</v>
      </c>
      <c r="E1081" t="s">
        <v>22</v>
      </c>
      <c r="F1081">
        <v>27</v>
      </c>
      <c r="G1081" t="s">
        <v>28</v>
      </c>
      <c r="I1081" t="s">
        <v>32</v>
      </c>
      <c r="J1081" s="1">
        <v>45740</v>
      </c>
      <c r="K1081" t="s">
        <v>34</v>
      </c>
      <c r="L1081" t="s">
        <v>35</v>
      </c>
      <c r="M1081" t="s">
        <v>38</v>
      </c>
      <c r="N1081">
        <v>4</v>
      </c>
      <c r="O1081">
        <v>0.85416666666666663</v>
      </c>
      <c r="P1081">
        <v>65</v>
      </c>
      <c r="Q1081" t="s">
        <v>39</v>
      </c>
      <c r="R1081" t="s">
        <v>39</v>
      </c>
      <c r="T1081" t="s">
        <v>40</v>
      </c>
      <c r="U1081" s="1">
        <v>45838</v>
      </c>
    </row>
    <row r="1082" spans="1:21" x14ac:dyDescent="0.3">
      <c r="A1082">
        <v>1076</v>
      </c>
      <c r="B1082">
        <v>359</v>
      </c>
      <c r="C1082">
        <v>2</v>
      </c>
      <c r="D1082" t="s">
        <v>19</v>
      </c>
      <c r="E1082" t="s">
        <v>22</v>
      </c>
      <c r="F1082">
        <v>27</v>
      </c>
      <c r="G1082" t="s">
        <v>28</v>
      </c>
      <c r="I1082" t="s">
        <v>32</v>
      </c>
      <c r="J1082" s="1">
        <v>45740</v>
      </c>
      <c r="K1082" t="s">
        <v>34</v>
      </c>
      <c r="L1082" t="s">
        <v>36</v>
      </c>
      <c r="M1082" t="s">
        <v>38</v>
      </c>
      <c r="N1082">
        <v>4</v>
      </c>
      <c r="O1082">
        <v>0.77083333333333337</v>
      </c>
      <c r="P1082">
        <v>82.5</v>
      </c>
      <c r="Q1082" t="s">
        <v>39</v>
      </c>
      <c r="R1082" t="s">
        <v>39</v>
      </c>
      <c r="T1082" t="s">
        <v>40</v>
      </c>
      <c r="U1082" s="1">
        <v>45838</v>
      </c>
    </row>
    <row r="1083" spans="1:21" x14ac:dyDescent="0.3">
      <c r="A1083">
        <v>1077</v>
      </c>
      <c r="B1083">
        <v>359</v>
      </c>
      <c r="C1083">
        <v>3</v>
      </c>
      <c r="D1083" t="s">
        <v>21</v>
      </c>
      <c r="E1083" t="s">
        <v>22</v>
      </c>
      <c r="F1083">
        <v>27</v>
      </c>
      <c r="G1083" t="s">
        <v>28</v>
      </c>
      <c r="I1083" t="s">
        <v>32</v>
      </c>
      <c r="J1083" s="1">
        <v>45740</v>
      </c>
      <c r="K1083" t="s">
        <v>34</v>
      </c>
      <c r="L1083" t="s">
        <v>37</v>
      </c>
      <c r="M1083" t="s">
        <v>38</v>
      </c>
      <c r="N1083">
        <v>4</v>
      </c>
      <c r="O1083">
        <v>0.79166666666666663</v>
      </c>
      <c r="P1083">
        <v>64.5</v>
      </c>
      <c r="Q1083" t="s">
        <v>39</v>
      </c>
      <c r="R1083" t="s">
        <v>39</v>
      </c>
      <c r="T1083" t="s">
        <v>40</v>
      </c>
      <c r="U1083" s="1">
        <v>45838</v>
      </c>
    </row>
    <row r="1084" spans="1:21" x14ac:dyDescent="0.3">
      <c r="A1084">
        <v>1078</v>
      </c>
      <c r="B1084">
        <v>360</v>
      </c>
      <c r="C1084">
        <v>1</v>
      </c>
      <c r="D1084" t="s">
        <v>19</v>
      </c>
      <c r="E1084" t="s">
        <v>22</v>
      </c>
      <c r="F1084">
        <v>29</v>
      </c>
      <c r="G1084" t="s">
        <v>26</v>
      </c>
      <c r="I1084" t="s">
        <v>30</v>
      </c>
      <c r="J1084" s="1">
        <v>45678</v>
      </c>
      <c r="K1084" t="s">
        <v>34</v>
      </c>
      <c r="L1084" t="s">
        <v>35</v>
      </c>
      <c r="M1084" t="s">
        <v>38</v>
      </c>
      <c r="N1084">
        <v>4</v>
      </c>
      <c r="O1084">
        <v>0.79166666666666663</v>
      </c>
      <c r="P1084">
        <v>65</v>
      </c>
      <c r="Q1084" t="s">
        <v>40</v>
      </c>
      <c r="R1084" t="s">
        <v>40</v>
      </c>
      <c r="T1084" t="s">
        <v>40</v>
      </c>
      <c r="U1084" s="1">
        <v>45838</v>
      </c>
    </row>
    <row r="1085" spans="1:21" x14ac:dyDescent="0.3">
      <c r="A1085">
        <v>1079</v>
      </c>
      <c r="B1085">
        <v>360</v>
      </c>
      <c r="C1085">
        <v>2</v>
      </c>
      <c r="D1085" t="s">
        <v>19</v>
      </c>
      <c r="E1085" t="s">
        <v>22</v>
      </c>
      <c r="F1085">
        <v>29</v>
      </c>
      <c r="G1085" t="s">
        <v>26</v>
      </c>
      <c r="I1085" t="s">
        <v>30</v>
      </c>
      <c r="J1085" s="1">
        <v>45678</v>
      </c>
      <c r="K1085" t="s">
        <v>34</v>
      </c>
      <c r="L1085" t="s">
        <v>36</v>
      </c>
      <c r="M1085" t="s">
        <v>38</v>
      </c>
      <c r="N1085">
        <v>4</v>
      </c>
      <c r="O1085">
        <v>0.875</v>
      </c>
      <c r="P1085">
        <v>76.5</v>
      </c>
      <c r="Q1085" t="s">
        <v>40</v>
      </c>
      <c r="R1085" t="s">
        <v>40</v>
      </c>
      <c r="T1085" t="s">
        <v>40</v>
      </c>
      <c r="U1085" s="1">
        <v>45838</v>
      </c>
    </row>
    <row r="1086" spans="1:21" x14ac:dyDescent="0.3">
      <c r="A1086">
        <v>1080</v>
      </c>
      <c r="B1086">
        <v>360</v>
      </c>
      <c r="C1086">
        <v>3</v>
      </c>
      <c r="D1086" t="s">
        <v>21</v>
      </c>
      <c r="E1086" t="s">
        <v>22</v>
      </c>
      <c r="F1086">
        <v>29</v>
      </c>
      <c r="G1086" t="s">
        <v>26</v>
      </c>
      <c r="I1086" t="s">
        <v>30</v>
      </c>
      <c r="J1086" s="1">
        <v>45678</v>
      </c>
      <c r="K1086" t="s">
        <v>34</v>
      </c>
      <c r="L1086" t="s">
        <v>37</v>
      </c>
      <c r="M1086" t="s">
        <v>38</v>
      </c>
      <c r="N1086">
        <v>4</v>
      </c>
      <c r="O1086">
        <v>0.85416666666666663</v>
      </c>
      <c r="P1086">
        <v>70</v>
      </c>
      <c r="Q1086" t="s">
        <v>40</v>
      </c>
      <c r="R1086" t="s">
        <v>40</v>
      </c>
      <c r="T1086" t="s">
        <v>40</v>
      </c>
      <c r="U1086" s="1">
        <v>45838</v>
      </c>
    </row>
    <row r="1087" spans="1:21" x14ac:dyDescent="0.3">
      <c r="A1087">
        <v>1081</v>
      </c>
      <c r="B1087">
        <v>361</v>
      </c>
      <c r="C1087">
        <v>1</v>
      </c>
      <c r="D1087" t="s">
        <v>19</v>
      </c>
      <c r="E1087" t="s">
        <v>23</v>
      </c>
      <c r="F1087">
        <v>24</v>
      </c>
      <c r="G1087" t="s">
        <v>24</v>
      </c>
      <c r="I1087" t="s">
        <v>30</v>
      </c>
      <c r="J1087" s="1">
        <v>45690</v>
      </c>
      <c r="K1087" t="s">
        <v>34</v>
      </c>
      <c r="L1087" t="s">
        <v>35</v>
      </c>
      <c r="M1087" t="s">
        <v>38</v>
      </c>
      <c r="N1087">
        <v>4</v>
      </c>
      <c r="O1087">
        <v>0.83333333333333337</v>
      </c>
      <c r="P1087">
        <v>88.5</v>
      </c>
      <c r="Q1087" t="s">
        <v>39</v>
      </c>
      <c r="R1087" t="s">
        <v>40</v>
      </c>
      <c r="T1087" t="s">
        <v>40</v>
      </c>
      <c r="U1087" s="1">
        <v>45838</v>
      </c>
    </row>
    <row r="1088" spans="1:21" x14ac:dyDescent="0.3">
      <c r="A1088">
        <v>1082</v>
      </c>
      <c r="B1088">
        <v>361</v>
      </c>
      <c r="C1088">
        <v>2</v>
      </c>
      <c r="D1088" t="s">
        <v>19</v>
      </c>
      <c r="E1088" t="s">
        <v>23</v>
      </c>
      <c r="F1088">
        <v>24</v>
      </c>
      <c r="G1088" t="s">
        <v>24</v>
      </c>
      <c r="I1088" t="s">
        <v>30</v>
      </c>
      <c r="J1088" s="1">
        <v>45690</v>
      </c>
      <c r="K1088" t="s">
        <v>34</v>
      </c>
      <c r="L1088" t="s">
        <v>36</v>
      </c>
      <c r="M1088" t="s">
        <v>38</v>
      </c>
      <c r="N1088">
        <v>4</v>
      </c>
      <c r="O1088">
        <v>0.89583333333333337</v>
      </c>
      <c r="P1088">
        <v>64.5</v>
      </c>
      <c r="Q1088" t="s">
        <v>39</v>
      </c>
      <c r="R1088" t="s">
        <v>40</v>
      </c>
      <c r="T1088" t="s">
        <v>40</v>
      </c>
      <c r="U1088" s="1">
        <v>45838</v>
      </c>
    </row>
    <row r="1089" spans="1:21" x14ac:dyDescent="0.3">
      <c r="A1089">
        <v>1083</v>
      </c>
      <c r="B1089">
        <v>361</v>
      </c>
      <c r="C1089">
        <v>3</v>
      </c>
      <c r="D1089" t="s">
        <v>19</v>
      </c>
      <c r="E1089" t="s">
        <v>23</v>
      </c>
      <c r="F1089">
        <v>24</v>
      </c>
      <c r="G1089" t="s">
        <v>24</v>
      </c>
      <c r="I1089" t="s">
        <v>30</v>
      </c>
      <c r="J1089" s="1">
        <v>45690</v>
      </c>
      <c r="K1089" t="s">
        <v>34</v>
      </c>
      <c r="L1089" t="s">
        <v>37</v>
      </c>
      <c r="M1089" t="s">
        <v>38</v>
      </c>
      <c r="N1089">
        <v>4</v>
      </c>
      <c r="O1089">
        <v>0.79166666666666663</v>
      </c>
      <c r="P1089">
        <v>75</v>
      </c>
      <c r="Q1089" t="s">
        <v>39</v>
      </c>
      <c r="R1089" t="s">
        <v>40</v>
      </c>
      <c r="T1089" t="s">
        <v>40</v>
      </c>
      <c r="U1089" s="1">
        <v>45838</v>
      </c>
    </row>
    <row r="1090" spans="1:21" x14ac:dyDescent="0.3">
      <c r="A1090">
        <v>1084</v>
      </c>
      <c r="B1090">
        <v>362</v>
      </c>
      <c r="C1090">
        <v>1</v>
      </c>
      <c r="D1090" t="s">
        <v>19</v>
      </c>
      <c r="E1090" t="s">
        <v>23</v>
      </c>
      <c r="F1090">
        <v>35</v>
      </c>
      <c r="G1090" t="s">
        <v>25</v>
      </c>
      <c r="I1090" t="s">
        <v>32</v>
      </c>
      <c r="J1090" s="1">
        <v>45806</v>
      </c>
      <c r="K1090" t="s">
        <v>34</v>
      </c>
      <c r="L1090" t="s">
        <v>35</v>
      </c>
      <c r="M1090" t="s">
        <v>38</v>
      </c>
      <c r="N1090">
        <v>4</v>
      </c>
      <c r="O1090">
        <v>0.83333333333333337</v>
      </c>
      <c r="P1090">
        <v>62.5</v>
      </c>
      <c r="Q1090" t="s">
        <v>39</v>
      </c>
      <c r="R1090" t="s">
        <v>39</v>
      </c>
      <c r="T1090" t="s">
        <v>40</v>
      </c>
      <c r="U1090" s="1">
        <v>45838</v>
      </c>
    </row>
    <row r="1091" spans="1:21" x14ac:dyDescent="0.3">
      <c r="A1091">
        <v>1085</v>
      </c>
      <c r="B1091">
        <v>362</v>
      </c>
      <c r="C1091">
        <v>2</v>
      </c>
      <c r="D1091" t="s">
        <v>20</v>
      </c>
      <c r="E1091" t="s">
        <v>23</v>
      </c>
      <c r="F1091">
        <v>35</v>
      </c>
      <c r="G1091" t="s">
        <v>25</v>
      </c>
      <c r="I1091" t="s">
        <v>32</v>
      </c>
      <c r="J1091" s="1">
        <v>45806</v>
      </c>
      <c r="K1091" t="s">
        <v>34</v>
      </c>
      <c r="L1091" t="s">
        <v>36</v>
      </c>
      <c r="M1091" t="s">
        <v>38</v>
      </c>
      <c r="N1091">
        <v>4</v>
      </c>
      <c r="O1091">
        <v>0.89583333333333337</v>
      </c>
      <c r="P1091">
        <v>79</v>
      </c>
      <c r="Q1091" t="s">
        <v>39</v>
      </c>
      <c r="R1091" t="s">
        <v>39</v>
      </c>
      <c r="T1091" t="s">
        <v>40</v>
      </c>
      <c r="U1091" s="1">
        <v>45838</v>
      </c>
    </row>
    <row r="1092" spans="1:21" x14ac:dyDescent="0.3">
      <c r="A1092">
        <v>1086</v>
      </c>
      <c r="B1092">
        <v>362</v>
      </c>
      <c r="C1092">
        <v>3</v>
      </c>
      <c r="D1092" t="s">
        <v>19</v>
      </c>
      <c r="E1092" t="s">
        <v>23</v>
      </c>
      <c r="F1092">
        <v>35</v>
      </c>
      <c r="G1092" t="s">
        <v>25</v>
      </c>
      <c r="I1092" t="s">
        <v>32</v>
      </c>
      <c r="J1092" s="1">
        <v>45806</v>
      </c>
      <c r="K1092" t="s">
        <v>34</v>
      </c>
      <c r="L1092" t="s">
        <v>37</v>
      </c>
      <c r="M1092" t="s">
        <v>38</v>
      </c>
      <c r="N1092">
        <v>4</v>
      </c>
      <c r="O1092">
        <v>0.875</v>
      </c>
      <c r="P1092">
        <v>66</v>
      </c>
      <c r="Q1092" t="s">
        <v>39</v>
      </c>
      <c r="R1092" t="s">
        <v>39</v>
      </c>
      <c r="T1092" t="s">
        <v>40</v>
      </c>
      <c r="U1092" s="1">
        <v>45838</v>
      </c>
    </row>
    <row r="1093" spans="1:21" x14ac:dyDescent="0.3">
      <c r="A1093">
        <v>1087</v>
      </c>
      <c r="B1093">
        <v>363</v>
      </c>
      <c r="C1093">
        <v>1</v>
      </c>
      <c r="D1093" t="s">
        <v>19</v>
      </c>
      <c r="E1093" t="s">
        <v>22</v>
      </c>
      <c r="F1093">
        <v>23</v>
      </c>
      <c r="G1093" t="s">
        <v>24</v>
      </c>
      <c r="I1093" t="s">
        <v>30</v>
      </c>
      <c r="J1093" s="1">
        <v>45802</v>
      </c>
      <c r="K1093" t="s">
        <v>34</v>
      </c>
      <c r="L1093" t="s">
        <v>35</v>
      </c>
      <c r="M1093" t="s">
        <v>38</v>
      </c>
      <c r="N1093">
        <v>4</v>
      </c>
      <c r="O1093">
        <v>0.75</v>
      </c>
      <c r="P1093">
        <v>92.5</v>
      </c>
      <c r="Q1093" t="s">
        <v>39</v>
      </c>
      <c r="R1093" t="s">
        <v>39</v>
      </c>
      <c r="T1093" t="s">
        <v>39</v>
      </c>
      <c r="U1093" s="1">
        <v>45838</v>
      </c>
    </row>
    <row r="1094" spans="1:21" x14ac:dyDescent="0.3">
      <c r="A1094">
        <v>1088</v>
      </c>
      <c r="B1094">
        <v>363</v>
      </c>
      <c r="C1094">
        <v>2</v>
      </c>
      <c r="D1094" t="s">
        <v>19</v>
      </c>
      <c r="E1094" t="s">
        <v>22</v>
      </c>
      <c r="F1094">
        <v>23</v>
      </c>
      <c r="G1094" t="s">
        <v>24</v>
      </c>
      <c r="I1094" t="s">
        <v>30</v>
      </c>
      <c r="J1094" s="1">
        <v>45802</v>
      </c>
      <c r="K1094" t="s">
        <v>34</v>
      </c>
      <c r="L1094" t="s">
        <v>36</v>
      </c>
      <c r="M1094" t="s">
        <v>38</v>
      </c>
      <c r="N1094">
        <v>4</v>
      </c>
      <c r="O1094">
        <v>0.875</v>
      </c>
      <c r="P1094">
        <v>53</v>
      </c>
      <c r="Q1094" t="s">
        <v>39</v>
      </c>
      <c r="R1094" t="s">
        <v>39</v>
      </c>
      <c r="T1094" t="s">
        <v>39</v>
      </c>
      <c r="U1094" s="1">
        <v>45838</v>
      </c>
    </row>
    <row r="1095" spans="1:21" x14ac:dyDescent="0.3">
      <c r="A1095">
        <v>1089</v>
      </c>
      <c r="B1095">
        <v>363</v>
      </c>
      <c r="C1095">
        <v>3</v>
      </c>
      <c r="D1095" t="s">
        <v>19</v>
      </c>
      <c r="E1095" t="s">
        <v>22</v>
      </c>
      <c r="F1095">
        <v>23</v>
      </c>
      <c r="G1095" t="s">
        <v>24</v>
      </c>
      <c r="I1095" t="s">
        <v>30</v>
      </c>
      <c r="J1095" s="1">
        <v>45802</v>
      </c>
      <c r="K1095" t="s">
        <v>34</v>
      </c>
      <c r="L1095" t="s">
        <v>37</v>
      </c>
      <c r="M1095" t="s">
        <v>38</v>
      </c>
      <c r="N1095">
        <v>4</v>
      </c>
      <c r="O1095">
        <v>0.79166666666666663</v>
      </c>
      <c r="P1095">
        <v>73.5</v>
      </c>
      <c r="Q1095" t="s">
        <v>39</v>
      </c>
      <c r="R1095" t="s">
        <v>39</v>
      </c>
      <c r="T1095" t="s">
        <v>39</v>
      </c>
      <c r="U1095" s="1">
        <v>45838</v>
      </c>
    </row>
    <row r="1096" spans="1:21" x14ac:dyDescent="0.3">
      <c r="A1096">
        <v>1090</v>
      </c>
      <c r="B1096">
        <v>364</v>
      </c>
      <c r="C1096">
        <v>1</v>
      </c>
      <c r="D1096" t="s">
        <v>19</v>
      </c>
      <c r="E1096" t="s">
        <v>22</v>
      </c>
      <c r="F1096">
        <v>18</v>
      </c>
      <c r="G1096" t="s">
        <v>25</v>
      </c>
      <c r="I1096" t="s">
        <v>31</v>
      </c>
      <c r="J1096" s="1">
        <v>45805</v>
      </c>
      <c r="K1096" t="s">
        <v>34</v>
      </c>
      <c r="L1096" t="s">
        <v>35</v>
      </c>
      <c r="M1096" t="s">
        <v>38</v>
      </c>
      <c r="N1096">
        <v>4</v>
      </c>
      <c r="O1096">
        <v>0.85416666666666663</v>
      </c>
      <c r="P1096">
        <v>94.5</v>
      </c>
      <c r="Q1096" t="s">
        <v>39</v>
      </c>
      <c r="R1096" t="s">
        <v>39</v>
      </c>
      <c r="T1096" t="s">
        <v>40</v>
      </c>
      <c r="U1096" s="1">
        <v>45838</v>
      </c>
    </row>
    <row r="1097" spans="1:21" x14ac:dyDescent="0.3">
      <c r="A1097">
        <v>1091</v>
      </c>
      <c r="B1097">
        <v>364</v>
      </c>
      <c r="C1097">
        <v>2</v>
      </c>
      <c r="D1097" t="s">
        <v>19</v>
      </c>
      <c r="E1097" t="s">
        <v>22</v>
      </c>
      <c r="F1097">
        <v>18</v>
      </c>
      <c r="G1097" t="s">
        <v>25</v>
      </c>
      <c r="I1097" t="s">
        <v>31</v>
      </c>
      <c r="J1097" s="1">
        <v>45805</v>
      </c>
      <c r="K1097" t="s">
        <v>34</v>
      </c>
      <c r="L1097" t="s">
        <v>36</v>
      </c>
      <c r="M1097" t="s">
        <v>38</v>
      </c>
      <c r="N1097">
        <v>4</v>
      </c>
      <c r="O1097">
        <v>0.875</v>
      </c>
      <c r="P1097">
        <v>76</v>
      </c>
      <c r="Q1097" t="s">
        <v>39</v>
      </c>
      <c r="R1097" t="s">
        <v>39</v>
      </c>
      <c r="T1097" t="s">
        <v>40</v>
      </c>
      <c r="U1097" s="1">
        <v>45838</v>
      </c>
    </row>
    <row r="1098" spans="1:21" x14ac:dyDescent="0.3">
      <c r="A1098">
        <v>1092</v>
      </c>
      <c r="B1098">
        <v>364</v>
      </c>
      <c r="C1098">
        <v>3</v>
      </c>
      <c r="D1098" t="s">
        <v>19</v>
      </c>
      <c r="E1098" t="s">
        <v>22</v>
      </c>
      <c r="F1098">
        <v>18</v>
      </c>
      <c r="G1098" t="s">
        <v>25</v>
      </c>
      <c r="I1098" t="s">
        <v>31</v>
      </c>
      <c r="J1098" s="1">
        <v>45805</v>
      </c>
      <c r="K1098" t="s">
        <v>34</v>
      </c>
      <c r="L1098" t="s">
        <v>37</v>
      </c>
      <c r="M1098" t="s">
        <v>38</v>
      </c>
      <c r="N1098">
        <v>4</v>
      </c>
      <c r="O1098">
        <v>0.8125</v>
      </c>
      <c r="P1098">
        <v>52</v>
      </c>
      <c r="Q1098" t="s">
        <v>39</v>
      </c>
      <c r="R1098" t="s">
        <v>39</v>
      </c>
      <c r="T1098" t="s">
        <v>40</v>
      </c>
      <c r="U1098" s="1">
        <v>45838</v>
      </c>
    </row>
    <row r="1099" spans="1:21" x14ac:dyDescent="0.3">
      <c r="A1099">
        <v>1093</v>
      </c>
      <c r="B1099">
        <v>365</v>
      </c>
      <c r="C1099">
        <v>1</v>
      </c>
      <c r="D1099" t="s">
        <v>19</v>
      </c>
      <c r="E1099" t="s">
        <v>23</v>
      </c>
      <c r="F1099">
        <v>24</v>
      </c>
      <c r="G1099" t="s">
        <v>26</v>
      </c>
      <c r="I1099" t="s">
        <v>33</v>
      </c>
      <c r="J1099" s="1">
        <v>45665</v>
      </c>
      <c r="K1099" t="s">
        <v>34</v>
      </c>
      <c r="L1099" t="s">
        <v>35</v>
      </c>
      <c r="M1099" t="s">
        <v>38</v>
      </c>
      <c r="N1099">
        <v>4</v>
      </c>
      <c r="O1099">
        <v>0.79166666666666663</v>
      </c>
      <c r="P1099">
        <v>63.5</v>
      </c>
      <c r="Q1099" t="s">
        <v>39</v>
      </c>
      <c r="R1099" t="s">
        <v>39</v>
      </c>
      <c r="T1099" t="s">
        <v>40</v>
      </c>
      <c r="U1099" s="1">
        <v>45838</v>
      </c>
    </row>
    <row r="1100" spans="1:21" x14ac:dyDescent="0.3">
      <c r="A1100">
        <v>1094</v>
      </c>
      <c r="B1100">
        <v>365</v>
      </c>
      <c r="C1100">
        <v>2</v>
      </c>
      <c r="D1100" t="s">
        <v>19</v>
      </c>
      <c r="E1100" t="s">
        <v>23</v>
      </c>
      <c r="F1100">
        <v>24</v>
      </c>
      <c r="G1100" t="s">
        <v>26</v>
      </c>
      <c r="I1100" t="s">
        <v>33</v>
      </c>
      <c r="J1100" s="1">
        <v>45665</v>
      </c>
      <c r="K1100" t="s">
        <v>34</v>
      </c>
      <c r="L1100" t="s">
        <v>36</v>
      </c>
      <c r="M1100" t="s">
        <v>38</v>
      </c>
      <c r="N1100">
        <v>4</v>
      </c>
      <c r="O1100">
        <v>0.70833333333333337</v>
      </c>
      <c r="P1100">
        <v>65.5</v>
      </c>
      <c r="Q1100" t="s">
        <v>39</v>
      </c>
      <c r="R1100" t="s">
        <v>39</v>
      </c>
      <c r="T1100" t="s">
        <v>40</v>
      </c>
      <c r="U1100" s="1">
        <v>45838</v>
      </c>
    </row>
    <row r="1101" spans="1:21" x14ac:dyDescent="0.3">
      <c r="A1101">
        <v>1095</v>
      </c>
      <c r="B1101">
        <v>365</v>
      </c>
      <c r="C1101">
        <v>3</v>
      </c>
      <c r="D1101" t="s">
        <v>19</v>
      </c>
      <c r="E1101" t="s">
        <v>23</v>
      </c>
      <c r="F1101">
        <v>24</v>
      </c>
      <c r="G1101" t="s">
        <v>26</v>
      </c>
      <c r="I1101" t="s">
        <v>33</v>
      </c>
      <c r="J1101" s="1">
        <v>45665</v>
      </c>
      <c r="K1101" t="s">
        <v>34</v>
      </c>
      <c r="L1101" t="s">
        <v>37</v>
      </c>
      <c r="M1101" t="s">
        <v>38</v>
      </c>
      <c r="N1101">
        <v>4</v>
      </c>
      <c r="O1101">
        <v>0.8125</v>
      </c>
      <c r="P1101">
        <v>75</v>
      </c>
      <c r="Q1101" t="s">
        <v>39</v>
      </c>
      <c r="R1101" t="s">
        <v>39</v>
      </c>
      <c r="T1101" t="s">
        <v>40</v>
      </c>
      <c r="U1101" s="1">
        <v>45838</v>
      </c>
    </row>
    <row r="1102" spans="1:21" x14ac:dyDescent="0.3">
      <c r="A1102">
        <v>1096</v>
      </c>
      <c r="B1102">
        <v>366</v>
      </c>
      <c r="C1102">
        <v>1</v>
      </c>
      <c r="D1102" t="s">
        <v>20</v>
      </c>
      <c r="E1102" t="s">
        <v>23</v>
      </c>
      <c r="F1102">
        <v>35</v>
      </c>
      <c r="G1102" t="s">
        <v>29</v>
      </c>
      <c r="I1102" t="s">
        <v>30</v>
      </c>
      <c r="J1102" s="1">
        <v>45781</v>
      </c>
      <c r="K1102" t="s">
        <v>34</v>
      </c>
      <c r="L1102" t="s">
        <v>35</v>
      </c>
      <c r="M1102" t="s">
        <v>38</v>
      </c>
      <c r="N1102">
        <v>4</v>
      </c>
      <c r="O1102">
        <v>0.79166666666666663</v>
      </c>
      <c r="P1102">
        <v>70</v>
      </c>
      <c r="Q1102" t="s">
        <v>39</v>
      </c>
      <c r="R1102" t="s">
        <v>39</v>
      </c>
      <c r="T1102" t="s">
        <v>40</v>
      </c>
      <c r="U1102" s="1">
        <v>45838</v>
      </c>
    </row>
    <row r="1103" spans="1:21" x14ac:dyDescent="0.3">
      <c r="A1103">
        <v>1097</v>
      </c>
      <c r="B1103">
        <v>366</v>
      </c>
      <c r="C1103">
        <v>2</v>
      </c>
      <c r="D1103" t="s">
        <v>19</v>
      </c>
      <c r="E1103" t="s">
        <v>23</v>
      </c>
      <c r="F1103">
        <v>35</v>
      </c>
      <c r="G1103" t="s">
        <v>29</v>
      </c>
      <c r="I1103" t="s">
        <v>30</v>
      </c>
      <c r="J1103" s="1">
        <v>45781</v>
      </c>
      <c r="K1103" t="s">
        <v>34</v>
      </c>
      <c r="L1103" t="s">
        <v>36</v>
      </c>
      <c r="M1103" t="s">
        <v>38</v>
      </c>
      <c r="N1103">
        <v>4</v>
      </c>
      <c r="O1103">
        <v>0.8125</v>
      </c>
      <c r="P1103">
        <v>55</v>
      </c>
      <c r="Q1103" t="s">
        <v>39</v>
      </c>
      <c r="R1103" t="s">
        <v>39</v>
      </c>
      <c r="T1103" t="s">
        <v>40</v>
      </c>
      <c r="U1103" s="1">
        <v>45838</v>
      </c>
    </row>
    <row r="1104" spans="1:21" x14ac:dyDescent="0.3">
      <c r="A1104">
        <v>1098</v>
      </c>
      <c r="B1104">
        <v>366</v>
      </c>
      <c r="C1104">
        <v>3</v>
      </c>
      <c r="D1104" t="s">
        <v>19</v>
      </c>
      <c r="E1104" t="s">
        <v>23</v>
      </c>
      <c r="F1104">
        <v>35</v>
      </c>
      <c r="G1104" t="s">
        <v>29</v>
      </c>
      <c r="I1104" t="s">
        <v>30</v>
      </c>
      <c r="J1104" s="1">
        <v>45781</v>
      </c>
      <c r="K1104" t="s">
        <v>34</v>
      </c>
      <c r="L1104" t="s">
        <v>37</v>
      </c>
      <c r="M1104" t="s">
        <v>38</v>
      </c>
      <c r="N1104">
        <v>4</v>
      </c>
      <c r="O1104">
        <v>0.875</v>
      </c>
      <c r="P1104">
        <v>93.5</v>
      </c>
      <c r="Q1104" t="s">
        <v>39</v>
      </c>
      <c r="R1104" t="s">
        <v>39</v>
      </c>
      <c r="T1104" t="s">
        <v>40</v>
      </c>
      <c r="U1104" s="1">
        <v>45838</v>
      </c>
    </row>
    <row r="1105" spans="1:21" x14ac:dyDescent="0.3">
      <c r="A1105">
        <v>1099</v>
      </c>
      <c r="B1105">
        <v>367</v>
      </c>
      <c r="C1105">
        <v>1</v>
      </c>
      <c r="D1105" t="s">
        <v>21</v>
      </c>
      <c r="E1105" t="s">
        <v>22</v>
      </c>
      <c r="F1105">
        <v>30</v>
      </c>
      <c r="G1105" t="s">
        <v>29</v>
      </c>
      <c r="I1105" t="s">
        <v>33</v>
      </c>
      <c r="J1105" s="1">
        <v>45676</v>
      </c>
      <c r="K1105" t="s">
        <v>34</v>
      </c>
      <c r="L1105" t="s">
        <v>35</v>
      </c>
      <c r="M1105" t="s">
        <v>38</v>
      </c>
      <c r="N1105">
        <v>4</v>
      </c>
      <c r="O1105">
        <v>0.79166666666666663</v>
      </c>
      <c r="P1105">
        <v>66.5</v>
      </c>
      <c r="Q1105" t="s">
        <v>39</v>
      </c>
      <c r="R1105" t="s">
        <v>39</v>
      </c>
      <c r="T1105" t="s">
        <v>40</v>
      </c>
      <c r="U1105" s="1">
        <v>45838</v>
      </c>
    </row>
    <row r="1106" spans="1:21" x14ac:dyDescent="0.3">
      <c r="A1106">
        <v>1100</v>
      </c>
      <c r="B1106">
        <v>367</v>
      </c>
      <c r="C1106">
        <v>2</v>
      </c>
      <c r="D1106" t="s">
        <v>21</v>
      </c>
      <c r="E1106" t="s">
        <v>22</v>
      </c>
      <c r="F1106">
        <v>30</v>
      </c>
      <c r="G1106" t="s">
        <v>29</v>
      </c>
      <c r="I1106" t="s">
        <v>33</v>
      </c>
      <c r="J1106" s="1">
        <v>45676</v>
      </c>
      <c r="K1106" t="s">
        <v>34</v>
      </c>
      <c r="L1106" t="s">
        <v>36</v>
      </c>
      <c r="M1106" t="s">
        <v>38</v>
      </c>
      <c r="N1106">
        <v>4</v>
      </c>
      <c r="O1106">
        <v>0.83333333333333337</v>
      </c>
      <c r="P1106">
        <v>75.5</v>
      </c>
      <c r="Q1106" t="s">
        <v>39</v>
      </c>
      <c r="R1106" t="s">
        <v>39</v>
      </c>
      <c r="T1106" t="s">
        <v>40</v>
      </c>
      <c r="U1106" s="1">
        <v>45838</v>
      </c>
    </row>
    <row r="1107" spans="1:21" x14ac:dyDescent="0.3">
      <c r="A1107">
        <v>1101</v>
      </c>
      <c r="B1107">
        <v>367</v>
      </c>
      <c r="C1107">
        <v>3</v>
      </c>
      <c r="D1107" t="s">
        <v>20</v>
      </c>
      <c r="E1107" t="s">
        <v>22</v>
      </c>
      <c r="F1107">
        <v>30</v>
      </c>
      <c r="G1107" t="s">
        <v>29</v>
      </c>
      <c r="I1107" t="s">
        <v>33</v>
      </c>
      <c r="J1107" s="1">
        <v>45676</v>
      </c>
      <c r="K1107" t="s">
        <v>34</v>
      </c>
      <c r="L1107" t="s">
        <v>37</v>
      </c>
      <c r="M1107" t="s">
        <v>38</v>
      </c>
      <c r="N1107">
        <v>4</v>
      </c>
      <c r="O1107">
        <v>0.8125</v>
      </c>
      <c r="P1107">
        <v>54</v>
      </c>
      <c r="Q1107" t="s">
        <v>39</v>
      </c>
      <c r="R1107" t="s">
        <v>39</v>
      </c>
      <c r="T1107" t="s">
        <v>40</v>
      </c>
      <c r="U1107" s="1">
        <v>45838</v>
      </c>
    </row>
    <row r="1108" spans="1:21" x14ac:dyDescent="0.3">
      <c r="A1108">
        <v>1102</v>
      </c>
      <c r="B1108">
        <v>368</v>
      </c>
      <c r="C1108">
        <v>1</v>
      </c>
      <c r="D1108" t="s">
        <v>21</v>
      </c>
      <c r="E1108" t="s">
        <v>22</v>
      </c>
      <c r="F1108">
        <v>23</v>
      </c>
      <c r="G1108" t="s">
        <v>27</v>
      </c>
      <c r="I1108" t="s">
        <v>33</v>
      </c>
      <c r="J1108" s="1">
        <v>45781</v>
      </c>
      <c r="K1108" t="s">
        <v>34</v>
      </c>
      <c r="L1108" t="s">
        <v>35</v>
      </c>
      <c r="M1108" t="s">
        <v>38</v>
      </c>
      <c r="N1108">
        <v>4</v>
      </c>
      <c r="O1108">
        <v>0.875</v>
      </c>
      <c r="P1108">
        <v>62</v>
      </c>
      <c r="Q1108" t="s">
        <v>39</v>
      </c>
      <c r="R1108" t="s">
        <v>40</v>
      </c>
      <c r="T1108" t="s">
        <v>40</v>
      </c>
      <c r="U1108" s="1">
        <v>45838</v>
      </c>
    </row>
    <row r="1109" spans="1:21" x14ac:dyDescent="0.3">
      <c r="A1109">
        <v>1103</v>
      </c>
      <c r="B1109">
        <v>368</v>
      </c>
      <c r="C1109">
        <v>2</v>
      </c>
      <c r="D1109" t="s">
        <v>19</v>
      </c>
      <c r="E1109" t="s">
        <v>22</v>
      </c>
      <c r="F1109">
        <v>23</v>
      </c>
      <c r="G1109" t="s">
        <v>27</v>
      </c>
      <c r="I1109" t="s">
        <v>33</v>
      </c>
      <c r="J1109" s="1">
        <v>45781</v>
      </c>
      <c r="K1109" t="s">
        <v>34</v>
      </c>
      <c r="L1109" t="s">
        <v>36</v>
      </c>
      <c r="M1109" t="s">
        <v>38</v>
      </c>
      <c r="N1109">
        <v>4</v>
      </c>
      <c r="O1109">
        <v>0.79166666666666663</v>
      </c>
      <c r="P1109">
        <v>63</v>
      </c>
      <c r="Q1109" t="s">
        <v>39</v>
      </c>
      <c r="R1109" t="s">
        <v>40</v>
      </c>
      <c r="T1109" t="s">
        <v>40</v>
      </c>
      <c r="U1109" s="1">
        <v>45838</v>
      </c>
    </row>
    <row r="1110" spans="1:21" x14ac:dyDescent="0.3">
      <c r="A1110">
        <v>1104</v>
      </c>
      <c r="B1110">
        <v>368</v>
      </c>
      <c r="C1110">
        <v>3</v>
      </c>
      <c r="D1110" t="s">
        <v>19</v>
      </c>
      <c r="E1110" t="s">
        <v>22</v>
      </c>
      <c r="F1110">
        <v>23</v>
      </c>
      <c r="G1110" t="s">
        <v>27</v>
      </c>
      <c r="I1110" t="s">
        <v>33</v>
      </c>
      <c r="J1110" s="1">
        <v>45781</v>
      </c>
      <c r="K1110" t="s">
        <v>34</v>
      </c>
      <c r="L1110" t="s">
        <v>37</v>
      </c>
      <c r="M1110" t="s">
        <v>38</v>
      </c>
      <c r="N1110">
        <v>4</v>
      </c>
      <c r="O1110">
        <v>0.89583333333333337</v>
      </c>
      <c r="P1110">
        <v>49</v>
      </c>
      <c r="Q1110" t="s">
        <v>39</v>
      </c>
      <c r="R1110" t="s">
        <v>40</v>
      </c>
      <c r="T1110" t="s">
        <v>40</v>
      </c>
      <c r="U1110" s="1">
        <v>45838</v>
      </c>
    </row>
    <row r="1111" spans="1:21" x14ac:dyDescent="0.3">
      <c r="A1111">
        <v>1105</v>
      </c>
      <c r="B1111">
        <v>369</v>
      </c>
      <c r="C1111">
        <v>1</v>
      </c>
      <c r="D1111" t="s">
        <v>19</v>
      </c>
      <c r="E1111" t="s">
        <v>23</v>
      </c>
      <c r="F1111">
        <v>24</v>
      </c>
      <c r="G1111" t="s">
        <v>29</v>
      </c>
      <c r="I1111" t="s">
        <v>32</v>
      </c>
      <c r="J1111" s="1">
        <v>45738</v>
      </c>
      <c r="K1111" t="s">
        <v>34</v>
      </c>
      <c r="L1111" t="s">
        <v>35</v>
      </c>
      <c r="M1111" t="s">
        <v>38</v>
      </c>
      <c r="N1111">
        <v>4</v>
      </c>
      <c r="O1111">
        <v>0.79166666666666663</v>
      </c>
      <c r="P1111">
        <v>56.5</v>
      </c>
      <c r="Q1111" t="s">
        <v>40</v>
      </c>
      <c r="R1111" t="s">
        <v>40</v>
      </c>
      <c r="T1111" t="s">
        <v>40</v>
      </c>
      <c r="U1111" s="1">
        <v>45838</v>
      </c>
    </row>
    <row r="1112" spans="1:21" x14ac:dyDescent="0.3">
      <c r="A1112">
        <v>1106</v>
      </c>
      <c r="B1112">
        <v>369</v>
      </c>
      <c r="C1112">
        <v>2</v>
      </c>
      <c r="D1112" t="s">
        <v>20</v>
      </c>
      <c r="E1112" t="s">
        <v>23</v>
      </c>
      <c r="F1112">
        <v>24</v>
      </c>
      <c r="G1112" t="s">
        <v>29</v>
      </c>
      <c r="I1112" t="s">
        <v>32</v>
      </c>
      <c r="J1112" s="1">
        <v>45738</v>
      </c>
      <c r="K1112" t="s">
        <v>34</v>
      </c>
      <c r="L1112" t="s">
        <v>36</v>
      </c>
      <c r="M1112" t="s">
        <v>38</v>
      </c>
      <c r="N1112">
        <v>4</v>
      </c>
      <c r="O1112">
        <v>0.875</v>
      </c>
      <c r="P1112">
        <v>66</v>
      </c>
      <c r="Q1112" t="s">
        <v>40</v>
      </c>
      <c r="R1112" t="s">
        <v>40</v>
      </c>
      <c r="T1112" t="s">
        <v>40</v>
      </c>
      <c r="U1112" s="1">
        <v>45838</v>
      </c>
    </row>
    <row r="1113" spans="1:21" x14ac:dyDescent="0.3">
      <c r="A1113">
        <v>1107</v>
      </c>
      <c r="B1113">
        <v>369</v>
      </c>
      <c r="C1113">
        <v>3</v>
      </c>
      <c r="D1113" t="s">
        <v>19</v>
      </c>
      <c r="E1113" t="s">
        <v>23</v>
      </c>
      <c r="F1113">
        <v>24</v>
      </c>
      <c r="G1113" t="s">
        <v>29</v>
      </c>
      <c r="I1113" t="s">
        <v>32</v>
      </c>
      <c r="J1113" s="1">
        <v>45738</v>
      </c>
      <c r="K1113" t="s">
        <v>34</v>
      </c>
      <c r="L1113" t="s">
        <v>37</v>
      </c>
      <c r="M1113" t="s">
        <v>38</v>
      </c>
      <c r="N1113">
        <v>4</v>
      </c>
      <c r="O1113">
        <v>0.77083333333333337</v>
      </c>
      <c r="P1113">
        <v>81</v>
      </c>
      <c r="Q1113" t="s">
        <v>40</v>
      </c>
      <c r="R1113" t="s">
        <v>40</v>
      </c>
      <c r="T1113" t="s">
        <v>40</v>
      </c>
      <c r="U1113" s="1">
        <v>45838</v>
      </c>
    </row>
    <row r="1114" spans="1:21" x14ac:dyDescent="0.3">
      <c r="A1114">
        <v>1108</v>
      </c>
      <c r="B1114">
        <v>370</v>
      </c>
      <c r="C1114">
        <v>1</v>
      </c>
      <c r="D1114" t="s">
        <v>19</v>
      </c>
      <c r="E1114" t="s">
        <v>23</v>
      </c>
      <c r="F1114">
        <v>29</v>
      </c>
      <c r="G1114" t="s">
        <v>27</v>
      </c>
      <c r="I1114" t="s">
        <v>32</v>
      </c>
      <c r="J1114" s="1">
        <v>45752</v>
      </c>
      <c r="K1114" t="s">
        <v>34</v>
      </c>
      <c r="L1114" t="s">
        <v>35</v>
      </c>
      <c r="M1114" t="s">
        <v>38</v>
      </c>
      <c r="N1114">
        <v>4</v>
      </c>
      <c r="O1114">
        <v>0.83333333333333337</v>
      </c>
      <c r="P1114">
        <v>50.5</v>
      </c>
      <c r="Q1114" t="s">
        <v>40</v>
      </c>
      <c r="R1114" t="s">
        <v>40</v>
      </c>
      <c r="T1114" t="s">
        <v>40</v>
      </c>
      <c r="U1114" s="1">
        <v>45838</v>
      </c>
    </row>
    <row r="1115" spans="1:21" x14ac:dyDescent="0.3">
      <c r="A1115">
        <v>1109</v>
      </c>
      <c r="B1115">
        <v>370</v>
      </c>
      <c r="C1115">
        <v>2</v>
      </c>
      <c r="D1115" t="s">
        <v>19</v>
      </c>
      <c r="E1115" t="s">
        <v>23</v>
      </c>
      <c r="F1115">
        <v>29</v>
      </c>
      <c r="G1115" t="s">
        <v>27</v>
      </c>
      <c r="I1115" t="s">
        <v>32</v>
      </c>
      <c r="J1115" s="1">
        <v>45752</v>
      </c>
      <c r="K1115" t="s">
        <v>34</v>
      </c>
      <c r="L1115" t="s">
        <v>36</v>
      </c>
      <c r="M1115" t="s">
        <v>38</v>
      </c>
      <c r="N1115">
        <v>4</v>
      </c>
      <c r="O1115">
        <v>0.875</v>
      </c>
      <c r="P1115">
        <v>70.5</v>
      </c>
      <c r="Q1115" t="s">
        <v>40</v>
      </c>
      <c r="R1115" t="s">
        <v>40</v>
      </c>
      <c r="T1115" t="s">
        <v>40</v>
      </c>
      <c r="U1115" s="1">
        <v>45838</v>
      </c>
    </row>
    <row r="1116" spans="1:21" x14ac:dyDescent="0.3">
      <c r="A1116">
        <v>1110</v>
      </c>
      <c r="B1116">
        <v>370</v>
      </c>
      <c r="C1116">
        <v>3</v>
      </c>
      <c r="D1116" t="s">
        <v>19</v>
      </c>
      <c r="E1116" t="s">
        <v>23</v>
      </c>
      <c r="F1116">
        <v>29</v>
      </c>
      <c r="G1116" t="s">
        <v>27</v>
      </c>
      <c r="I1116" t="s">
        <v>32</v>
      </c>
      <c r="J1116" s="1">
        <v>45752</v>
      </c>
      <c r="K1116" t="s">
        <v>34</v>
      </c>
      <c r="L1116" t="s">
        <v>37</v>
      </c>
      <c r="M1116" t="s">
        <v>38</v>
      </c>
      <c r="N1116">
        <v>4</v>
      </c>
      <c r="O1116">
        <v>0.83333333333333337</v>
      </c>
      <c r="P1116">
        <v>61</v>
      </c>
      <c r="Q1116" t="s">
        <v>40</v>
      </c>
      <c r="R1116" t="s">
        <v>40</v>
      </c>
      <c r="T1116" t="s">
        <v>40</v>
      </c>
      <c r="U1116" s="1">
        <v>45838</v>
      </c>
    </row>
    <row r="1117" spans="1:21" x14ac:dyDescent="0.3">
      <c r="A1117">
        <v>1111</v>
      </c>
      <c r="B1117">
        <v>371</v>
      </c>
      <c r="C1117">
        <v>1</v>
      </c>
      <c r="D1117" t="s">
        <v>19</v>
      </c>
      <c r="E1117" t="s">
        <v>22</v>
      </c>
      <c r="F1117">
        <v>28</v>
      </c>
      <c r="G1117" t="s">
        <v>28</v>
      </c>
      <c r="I1117" t="s">
        <v>33</v>
      </c>
      <c r="J1117" s="1">
        <v>45689</v>
      </c>
      <c r="K1117" t="s">
        <v>34</v>
      </c>
      <c r="L1117" t="s">
        <v>35</v>
      </c>
      <c r="M1117" t="s">
        <v>38</v>
      </c>
      <c r="N1117">
        <v>4</v>
      </c>
      <c r="O1117">
        <v>0.83333333333333337</v>
      </c>
      <c r="P1117">
        <v>61</v>
      </c>
      <c r="Q1117" t="s">
        <v>39</v>
      </c>
      <c r="R1117" t="s">
        <v>39</v>
      </c>
      <c r="T1117" t="s">
        <v>40</v>
      </c>
      <c r="U1117" s="1">
        <v>45838</v>
      </c>
    </row>
    <row r="1118" spans="1:21" x14ac:dyDescent="0.3">
      <c r="A1118">
        <v>1112</v>
      </c>
      <c r="B1118">
        <v>371</v>
      </c>
      <c r="C1118">
        <v>2</v>
      </c>
      <c r="D1118" t="s">
        <v>20</v>
      </c>
      <c r="E1118" t="s">
        <v>22</v>
      </c>
      <c r="F1118">
        <v>28</v>
      </c>
      <c r="G1118" t="s">
        <v>28</v>
      </c>
      <c r="I1118" t="s">
        <v>33</v>
      </c>
      <c r="J1118" s="1">
        <v>45689</v>
      </c>
      <c r="K1118" t="s">
        <v>34</v>
      </c>
      <c r="L1118" t="s">
        <v>36</v>
      </c>
      <c r="M1118" t="s">
        <v>38</v>
      </c>
      <c r="N1118">
        <v>4</v>
      </c>
      <c r="O1118">
        <v>0.75</v>
      </c>
      <c r="P1118">
        <v>88</v>
      </c>
      <c r="Q1118" t="s">
        <v>39</v>
      </c>
      <c r="R1118" t="s">
        <v>39</v>
      </c>
      <c r="T1118" t="s">
        <v>40</v>
      </c>
      <c r="U1118" s="1">
        <v>45838</v>
      </c>
    </row>
    <row r="1119" spans="1:21" x14ac:dyDescent="0.3">
      <c r="A1119">
        <v>1113</v>
      </c>
      <c r="B1119">
        <v>371</v>
      </c>
      <c r="C1119">
        <v>3</v>
      </c>
      <c r="D1119" t="s">
        <v>21</v>
      </c>
      <c r="E1119" t="s">
        <v>22</v>
      </c>
      <c r="F1119">
        <v>28</v>
      </c>
      <c r="G1119" t="s">
        <v>28</v>
      </c>
      <c r="I1119" t="s">
        <v>33</v>
      </c>
      <c r="J1119" s="1">
        <v>45689</v>
      </c>
      <c r="K1119" t="s">
        <v>34</v>
      </c>
      <c r="L1119" t="s">
        <v>37</v>
      </c>
      <c r="M1119" t="s">
        <v>38</v>
      </c>
      <c r="N1119">
        <v>4</v>
      </c>
      <c r="O1119">
        <v>0.77083333333333337</v>
      </c>
      <c r="P1119">
        <v>84.5</v>
      </c>
      <c r="Q1119" t="s">
        <v>39</v>
      </c>
      <c r="R1119" t="s">
        <v>39</v>
      </c>
      <c r="T1119" t="s">
        <v>40</v>
      </c>
      <c r="U1119" s="1">
        <v>45838</v>
      </c>
    </row>
    <row r="1120" spans="1:21" x14ac:dyDescent="0.3">
      <c r="A1120">
        <v>1114</v>
      </c>
      <c r="B1120">
        <v>372</v>
      </c>
      <c r="C1120">
        <v>1</v>
      </c>
      <c r="D1120" t="s">
        <v>19</v>
      </c>
      <c r="E1120" t="s">
        <v>23</v>
      </c>
      <c r="F1120">
        <v>32</v>
      </c>
      <c r="G1120" t="s">
        <v>28</v>
      </c>
      <c r="I1120" t="s">
        <v>32</v>
      </c>
      <c r="J1120" s="1">
        <v>45682</v>
      </c>
      <c r="K1120" t="s">
        <v>34</v>
      </c>
      <c r="L1120" t="s">
        <v>35</v>
      </c>
      <c r="M1120" t="s">
        <v>38</v>
      </c>
      <c r="N1120">
        <v>4</v>
      </c>
      <c r="O1120">
        <v>0.83333333333333337</v>
      </c>
      <c r="P1120">
        <v>68.5</v>
      </c>
      <c r="Q1120" t="s">
        <v>40</v>
      </c>
      <c r="R1120" t="s">
        <v>40</v>
      </c>
      <c r="T1120" t="s">
        <v>40</v>
      </c>
      <c r="U1120" s="1">
        <v>45838</v>
      </c>
    </row>
    <row r="1121" spans="1:21" x14ac:dyDescent="0.3">
      <c r="A1121">
        <v>1115</v>
      </c>
      <c r="B1121">
        <v>372</v>
      </c>
      <c r="C1121">
        <v>2</v>
      </c>
      <c r="D1121" t="s">
        <v>20</v>
      </c>
      <c r="E1121" t="s">
        <v>23</v>
      </c>
      <c r="F1121">
        <v>32</v>
      </c>
      <c r="G1121" t="s">
        <v>28</v>
      </c>
      <c r="I1121" t="s">
        <v>32</v>
      </c>
      <c r="J1121" s="1">
        <v>45682</v>
      </c>
      <c r="K1121" t="s">
        <v>34</v>
      </c>
      <c r="L1121" t="s">
        <v>36</v>
      </c>
      <c r="M1121" t="s">
        <v>38</v>
      </c>
      <c r="N1121">
        <v>4</v>
      </c>
      <c r="O1121">
        <v>0.75</v>
      </c>
      <c r="P1121">
        <v>75</v>
      </c>
      <c r="Q1121" t="s">
        <v>40</v>
      </c>
      <c r="R1121" t="s">
        <v>40</v>
      </c>
      <c r="T1121" t="s">
        <v>40</v>
      </c>
      <c r="U1121" s="1">
        <v>45838</v>
      </c>
    </row>
    <row r="1122" spans="1:21" x14ac:dyDescent="0.3">
      <c r="A1122">
        <v>1116</v>
      </c>
      <c r="B1122">
        <v>372</v>
      </c>
      <c r="C1122">
        <v>3</v>
      </c>
      <c r="D1122" t="s">
        <v>19</v>
      </c>
      <c r="E1122" t="s">
        <v>23</v>
      </c>
      <c r="F1122">
        <v>32</v>
      </c>
      <c r="G1122" t="s">
        <v>28</v>
      </c>
      <c r="I1122" t="s">
        <v>32</v>
      </c>
      <c r="J1122" s="1">
        <v>45682</v>
      </c>
      <c r="K1122" t="s">
        <v>34</v>
      </c>
      <c r="L1122" t="s">
        <v>37</v>
      </c>
      <c r="M1122" t="s">
        <v>38</v>
      </c>
      <c r="N1122">
        <v>4</v>
      </c>
      <c r="O1122">
        <v>0.83333333333333337</v>
      </c>
      <c r="P1122">
        <v>76</v>
      </c>
      <c r="Q1122" t="s">
        <v>40</v>
      </c>
      <c r="R1122" t="s">
        <v>40</v>
      </c>
      <c r="T1122" t="s">
        <v>40</v>
      </c>
      <c r="U1122" s="1">
        <v>45838</v>
      </c>
    </row>
    <row r="1123" spans="1:21" x14ac:dyDescent="0.3">
      <c r="A1123">
        <v>1117</v>
      </c>
      <c r="B1123">
        <v>373</v>
      </c>
      <c r="C1123">
        <v>1</v>
      </c>
      <c r="D1123" t="s">
        <v>21</v>
      </c>
      <c r="E1123" t="s">
        <v>22</v>
      </c>
      <c r="F1123">
        <v>27</v>
      </c>
      <c r="G1123" t="s">
        <v>27</v>
      </c>
      <c r="I1123" t="s">
        <v>33</v>
      </c>
      <c r="J1123" s="1">
        <v>45721</v>
      </c>
      <c r="K1123" t="s">
        <v>34</v>
      </c>
      <c r="L1123" t="s">
        <v>35</v>
      </c>
      <c r="M1123" t="s">
        <v>38</v>
      </c>
      <c r="N1123">
        <v>4</v>
      </c>
      <c r="O1123">
        <v>0.83333333333333337</v>
      </c>
      <c r="P1123">
        <v>65</v>
      </c>
      <c r="Q1123" t="s">
        <v>39</v>
      </c>
      <c r="R1123" t="s">
        <v>39</v>
      </c>
      <c r="T1123" t="s">
        <v>40</v>
      </c>
      <c r="U1123" s="1">
        <v>45838</v>
      </c>
    </row>
    <row r="1124" spans="1:21" x14ac:dyDescent="0.3">
      <c r="A1124">
        <v>1118</v>
      </c>
      <c r="B1124">
        <v>373</v>
      </c>
      <c r="C1124">
        <v>2</v>
      </c>
      <c r="D1124" t="s">
        <v>20</v>
      </c>
      <c r="E1124" t="s">
        <v>22</v>
      </c>
      <c r="F1124">
        <v>27</v>
      </c>
      <c r="G1124" t="s">
        <v>27</v>
      </c>
      <c r="I1124" t="s">
        <v>33</v>
      </c>
      <c r="J1124" s="1">
        <v>45721</v>
      </c>
      <c r="K1124" t="s">
        <v>34</v>
      </c>
      <c r="L1124" t="s">
        <v>36</v>
      </c>
      <c r="M1124" t="s">
        <v>38</v>
      </c>
      <c r="N1124">
        <v>4</v>
      </c>
      <c r="O1124">
        <v>0.85416666666666663</v>
      </c>
      <c r="P1124">
        <v>60</v>
      </c>
      <c r="Q1124" t="s">
        <v>39</v>
      </c>
      <c r="R1124" t="s">
        <v>39</v>
      </c>
      <c r="T1124" t="s">
        <v>40</v>
      </c>
      <c r="U1124" s="1">
        <v>45838</v>
      </c>
    </row>
    <row r="1125" spans="1:21" x14ac:dyDescent="0.3">
      <c r="A1125">
        <v>1119</v>
      </c>
      <c r="B1125">
        <v>373</v>
      </c>
      <c r="C1125">
        <v>3</v>
      </c>
      <c r="D1125" t="s">
        <v>20</v>
      </c>
      <c r="E1125" t="s">
        <v>22</v>
      </c>
      <c r="F1125">
        <v>27</v>
      </c>
      <c r="G1125" t="s">
        <v>27</v>
      </c>
      <c r="I1125" t="s">
        <v>33</v>
      </c>
      <c r="J1125" s="1">
        <v>45721</v>
      </c>
      <c r="K1125" t="s">
        <v>34</v>
      </c>
      <c r="L1125" t="s">
        <v>37</v>
      </c>
      <c r="M1125" t="s">
        <v>38</v>
      </c>
      <c r="N1125">
        <v>4</v>
      </c>
      <c r="O1125">
        <v>0.72916666666666663</v>
      </c>
      <c r="P1125">
        <v>72.5</v>
      </c>
      <c r="Q1125" t="s">
        <v>39</v>
      </c>
      <c r="R1125" t="s">
        <v>39</v>
      </c>
      <c r="T1125" t="s">
        <v>40</v>
      </c>
      <c r="U1125" s="1">
        <v>45838</v>
      </c>
    </row>
    <row r="1126" spans="1:21" x14ac:dyDescent="0.3">
      <c r="A1126">
        <v>1120</v>
      </c>
      <c r="B1126">
        <v>374</v>
      </c>
      <c r="C1126">
        <v>1</v>
      </c>
      <c r="D1126" t="s">
        <v>19</v>
      </c>
      <c r="E1126" t="s">
        <v>22</v>
      </c>
      <c r="F1126">
        <v>28</v>
      </c>
      <c r="G1126" t="s">
        <v>26</v>
      </c>
      <c r="I1126" t="s">
        <v>30</v>
      </c>
      <c r="J1126" s="1">
        <v>45706</v>
      </c>
      <c r="K1126" t="s">
        <v>34</v>
      </c>
      <c r="L1126" t="s">
        <v>35</v>
      </c>
      <c r="M1126" t="s">
        <v>38</v>
      </c>
      <c r="N1126">
        <v>4</v>
      </c>
      <c r="O1126">
        <v>0.77083333333333337</v>
      </c>
      <c r="P1126">
        <v>78.5</v>
      </c>
      <c r="Q1126" t="s">
        <v>39</v>
      </c>
      <c r="R1126" t="s">
        <v>39</v>
      </c>
      <c r="T1126" t="s">
        <v>40</v>
      </c>
      <c r="U1126" s="1">
        <v>45838</v>
      </c>
    </row>
    <row r="1127" spans="1:21" x14ac:dyDescent="0.3">
      <c r="A1127">
        <v>1121</v>
      </c>
      <c r="B1127">
        <v>374</v>
      </c>
      <c r="C1127">
        <v>2</v>
      </c>
      <c r="D1127" t="s">
        <v>19</v>
      </c>
      <c r="E1127" t="s">
        <v>22</v>
      </c>
      <c r="F1127">
        <v>28</v>
      </c>
      <c r="G1127" t="s">
        <v>26</v>
      </c>
      <c r="I1127" t="s">
        <v>30</v>
      </c>
      <c r="J1127" s="1">
        <v>45706</v>
      </c>
      <c r="K1127" t="s">
        <v>34</v>
      </c>
      <c r="L1127" t="s">
        <v>36</v>
      </c>
      <c r="M1127" t="s">
        <v>38</v>
      </c>
      <c r="N1127">
        <v>4</v>
      </c>
      <c r="O1127">
        <v>0.83333333333333337</v>
      </c>
      <c r="P1127">
        <v>94</v>
      </c>
      <c r="Q1127" t="s">
        <v>39</v>
      </c>
      <c r="R1127" t="s">
        <v>39</v>
      </c>
      <c r="T1127" t="s">
        <v>40</v>
      </c>
      <c r="U1127" s="1">
        <v>45838</v>
      </c>
    </row>
    <row r="1128" spans="1:21" x14ac:dyDescent="0.3">
      <c r="A1128">
        <v>1122</v>
      </c>
      <c r="B1128">
        <v>374</v>
      </c>
      <c r="C1128">
        <v>3</v>
      </c>
      <c r="D1128" t="s">
        <v>19</v>
      </c>
      <c r="E1128" t="s">
        <v>22</v>
      </c>
      <c r="F1128">
        <v>28</v>
      </c>
      <c r="G1128" t="s">
        <v>26</v>
      </c>
      <c r="I1128" t="s">
        <v>30</v>
      </c>
      <c r="J1128" s="1">
        <v>45706</v>
      </c>
      <c r="K1128" t="s">
        <v>34</v>
      </c>
      <c r="L1128" t="s">
        <v>37</v>
      </c>
      <c r="M1128" t="s">
        <v>38</v>
      </c>
      <c r="N1128">
        <v>4</v>
      </c>
      <c r="O1128">
        <v>0.77083333333333337</v>
      </c>
      <c r="P1128">
        <v>90.5</v>
      </c>
      <c r="Q1128" t="s">
        <v>39</v>
      </c>
      <c r="R1128" t="s">
        <v>39</v>
      </c>
      <c r="T1128" t="s">
        <v>40</v>
      </c>
      <c r="U1128" s="1">
        <v>45838</v>
      </c>
    </row>
    <row r="1129" spans="1:21" x14ac:dyDescent="0.3">
      <c r="A1129">
        <v>1123</v>
      </c>
      <c r="B1129">
        <v>375</v>
      </c>
      <c r="C1129">
        <v>1</v>
      </c>
      <c r="D1129" t="s">
        <v>21</v>
      </c>
      <c r="E1129" t="s">
        <v>22</v>
      </c>
      <c r="F1129">
        <v>33</v>
      </c>
      <c r="G1129" t="s">
        <v>26</v>
      </c>
      <c r="I1129" t="s">
        <v>33</v>
      </c>
      <c r="J1129" s="1">
        <v>45785</v>
      </c>
      <c r="K1129" t="s">
        <v>34</v>
      </c>
      <c r="L1129" t="s">
        <v>35</v>
      </c>
      <c r="M1129" t="s">
        <v>38</v>
      </c>
      <c r="N1129">
        <v>4</v>
      </c>
      <c r="O1129">
        <v>0.79166666666666663</v>
      </c>
      <c r="P1129">
        <v>85.5</v>
      </c>
      <c r="Q1129" t="s">
        <v>39</v>
      </c>
      <c r="R1129" t="s">
        <v>39</v>
      </c>
      <c r="T1129" t="s">
        <v>40</v>
      </c>
      <c r="U1129" s="1">
        <v>45838</v>
      </c>
    </row>
    <row r="1130" spans="1:21" x14ac:dyDescent="0.3">
      <c r="A1130">
        <v>1124</v>
      </c>
      <c r="B1130">
        <v>375</v>
      </c>
      <c r="C1130">
        <v>2</v>
      </c>
      <c r="D1130" t="s">
        <v>20</v>
      </c>
      <c r="E1130" t="s">
        <v>22</v>
      </c>
      <c r="F1130">
        <v>33</v>
      </c>
      <c r="G1130" t="s">
        <v>26</v>
      </c>
      <c r="I1130" t="s">
        <v>33</v>
      </c>
      <c r="J1130" s="1">
        <v>45785</v>
      </c>
      <c r="K1130" t="s">
        <v>34</v>
      </c>
      <c r="L1130" t="s">
        <v>36</v>
      </c>
      <c r="M1130" t="s">
        <v>38</v>
      </c>
      <c r="N1130">
        <v>4</v>
      </c>
      <c r="O1130">
        <v>0.89583333333333337</v>
      </c>
      <c r="P1130">
        <v>61</v>
      </c>
      <c r="Q1130" t="s">
        <v>39</v>
      </c>
      <c r="R1130" t="s">
        <v>39</v>
      </c>
      <c r="T1130" t="s">
        <v>40</v>
      </c>
      <c r="U1130" s="1">
        <v>45838</v>
      </c>
    </row>
    <row r="1131" spans="1:21" x14ac:dyDescent="0.3">
      <c r="A1131">
        <v>1125</v>
      </c>
      <c r="B1131">
        <v>375</v>
      </c>
      <c r="C1131">
        <v>3</v>
      </c>
      <c r="D1131" t="s">
        <v>19</v>
      </c>
      <c r="E1131" t="s">
        <v>22</v>
      </c>
      <c r="F1131">
        <v>33</v>
      </c>
      <c r="G1131" t="s">
        <v>26</v>
      </c>
      <c r="I1131" t="s">
        <v>33</v>
      </c>
      <c r="J1131" s="1">
        <v>45785</v>
      </c>
      <c r="K1131" t="s">
        <v>34</v>
      </c>
      <c r="L1131" t="s">
        <v>37</v>
      </c>
      <c r="M1131" t="s">
        <v>38</v>
      </c>
      <c r="N1131">
        <v>4</v>
      </c>
      <c r="O1131">
        <v>0.89583333333333337</v>
      </c>
      <c r="P1131">
        <v>69</v>
      </c>
      <c r="Q1131" t="s">
        <v>39</v>
      </c>
      <c r="R1131" t="s">
        <v>39</v>
      </c>
      <c r="T1131" t="s">
        <v>40</v>
      </c>
      <c r="U1131" s="1">
        <v>45838</v>
      </c>
    </row>
    <row r="1132" spans="1:21" x14ac:dyDescent="0.3">
      <c r="A1132">
        <v>1126</v>
      </c>
      <c r="B1132">
        <v>376</v>
      </c>
      <c r="C1132">
        <v>1</v>
      </c>
      <c r="D1132" t="s">
        <v>20</v>
      </c>
      <c r="E1132" t="s">
        <v>23</v>
      </c>
      <c r="F1132">
        <v>33</v>
      </c>
      <c r="G1132" t="s">
        <v>25</v>
      </c>
      <c r="I1132" t="s">
        <v>31</v>
      </c>
      <c r="J1132" s="1">
        <v>45758</v>
      </c>
      <c r="K1132" t="s">
        <v>34</v>
      </c>
      <c r="L1132" t="s">
        <v>35</v>
      </c>
      <c r="M1132" t="s">
        <v>38</v>
      </c>
      <c r="N1132">
        <v>4</v>
      </c>
      <c r="O1132">
        <v>0.89583333333333337</v>
      </c>
      <c r="P1132">
        <v>82.5</v>
      </c>
      <c r="Q1132" t="s">
        <v>40</v>
      </c>
      <c r="R1132" t="s">
        <v>40</v>
      </c>
      <c r="T1132" t="s">
        <v>40</v>
      </c>
      <c r="U1132" s="1">
        <v>45838</v>
      </c>
    </row>
    <row r="1133" spans="1:21" x14ac:dyDescent="0.3">
      <c r="A1133">
        <v>1127</v>
      </c>
      <c r="B1133">
        <v>376</v>
      </c>
      <c r="C1133">
        <v>2</v>
      </c>
      <c r="D1133" t="s">
        <v>19</v>
      </c>
      <c r="E1133" t="s">
        <v>23</v>
      </c>
      <c r="F1133">
        <v>33</v>
      </c>
      <c r="G1133" t="s">
        <v>25</v>
      </c>
      <c r="I1133" t="s">
        <v>31</v>
      </c>
      <c r="J1133" s="1">
        <v>45758</v>
      </c>
      <c r="K1133" t="s">
        <v>34</v>
      </c>
      <c r="L1133" t="s">
        <v>36</v>
      </c>
      <c r="M1133" t="s">
        <v>38</v>
      </c>
      <c r="N1133">
        <v>4</v>
      </c>
      <c r="O1133">
        <v>0.79166666666666663</v>
      </c>
      <c r="P1133">
        <v>77</v>
      </c>
      <c r="Q1133" t="s">
        <v>40</v>
      </c>
      <c r="R1133" t="s">
        <v>40</v>
      </c>
      <c r="T1133" t="s">
        <v>40</v>
      </c>
      <c r="U1133" s="1">
        <v>45838</v>
      </c>
    </row>
    <row r="1134" spans="1:21" x14ac:dyDescent="0.3">
      <c r="A1134">
        <v>1128</v>
      </c>
      <c r="B1134">
        <v>376</v>
      </c>
      <c r="C1134">
        <v>3</v>
      </c>
      <c r="D1134" t="s">
        <v>21</v>
      </c>
      <c r="E1134" t="s">
        <v>23</v>
      </c>
      <c r="F1134">
        <v>33</v>
      </c>
      <c r="G1134" t="s">
        <v>25</v>
      </c>
      <c r="I1134" t="s">
        <v>31</v>
      </c>
      <c r="J1134" s="1">
        <v>45758</v>
      </c>
      <c r="K1134" t="s">
        <v>34</v>
      </c>
      <c r="L1134" t="s">
        <v>37</v>
      </c>
      <c r="M1134" t="s">
        <v>38</v>
      </c>
      <c r="N1134">
        <v>4</v>
      </c>
      <c r="O1134">
        <v>0.875</v>
      </c>
      <c r="P1134">
        <v>56.5</v>
      </c>
      <c r="Q1134" t="s">
        <v>40</v>
      </c>
      <c r="R1134" t="s">
        <v>40</v>
      </c>
      <c r="T1134" t="s">
        <v>40</v>
      </c>
      <c r="U1134" s="1">
        <v>45838</v>
      </c>
    </row>
    <row r="1135" spans="1:21" x14ac:dyDescent="0.3">
      <c r="A1135">
        <v>1129</v>
      </c>
      <c r="B1135">
        <v>377</v>
      </c>
      <c r="C1135">
        <v>1</v>
      </c>
      <c r="D1135" t="s">
        <v>21</v>
      </c>
      <c r="E1135" t="s">
        <v>23</v>
      </c>
      <c r="F1135">
        <v>25</v>
      </c>
      <c r="G1135" t="s">
        <v>28</v>
      </c>
      <c r="I1135" t="s">
        <v>30</v>
      </c>
      <c r="J1135" s="1">
        <v>45670</v>
      </c>
      <c r="K1135" t="s">
        <v>34</v>
      </c>
      <c r="L1135" t="s">
        <v>35</v>
      </c>
      <c r="M1135" t="s">
        <v>38</v>
      </c>
      <c r="N1135">
        <v>4</v>
      </c>
      <c r="O1135">
        <v>0.77083333333333337</v>
      </c>
      <c r="P1135">
        <v>87</v>
      </c>
      <c r="Q1135" t="s">
        <v>39</v>
      </c>
      <c r="R1135" t="s">
        <v>39</v>
      </c>
      <c r="T1135" t="s">
        <v>40</v>
      </c>
      <c r="U1135" s="1">
        <v>45838</v>
      </c>
    </row>
    <row r="1136" spans="1:21" x14ac:dyDescent="0.3">
      <c r="A1136">
        <v>1130</v>
      </c>
      <c r="B1136">
        <v>377</v>
      </c>
      <c r="C1136">
        <v>2</v>
      </c>
      <c r="D1136" t="s">
        <v>19</v>
      </c>
      <c r="E1136" t="s">
        <v>23</v>
      </c>
      <c r="F1136">
        <v>25</v>
      </c>
      <c r="G1136" t="s">
        <v>28</v>
      </c>
      <c r="I1136" t="s">
        <v>30</v>
      </c>
      <c r="J1136" s="1">
        <v>45670</v>
      </c>
      <c r="K1136" t="s">
        <v>34</v>
      </c>
      <c r="L1136" t="s">
        <v>36</v>
      </c>
      <c r="M1136" t="s">
        <v>38</v>
      </c>
      <c r="N1136">
        <v>4</v>
      </c>
      <c r="O1136">
        <v>0.79166666666666663</v>
      </c>
      <c r="P1136">
        <v>70</v>
      </c>
      <c r="Q1136" t="s">
        <v>39</v>
      </c>
      <c r="R1136" t="s">
        <v>39</v>
      </c>
      <c r="T1136" t="s">
        <v>40</v>
      </c>
      <c r="U1136" s="1">
        <v>45838</v>
      </c>
    </row>
    <row r="1137" spans="1:21" x14ac:dyDescent="0.3">
      <c r="A1137">
        <v>1131</v>
      </c>
      <c r="B1137">
        <v>377</v>
      </c>
      <c r="C1137">
        <v>3</v>
      </c>
      <c r="D1137" t="s">
        <v>21</v>
      </c>
      <c r="E1137" t="s">
        <v>23</v>
      </c>
      <c r="F1137">
        <v>25</v>
      </c>
      <c r="G1137" t="s">
        <v>28</v>
      </c>
      <c r="I1137" t="s">
        <v>30</v>
      </c>
      <c r="J1137" s="1">
        <v>45670</v>
      </c>
      <c r="K1137" t="s">
        <v>34</v>
      </c>
      <c r="L1137" t="s">
        <v>37</v>
      </c>
      <c r="M1137" t="s">
        <v>38</v>
      </c>
      <c r="N1137">
        <v>4</v>
      </c>
      <c r="O1137">
        <v>0.79166666666666663</v>
      </c>
      <c r="P1137">
        <v>77</v>
      </c>
      <c r="Q1137" t="s">
        <v>39</v>
      </c>
      <c r="R1137" t="s">
        <v>39</v>
      </c>
      <c r="T1137" t="s">
        <v>40</v>
      </c>
      <c r="U1137" s="1">
        <v>45838</v>
      </c>
    </row>
    <row r="1138" spans="1:21" x14ac:dyDescent="0.3">
      <c r="A1138">
        <v>1132</v>
      </c>
      <c r="B1138">
        <v>378</v>
      </c>
      <c r="C1138">
        <v>1</v>
      </c>
      <c r="D1138" t="s">
        <v>21</v>
      </c>
      <c r="E1138" t="s">
        <v>22</v>
      </c>
      <c r="F1138">
        <v>27</v>
      </c>
      <c r="G1138" t="s">
        <v>27</v>
      </c>
      <c r="I1138" t="s">
        <v>33</v>
      </c>
      <c r="J1138" s="1">
        <v>45731</v>
      </c>
      <c r="K1138" t="s">
        <v>34</v>
      </c>
      <c r="L1138" t="s">
        <v>35</v>
      </c>
      <c r="M1138" t="s">
        <v>38</v>
      </c>
      <c r="N1138">
        <v>4</v>
      </c>
      <c r="O1138">
        <v>0.8125</v>
      </c>
      <c r="P1138">
        <v>66</v>
      </c>
      <c r="Q1138" t="s">
        <v>39</v>
      </c>
      <c r="R1138" t="s">
        <v>39</v>
      </c>
      <c r="T1138" t="s">
        <v>40</v>
      </c>
      <c r="U1138" s="1">
        <v>45838</v>
      </c>
    </row>
    <row r="1139" spans="1:21" x14ac:dyDescent="0.3">
      <c r="A1139">
        <v>1133</v>
      </c>
      <c r="B1139">
        <v>378</v>
      </c>
      <c r="C1139">
        <v>2</v>
      </c>
      <c r="D1139" t="s">
        <v>19</v>
      </c>
      <c r="E1139" t="s">
        <v>22</v>
      </c>
      <c r="F1139">
        <v>27</v>
      </c>
      <c r="G1139" t="s">
        <v>27</v>
      </c>
      <c r="I1139" t="s">
        <v>33</v>
      </c>
      <c r="J1139" s="1">
        <v>45731</v>
      </c>
      <c r="K1139" t="s">
        <v>34</v>
      </c>
      <c r="L1139" t="s">
        <v>36</v>
      </c>
      <c r="M1139" t="s">
        <v>38</v>
      </c>
      <c r="N1139">
        <v>4</v>
      </c>
      <c r="O1139">
        <v>0.79166666666666663</v>
      </c>
      <c r="P1139">
        <v>79</v>
      </c>
      <c r="Q1139" t="s">
        <v>39</v>
      </c>
      <c r="R1139" t="s">
        <v>39</v>
      </c>
      <c r="T1139" t="s">
        <v>40</v>
      </c>
      <c r="U1139" s="1">
        <v>45838</v>
      </c>
    </row>
    <row r="1140" spans="1:21" x14ac:dyDescent="0.3">
      <c r="A1140">
        <v>1134</v>
      </c>
      <c r="B1140">
        <v>378</v>
      </c>
      <c r="C1140">
        <v>3</v>
      </c>
      <c r="D1140" t="s">
        <v>19</v>
      </c>
      <c r="E1140" t="s">
        <v>22</v>
      </c>
      <c r="F1140">
        <v>27</v>
      </c>
      <c r="G1140" t="s">
        <v>27</v>
      </c>
      <c r="I1140" t="s">
        <v>33</v>
      </c>
      <c r="J1140" s="1">
        <v>45731</v>
      </c>
      <c r="K1140" t="s">
        <v>34</v>
      </c>
      <c r="L1140" t="s">
        <v>37</v>
      </c>
      <c r="M1140" t="s">
        <v>38</v>
      </c>
      <c r="N1140">
        <v>4</v>
      </c>
      <c r="O1140">
        <v>0.8125</v>
      </c>
      <c r="P1140">
        <v>79.5</v>
      </c>
      <c r="Q1140" t="s">
        <v>39</v>
      </c>
      <c r="R1140" t="s">
        <v>39</v>
      </c>
      <c r="T1140" t="s">
        <v>40</v>
      </c>
      <c r="U1140" s="1">
        <v>45838</v>
      </c>
    </row>
    <row r="1141" spans="1:21" x14ac:dyDescent="0.3">
      <c r="A1141">
        <v>1135</v>
      </c>
      <c r="B1141">
        <v>379</v>
      </c>
      <c r="C1141">
        <v>1</v>
      </c>
      <c r="D1141" t="s">
        <v>21</v>
      </c>
      <c r="E1141" t="s">
        <v>22</v>
      </c>
      <c r="F1141">
        <v>21</v>
      </c>
      <c r="G1141" t="s">
        <v>27</v>
      </c>
      <c r="I1141" t="s">
        <v>32</v>
      </c>
      <c r="J1141" s="1">
        <v>45725</v>
      </c>
      <c r="K1141" t="s">
        <v>34</v>
      </c>
      <c r="L1141" t="s">
        <v>35</v>
      </c>
      <c r="M1141" t="s">
        <v>38</v>
      </c>
      <c r="N1141">
        <v>4</v>
      </c>
      <c r="O1141">
        <v>0.8125</v>
      </c>
      <c r="P1141">
        <v>72.5</v>
      </c>
      <c r="Q1141" t="s">
        <v>39</v>
      </c>
      <c r="R1141" t="s">
        <v>40</v>
      </c>
      <c r="T1141" t="s">
        <v>40</v>
      </c>
      <c r="U1141" s="1">
        <v>45838</v>
      </c>
    </row>
    <row r="1142" spans="1:21" x14ac:dyDescent="0.3">
      <c r="A1142">
        <v>1136</v>
      </c>
      <c r="B1142">
        <v>379</v>
      </c>
      <c r="C1142">
        <v>2</v>
      </c>
      <c r="D1142" t="s">
        <v>21</v>
      </c>
      <c r="E1142" t="s">
        <v>22</v>
      </c>
      <c r="F1142">
        <v>21</v>
      </c>
      <c r="G1142" t="s">
        <v>27</v>
      </c>
      <c r="I1142" t="s">
        <v>32</v>
      </c>
      <c r="J1142" s="1">
        <v>45725</v>
      </c>
      <c r="K1142" t="s">
        <v>34</v>
      </c>
      <c r="L1142" t="s">
        <v>36</v>
      </c>
      <c r="M1142" t="s">
        <v>38</v>
      </c>
      <c r="N1142">
        <v>4</v>
      </c>
      <c r="O1142">
        <v>0.79166666666666663</v>
      </c>
      <c r="P1142">
        <v>78</v>
      </c>
      <c r="Q1142" t="s">
        <v>39</v>
      </c>
      <c r="R1142" t="s">
        <v>40</v>
      </c>
      <c r="T1142" t="s">
        <v>40</v>
      </c>
      <c r="U1142" s="1">
        <v>45838</v>
      </c>
    </row>
    <row r="1143" spans="1:21" x14ac:dyDescent="0.3">
      <c r="A1143">
        <v>1137</v>
      </c>
      <c r="B1143">
        <v>379</v>
      </c>
      <c r="C1143">
        <v>3</v>
      </c>
      <c r="D1143" t="s">
        <v>20</v>
      </c>
      <c r="E1143" t="s">
        <v>22</v>
      </c>
      <c r="F1143">
        <v>21</v>
      </c>
      <c r="G1143" t="s">
        <v>27</v>
      </c>
      <c r="I1143" t="s">
        <v>32</v>
      </c>
      <c r="J1143" s="1">
        <v>45725</v>
      </c>
      <c r="K1143" t="s">
        <v>34</v>
      </c>
      <c r="L1143" t="s">
        <v>37</v>
      </c>
      <c r="M1143" t="s">
        <v>38</v>
      </c>
      <c r="N1143">
        <v>4</v>
      </c>
      <c r="O1143">
        <v>0.91666666666666663</v>
      </c>
      <c r="P1143">
        <v>55</v>
      </c>
      <c r="Q1143" t="s">
        <v>39</v>
      </c>
      <c r="R1143" t="s">
        <v>40</v>
      </c>
      <c r="T1143" t="s">
        <v>40</v>
      </c>
      <c r="U1143" s="1">
        <v>45838</v>
      </c>
    </row>
    <row r="1144" spans="1:21" x14ac:dyDescent="0.3">
      <c r="A1144">
        <v>1138</v>
      </c>
      <c r="B1144">
        <v>380</v>
      </c>
      <c r="C1144">
        <v>1</v>
      </c>
      <c r="D1144" t="s">
        <v>19</v>
      </c>
      <c r="E1144" t="s">
        <v>23</v>
      </c>
      <c r="F1144">
        <v>30</v>
      </c>
      <c r="G1144" t="s">
        <v>29</v>
      </c>
      <c r="I1144" t="s">
        <v>31</v>
      </c>
      <c r="J1144" s="1">
        <v>45760</v>
      </c>
      <c r="K1144" t="s">
        <v>34</v>
      </c>
      <c r="L1144" t="s">
        <v>35</v>
      </c>
      <c r="M1144" t="s">
        <v>38</v>
      </c>
      <c r="N1144">
        <v>4</v>
      </c>
      <c r="O1144">
        <v>0.85416666666666663</v>
      </c>
      <c r="P1144">
        <v>66</v>
      </c>
      <c r="Q1144" t="s">
        <v>39</v>
      </c>
      <c r="R1144" t="s">
        <v>39</v>
      </c>
      <c r="T1144" t="s">
        <v>40</v>
      </c>
      <c r="U1144" s="1">
        <v>45838</v>
      </c>
    </row>
    <row r="1145" spans="1:21" x14ac:dyDescent="0.3">
      <c r="A1145">
        <v>1139</v>
      </c>
      <c r="B1145">
        <v>380</v>
      </c>
      <c r="C1145">
        <v>2</v>
      </c>
      <c r="D1145" t="s">
        <v>21</v>
      </c>
      <c r="E1145" t="s">
        <v>23</v>
      </c>
      <c r="F1145">
        <v>30</v>
      </c>
      <c r="G1145" t="s">
        <v>29</v>
      </c>
      <c r="I1145" t="s">
        <v>31</v>
      </c>
      <c r="J1145" s="1">
        <v>45760</v>
      </c>
      <c r="K1145" t="s">
        <v>34</v>
      </c>
      <c r="L1145" t="s">
        <v>36</v>
      </c>
      <c r="M1145" t="s">
        <v>38</v>
      </c>
      <c r="N1145">
        <v>4</v>
      </c>
      <c r="O1145">
        <v>0.875</v>
      </c>
      <c r="P1145">
        <v>74.5</v>
      </c>
      <c r="Q1145" t="s">
        <v>39</v>
      </c>
      <c r="R1145" t="s">
        <v>39</v>
      </c>
      <c r="T1145" t="s">
        <v>40</v>
      </c>
      <c r="U1145" s="1">
        <v>45838</v>
      </c>
    </row>
    <row r="1146" spans="1:21" x14ac:dyDescent="0.3">
      <c r="A1146">
        <v>1140</v>
      </c>
      <c r="B1146">
        <v>380</v>
      </c>
      <c r="C1146">
        <v>3</v>
      </c>
      <c r="D1146" t="s">
        <v>20</v>
      </c>
      <c r="E1146" t="s">
        <v>23</v>
      </c>
      <c r="F1146">
        <v>30</v>
      </c>
      <c r="G1146" t="s">
        <v>29</v>
      </c>
      <c r="I1146" t="s">
        <v>31</v>
      </c>
      <c r="J1146" s="1">
        <v>45760</v>
      </c>
      <c r="K1146" t="s">
        <v>34</v>
      </c>
      <c r="L1146" t="s">
        <v>37</v>
      </c>
      <c r="M1146" t="s">
        <v>38</v>
      </c>
      <c r="N1146">
        <v>4</v>
      </c>
      <c r="O1146">
        <v>0.875</v>
      </c>
      <c r="P1146">
        <v>71</v>
      </c>
      <c r="Q1146" t="s">
        <v>39</v>
      </c>
      <c r="R1146" t="s">
        <v>39</v>
      </c>
      <c r="T1146" t="s">
        <v>40</v>
      </c>
      <c r="U1146" s="1">
        <v>45838</v>
      </c>
    </row>
    <row r="1147" spans="1:21" x14ac:dyDescent="0.3">
      <c r="A1147">
        <v>1141</v>
      </c>
      <c r="B1147">
        <v>381</v>
      </c>
      <c r="C1147">
        <v>1</v>
      </c>
      <c r="D1147" t="s">
        <v>19</v>
      </c>
      <c r="E1147" t="s">
        <v>22</v>
      </c>
      <c r="F1147">
        <v>35</v>
      </c>
      <c r="G1147" t="s">
        <v>28</v>
      </c>
      <c r="I1147" t="s">
        <v>30</v>
      </c>
      <c r="J1147" s="1">
        <v>45799</v>
      </c>
      <c r="K1147" t="s">
        <v>34</v>
      </c>
      <c r="L1147" t="s">
        <v>35</v>
      </c>
      <c r="M1147" t="s">
        <v>38</v>
      </c>
      <c r="N1147">
        <v>4</v>
      </c>
      <c r="O1147">
        <v>0.875</v>
      </c>
      <c r="P1147">
        <v>62</v>
      </c>
      <c r="Q1147" t="s">
        <v>39</v>
      </c>
      <c r="R1147" t="s">
        <v>40</v>
      </c>
      <c r="T1147" t="s">
        <v>40</v>
      </c>
      <c r="U1147" s="1">
        <v>45838</v>
      </c>
    </row>
    <row r="1148" spans="1:21" x14ac:dyDescent="0.3">
      <c r="A1148">
        <v>1142</v>
      </c>
      <c r="B1148">
        <v>381</v>
      </c>
      <c r="C1148">
        <v>2</v>
      </c>
      <c r="D1148" t="s">
        <v>19</v>
      </c>
      <c r="E1148" t="s">
        <v>22</v>
      </c>
      <c r="F1148">
        <v>35</v>
      </c>
      <c r="G1148" t="s">
        <v>28</v>
      </c>
      <c r="I1148" t="s">
        <v>30</v>
      </c>
      <c r="J1148" s="1">
        <v>45799</v>
      </c>
      <c r="K1148" t="s">
        <v>34</v>
      </c>
      <c r="L1148" t="s">
        <v>36</v>
      </c>
      <c r="M1148" t="s">
        <v>38</v>
      </c>
      <c r="N1148">
        <v>4</v>
      </c>
      <c r="O1148">
        <v>0.83333333333333337</v>
      </c>
      <c r="P1148">
        <v>72.5</v>
      </c>
      <c r="Q1148" t="s">
        <v>39</v>
      </c>
      <c r="R1148" t="s">
        <v>40</v>
      </c>
      <c r="T1148" t="s">
        <v>40</v>
      </c>
      <c r="U1148" s="1">
        <v>45838</v>
      </c>
    </row>
    <row r="1149" spans="1:21" x14ac:dyDescent="0.3">
      <c r="A1149">
        <v>1143</v>
      </c>
      <c r="B1149">
        <v>381</v>
      </c>
      <c r="C1149">
        <v>3</v>
      </c>
      <c r="D1149" t="s">
        <v>19</v>
      </c>
      <c r="E1149" t="s">
        <v>22</v>
      </c>
      <c r="F1149">
        <v>35</v>
      </c>
      <c r="G1149" t="s">
        <v>28</v>
      </c>
      <c r="I1149" t="s">
        <v>30</v>
      </c>
      <c r="J1149" s="1">
        <v>45799</v>
      </c>
      <c r="K1149" t="s">
        <v>34</v>
      </c>
      <c r="L1149" t="s">
        <v>37</v>
      </c>
      <c r="M1149" t="s">
        <v>38</v>
      </c>
      <c r="N1149">
        <v>4</v>
      </c>
      <c r="O1149">
        <v>0.85416666666666663</v>
      </c>
      <c r="P1149">
        <v>79</v>
      </c>
      <c r="Q1149" t="s">
        <v>39</v>
      </c>
      <c r="R1149" t="s">
        <v>40</v>
      </c>
      <c r="T1149" t="s">
        <v>40</v>
      </c>
      <c r="U1149" s="1">
        <v>45838</v>
      </c>
    </row>
    <row r="1150" spans="1:21" x14ac:dyDescent="0.3">
      <c r="A1150">
        <v>1144</v>
      </c>
      <c r="B1150">
        <v>382</v>
      </c>
      <c r="C1150">
        <v>1</v>
      </c>
      <c r="D1150" t="s">
        <v>20</v>
      </c>
      <c r="E1150" t="s">
        <v>23</v>
      </c>
      <c r="F1150">
        <v>20</v>
      </c>
      <c r="G1150" t="s">
        <v>27</v>
      </c>
      <c r="I1150" t="s">
        <v>33</v>
      </c>
      <c r="J1150" s="1">
        <v>45798</v>
      </c>
      <c r="K1150" t="s">
        <v>34</v>
      </c>
      <c r="L1150" t="s">
        <v>35</v>
      </c>
      <c r="M1150" t="s">
        <v>38</v>
      </c>
      <c r="N1150">
        <v>4</v>
      </c>
      <c r="O1150">
        <v>0.83333333333333337</v>
      </c>
      <c r="P1150">
        <v>50</v>
      </c>
      <c r="Q1150" t="s">
        <v>39</v>
      </c>
      <c r="R1150" t="s">
        <v>39</v>
      </c>
      <c r="T1150" t="s">
        <v>40</v>
      </c>
      <c r="U1150" s="1">
        <v>45838</v>
      </c>
    </row>
    <row r="1151" spans="1:21" x14ac:dyDescent="0.3">
      <c r="A1151">
        <v>1145</v>
      </c>
      <c r="B1151">
        <v>382</v>
      </c>
      <c r="C1151">
        <v>2</v>
      </c>
      <c r="D1151" t="s">
        <v>20</v>
      </c>
      <c r="E1151" t="s">
        <v>23</v>
      </c>
      <c r="F1151">
        <v>20</v>
      </c>
      <c r="G1151" t="s">
        <v>27</v>
      </c>
      <c r="I1151" t="s">
        <v>33</v>
      </c>
      <c r="J1151" s="1">
        <v>45798</v>
      </c>
      <c r="K1151" t="s">
        <v>34</v>
      </c>
      <c r="L1151" t="s">
        <v>36</v>
      </c>
      <c r="M1151" t="s">
        <v>38</v>
      </c>
      <c r="N1151">
        <v>4</v>
      </c>
      <c r="O1151">
        <v>0.8125</v>
      </c>
      <c r="P1151">
        <v>71.5</v>
      </c>
      <c r="Q1151" t="s">
        <v>39</v>
      </c>
      <c r="R1151" t="s">
        <v>39</v>
      </c>
      <c r="T1151" t="s">
        <v>40</v>
      </c>
      <c r="U1151" s="1">
        <v>45838</v>
      </c>
    </row>
    <row r="1152" spans="1:21" x14ac:dyDescent="0.3">
      <c r="A1152">
        <v>1146</v>
      </c>
      <c r="B1152">
        <v>382</v>
      </c>
      <c r="C1152">
        <v>3</v>
      </c>
      <c r="D1152" t="s">
        <v>19</v>
      </c>
      <c r="E1152" t="s">
        <v>23</v>
      </c>
      <c r="F1152">
        <v>20</v>
      </c>
      <c r="G1152" t="s">
        <v>27</v>
      </c>
      <c r="I1152" t="s">
        <v>33</v>
      </c>
      <c r="J1152" s="1">
        <v>45798</v>
      </c>
      <c r="K1152" t="s">
        <v>34</v>
      </c>
      <c r="L1152" t="s">
        <v>37</v>
      </c>
      <c r="M1152" t="s">
        <v>38</v>
      </c>
      <c r="N1152">
        <v>4</v>
      </c>
      <c r="O1152">
        <v>0.79166666666666663</v>
      </c>
      <c r="P1152">
        <v>73</v>
      </c>
      <c r="Q1152" t="s">
        <v>39</v>
      </c>
      <c r="R1152" t="s">
        <v>39</v>
      </c>
      <c r="T1152" t="s">
        <v>40</v>
      </c>
      <c r="U1152" s="1">
        <v>45838</v>
      </c>
    </row>
    <row r="1153" spans="1:21" x14ac:dyDescent="0.3">
      <c r="A1153">
        <v>1147</v>
      </c>
      <c r="B1153">
        <v>383</v>
      </c>
      <c r="C1153">
        <v>1</v>
      </c>
      <c r="D1153" t="s">
        <v>19</v>
      </c>
      <c r="E1153" t="s">
        <v>23</v>
      </c>
      <c r="F1153">
        <v>21</v>
      </c>
      <c r="G1153" t="s">
        <v>28</v>
      </c>
      <c r="I1153" t="s">
        <v>31</v>
      </c>
      <c r="J1153" s="1">
        <v>45758</v>
      </c>
      <c r="K1153" t="s">
        <v>34</v>
      </c>
      <c r="L1153" t="s">
        <v>35</v>
      </c>
      <c r="M1153" t="s">
        <v>38</v>
      </c>
      <c r="N1153">
        <v>4</v>
      </c>
      <c r="O1153">
        <v>0.77083333333333337</v>
      </c>
      <c r="P1153">
        <v>78.5</v>
      </c>
      <c r="Q1153" t="s">
        <v>39</v>
      </c>
      <c r="R1153" t="s">
        <v>39</v>
      </c>
      <c r="T1153" t="s">
        <v>39</v>
      </c>
      <c r="U1153" s="1">
        <v>45838</v>
      </c>
    </row>
    <row r="1154" spans="1:21" x14ac:dyDescent="0.3">
      <c r="A1154">
        <v>1148</v>
      </c>
      <c r="B1154">
        <v>383</v>
      </c>
      <c r="C1154">
        <v>2</v>
      </c>
      <c r="D1154" t="s">
        <v>19</v>
      </c>
      <c r="E1154" t="s">
        <v>23</v>
      </c>
      <c r="F1154">
        <v>21</v>
      </c>
      <c r="G1154" t="s">
        <v>28</v>
      </c>
      <c r="I1154" t="s">
        <v>31</v>
      </c>
      <c r="J1154" s="1">
        <v>45758</v>
      </c>
      <c r="K1154" t="s">
        <v>34</v>
      </c>
      <c r="L1154" t="s">
        <v>36</v>
      </c>
      <c r="M1154" t="s">
        <v>38</v>
      </c>
      <c r="N1154">
        <v>4</v>
      </c>
      <c r="O1154">
        <v>0.875</v>
      </c>
      <c r="P1154">
        <v>70</v>
      </c>
      <c r="Q1154" t="s">
        <v>39</v>
      </c>
      <c r="R1154" t="s">
        <v>39</v>
      </c>
      <c r="T1154" t="s">
        <v>39</v>
      </c>
      <c r="U1154" s="1">
        <v>45838</v>
      </c>
    </row>
    <row r="1155" spans="1:21" x14ac:dyDescent="0.3">
      <c r="A1155">
        <v>1149</v>
      </c>
      <c r="B1155">
        <v>383</v>
      </c>
      <c r="C1155">
        <v>3</v>
      </c>
      <c r="D1155" t="s">
        <v>19</v>
      </c>
      <c r="E1155" t="s">
        <v>23</v>
      </c>
      <c r="F1155">
        <v>21</v>
      </c>
      <c r="G1155" t="s">
        <v>28</v>
      </c>
      <c r="I1155" t="s">
        <v>31</v>
      </c>
      <c r="J1155" s="1">
        <v>45758</v>
      </c>
      <c r="K1155" t="s">
        <v>34</v>
      </c>
      <c r="L1155" t="s">
        <v>37</v>
      </c>
      <c r="M1155" t="s">
        <v>38</v>
      </c>
      <c r="N1155">
        <v>4</v>
      </c>
      <c r="O1155">
        <v>0.79166666666666663</v>
      </c>
      <c r="P1155">
        <v>81.5</v>
      </c>
      <c r="Q1155" t="s">
        <v>39</v>
      </c>
      <c r="R1155" t="s">
        <v>39</v>
      </c>
      <c r="T1155" t="s">
        <v>39</v>
      </c>
      <c r="U1155" s="1">
        <v>45838</v>
      </c>
    </row>
    <row r="1156" spans="1:21" x14ac:dyDescent="0.3">
      <c r="A1156">
        <v>1150</v>
      </c>
      <c r="B1156">
        <v>384</v>
      </c>
      <c r="C1156">
        <v>1</v>
      </c>
      <c r="D1156" t="s">
        <v>19</v>
      </c>
      <c r="E1156" t="s">
        <v>23</v>
      </c>
      <c r="F1156">
        <v>28</v>
      </c>
      <c r="G1156" t="s">
        <v>26</v>
      </c>
      <c r="I1156" t="s">
        <v>30</v>
      </c>
      <c r="J1156" s="1">
        <v>45694</v>
      </c>
      <c r="K1156" t="s">
        <v>34</v>
      </c>
      <c r="L1156" t="s">
        <v>35</v>
      </c>
      <c r="M1156" t="s">
        <v>38</v>
      </c>
      <c r="N1156">
        <v>4</v>
      </c>
      <c r="O1156">
        <v>0.75</v>
      </c>
      <c r="P1156">
        <v>78.5</v>
      </c>
      <c r="Q1156" t="s">
        <v>40</v>
      </c>
      <c r="R1156" t="s">
        <v>40</v>
      </c>
      <c r="T1156" t="s">
        <v>40</v>
      </c>
      <c r="U1156" s="1">
        <v>45838</v>
      </c>
    </row>
    <row r="1157" spans="1:21" x14ac:dyDescent="0.3">
      <c r="A1157">
        <v>1151</v>
      </c>
      <c r="B1157">
        <v>384</v>
      </c>
      <c r="C1157">
        <v>2</v>
      </c>
      <c r="D1157" t="s">
        <v>19</v>
      </c>
      <c r="E1157" t="s">
        <v>23</v>
      </c>
      <c r="F1157">
        <v>28</v>
      </c>
      <c r="G1157" t="s">
        <v>26</v>
      </c>
      <c r="I1157" t="s">
        <v>30</v>
      </c>
      <c r="J1157" s="1">
        <v>45694</v>
      </c>
      <c r="K1157" t="s">
        <v>34</v>
      </c>
      <c r="L1157" t="s">
        <v>36</v>
      </c>
      <c r="M1157" t="s">
        <v>38</v>
      </c>
      <c r="N1157">
        <v>4</v>
      </c>
      <c r="O1157">
        <v>0.89583333333333337</v>
      </c>
      <c r="P1157">
        <v>55</v>
      </c>
      <c r="Q1157" t="s">
        <v>40</v>
      </c>
      <c r="R1157" t="s">
        <v>40</v>
      </c>
      <c r="T1157" t="s">
        <v>40</v>
      </c>
      <c r="U1157" s="1">
        <v>45838</v>
      </c>
    </row>
    <row r="1158" spans="1:21" x14ac:dyDescent="0.3">
      <c r="A1158">
        <v>1152</v>
      </c>
      <c r="B1158">
        <v>384</v>
      </c>
      <c r="C1158">
        <v>3</v>
      </c>
      <c r="D1158" t="s">
        <v>19</v>
      </c>
      <c r="E1158" t="s">
        <v>23</v>
      </c>
      <c r="F1158">
        <v>28</v>
      </c>
      <c r="G1158" t="s">
        <v>26</v>
      </c>
      <c r="I1158" t="s">
        <v>30</v>
      </c>
      <c r="J1158" s="1">
        <v>45694</v>
      </c>
      <c r="K1158" t="s">
        <v>34</v>
      </c>
      <c r="L1158" t="s">
        <v>37</v>
      </c>
      <c r="M1158" t="s">
        <v>38</v>
      </c>
      <c r="N1158">
        <v>4</v>
      </c>
      <c r="O1158">
        <v>0.9375</v>
      </c>
      <c r="P1158">
        <v>77.5</v>
      </c>
      <c r="Q1158" t="s">
        <v>40</v>
      </c>
      <c r="R1158" t="s">
        <v>40</v>
      </c>
      <c r="T1158" t="s">
        <v>40</v>
      </c>
      <c r="U1158" s="1">
        <v>45838</v>
      </c>
    </row>
    <row r="1159" spans="1:21" x14ac:dyDescent="0.3">
      <c r="A1159">
        <v>1153</v>
      </c>
      <c r="B1159">
        <v>385</v>
      </c>
      <c r="C1159">
        <v>1</v>
      </c>
      <c r="D1159" t="s">
        <v>19</v>
      </c>
      <c r="E1159" t="s">
        <v>22</v>
      </c>
      <c r="F1159">
        <v>34</v>
      </c>
      <c r="G1159" t="s">
        <v>27</v>
      </c>
      <c r="I1159" t="s">
        <v>31</v>
      </c>
      <c r="J1159" s="1">
        <v>45669</v>
      </c>
      <c r="K1159" t="s">
        <v>34</v>
      </c>
      <c r="L1159" t="s">
        <v>35</v>
      </c>
      <c r="M1159" t="s">
        <v>38</v>
      </c>
      <c r="N1159">
        <v>4</v>
      </c>
      <c r="O1159">
        <v>0.79166666666666663</v>
      </c>
      <c r="P1159">
        <v>75.5</v>
      </c>
      <c r="Q1159" t="s">
        <v>40</v>
      </c>
      <c r="R1159" t="s">
        <v>40</v>
      </c>
      <c r="T1159" t="s">
        <v>40</v>
      </c>
      <c r="U1159" s="1">
        <v>45838</v>
      </c>
    </row>
    <row r="1160" spans="1:21" x14ac:dyDescent="0.3">
      <c r="A1160">
        <v>1154</v>
      </c>
      <c r="B1160">
        <v>385</v>
      </c>
      <c r="C1160">
        <v>2</v>
      </c>
      <c r="D1160" t="s">
        <v>20</v>
      </c>
      <c r="E1160" t="s">
        <v>22</v>
      </c>
      <c r="F1160">
        <v>34</v>
      </c>
      <c r="G1160" t="s">
        <v>27</v>
      </c>
      <c r="I1160" t="s">
        <v>31</v>
      </c>
      <c r="J1160" s="1">
        <v>45669</v>
      </c>
      <c r="K1160" t="s">
        <v>34</v>
      </c>
      <c r="L1160" t="s">
        <v>36</v>
      </c>
      <c r="M1160" t="s">
        <v>38</v>
      </c>
      <c r="N1160">
        <v>4</v>
      </c>
      <c r="O1160">
        <v>0.75</v>
      </c>
      <c r="P1160">
        <v>77.5</v>
      </c>
      <c r="Q1160" t="s">
        <v>40</v>
      </c>
      <c r="R1160" t="s">
        <v>40</v>
      </c>
      <c r="T1160" t="s">
        <v>40</v>
      </c>
      <c r="U1160" s="1">
        <v>45838</v>
      </c>
    </row>
    <row r="1161" spans="1:21" x14ac:dyDescent="0.3">
      <c r="A1161">
        <v>1155</v>
      </c>
      <c r="B1161">
        <v>385</v>
      </c>
      <c r="C1161">
        <v>3</v>
      </c>
      <c r="D1161" t="s">
        <v>19</v>
      </c>
      <c r="E1161" t="s">
        <v>22</v>
      </c>
      <c r="F1161">
        <v>34</v>
      </c>
      <c r="G1161" t="s">
        <v>27</v>
      </c>
      <c r="I1161" t="s">
        <v>31</v>
      </c>
      <c r="J1161" s="1">
        <v>45669</v>
      </c>
      <c r="K1161" t="s">
        <v>34</v>
      </c>
      <c r="L1161" t="s">
        <v>37</v>
      </c>
      <c r="M1161" t="s">
        <v>38</v>
      </c>
      <c r="N1161">
        <v>4</v>
      </c>
      <c r="O1161">
        <v>0.91666666666666663</v>
      </c>
      <c r="P1161">
        <v>61</v>
      </c>
      <c r="Q1161" t="s">
        <v>40</v>
      </c>
      <c r="R1161" t="s">
        <v>40</v>
      </c>
      <c r="T1161" t="s">
        <v>40</v>
      </c>
      <c r="U1161" s="1">
        <v>45838</v>
      </c>
    </row>
    <row r="1162" spans="1:21" x14ac:dyDescent="0.3">
      <c r="A1162">
        <v>1156</v>
      </c>
      <c r="B1162">
        <v>386</v>
      </c>
      <c r="C1162">
        <v>1</v>
      </c>
      <c r="D1162" t="s">
        <v>19</v>
      </c>
      <c r="E1162" t="s">
        <v>22</v>
      </c>
      <c r="F1162">
        <v>22</v>
      </c>
      <c r="G1162" t="s">
        <v>24</v>
      </c>
      <c r="I1162" t="s">
        <v>30</v>
      </c>
      <c r="J1162" s="1">
        <v>45779</v>
      </c>
      <c r="K1162" t="s">
        <v>34</v>
      </c>
      <c r="L1162" t="s">
        <v>35</v>
      </c>
      <c r="M1162" t="s">
        <v>38</v>
      </c>
      <c r="N1162">
        <v>4</v>
      </c>
      <c r="O1162">
        <v>0.8125</v>
      </c>
      <c r="P1162">
        <v>80</v>
      </c>
      <c r="Q1162" t="s">
        <v>39</v>
      </c>
      <c r="R1162" t="s">
        <v>39</v>
      </c>
      <c r="T1162" t="s">
        <v>40</v>
      </c>
      <c r="U1162" s="1">
        <v>45838</v>
      </c>
    </row>
    <row r="1163" spans="1:21" x14ac:dyDescent="0.3">
      <c r="A1163">
        <v>1157</v>
      </c>
      <c r="B1163">
        <v>386</v>
      </c>
      <c r="C1163">
        <v>2</v>
      </c>
      <c r="D1163" t="s">
        <v>21</v>
      </c>
      <c r="E1163" t="s">
        <v>22</v>
      </c>
      <c r="F1163">
        <v>22</v>
      </c>
      <c r="G1163" t="s">
        <v>24</v>
      </c>
      <c r="I1163" t="s">
        <v>30</v>
      </c>
      <c r="J1163" s="1">
        <v>45779</v>
      </c>
      <c r="K1163" t="s">
        <v>34</v>
      </c>
      <c r="L1163" t="s">
        <v>36</v>
      </c>
      <c r="M1163" t="s">
        <v>38</v>
      </c>
      <c r="N1163">
        <v>4</v>
      </c>
      <c r="O1163">
        <v>0.89583333333333337</v>
      </c>
      <c r="P1163">
        <v>71.5</v>
      </c>
      <c r="Q1163" t="s">
        <v>39</v>
      </c>
      <c r="R1163" t="s">
        <v>39</v>
      </c>
      <c r="T1163" t="s">
        <v>40</v>
      </c>
      <c r="U1163" s="1">
        <v>45838</v>
      </c>
    </row>
    <row r="1164" spans="1:21" x14ac:dyDescent="0.3">
      <c r="A1164">
        <v>1158</v>
      </c>
      <c r="B1164">
        <v>386</v>
      </c>
      <c r="C1164">
        <v>3</v>
      </c>
      <c r="D1164" t="s">
        <v>20</v>
      </c>
      <c r="E1164" t="s">
        <v>22</v>
      </c>
      <c r="F1164">
        <v>22</v>
      </c>
      <c r="G1164" t="s">
        <v>24</v>
      </c>
      <c r="I1164" t="s">
        <v>30</v>
      </c>
      <c r="J1164" s="1">
        <v>45779</v>
      </c>
      <c r="K1164" t="s">
        <v>34</v>
      </c>
      <c r="L1164" t="s">
        <v>37</v>
      </c>
      <c r="M1164" t="s">
        <v>38</v>
      </c>
      <c r="N1164">
        <v>4</v>
      </c>
      <c r="O1164">
        <v>0.79166666666666663</v>
      </c>
      <c r="P1164">
        <v>69.5</v>
      </c>
      <c r="Q1164" t="s">
        <v>39</v>
      </c>
      <c r="R1164" t="s">
        <v>39</v>
      </c>
      <c r="T1164" t="s">
        <v>40</v>
      </c>
      <c r="U1164" s="1">
        <v>45838</v>
      </c>
    </row>
    <row r="1165" spans="1:21" x14ac:dyDescent="0.3">
      <c r="A1165">
        <v>1159</v>
      </c>
      <c r="B1165">
        <v>387</v>
      </c>
      <c r="C1165">
        <v>1</v>
      </c>
      <c r="D1165" t="s">
        <v>21</v>
      </c>
      <c r="E1165" t="s">
        <v>23</v>
      </c>
      <c r="F1165">
        <v>22</v>
      </c>
      <c r="G1165" t="s">
        <v>26</v>
      </c>
      <c r="I1165" t="s">
        <v>32</v>
      </c>
      <c r="J1165" s="1">
        <v>45741</v>
      </c>
      <c r="K1165" t="s">
        <v>34</v>
      </c>
      <c r="L1165" t="s">
        <v>35</v>
      </c>
      <c r="M1165" t="s">
        <v>38</v>
      </c>
      <c r="N1165">
        <v>4</v>
      </c>
      <c r="O1165">
        <v>0.91666666666666663</v>
      </c>
      <c r="P1165">
        <v>56</v>
      </c>
      <c r="Q1165" t="s">
        <v>39</v>
      </c>
      <c r="R1165" t="s">
        <v>39</v>
      </c>
      <c r="T1165" t="s">
        <v>40</v>
      </c>
      <c r="U1165" s="1">
        <v>45838</v>
      </c>
    </row>
    <row r="1166" spans="1:21" x14ac:dyDescent="0.3">
      <c r="A1166">
        <v>1160</v>
      </c>
      <c r="B1166">
        <v>387</v>
      </c>
      <c r="C1166">
        <v>2</v>
      </c>
      <c r="D1166" t="s">
        <v>19</v>
      </c>
      <c r="E1166" t="s">
        <v>23</v>
      </c>
      <c r="F1166">
        <v>22</v>
      </c>
      <c r="G1166" t="s">
        <v>26</v>
      </c>
      <c r="I1166" t="s">
        <v>32</v>
      </c>
      <c r="J1166" s="1">
        <v>45741</v>
      </c>
      <c r="K1166" t="s">
        <v>34</v>
      </c>
      <c r="L1166" t="s">
        <v>36</v>
      </c>
      <c r="M1166" t="s">
        <v>38</v>
      </c>
      <c r="N1166">
        <v>4</v>
      </c>
      <c r="O1166">
        <v>0.77083333333333337</v>
      </c>
      <c r="P1166">
        <v>75.5</v>
      </c>
      <c r="Q1166" t="s">
        <v>39</v>
      </c>
      <c r="R1166" t="s">
        <v>39</v>
      </c>
      <c r="T1166" t="s">
        <v>40</v>
      </c>
      <c r="U1166" s="1">
        <v>45838</v>
      </c>
    </row>
    <row r="1167" spans="1:21" x14ac:dyDescent="0.3">
      <c r="A1167">
        <v>1161</v>
      </c>
      <c r="B1167">
        <v>387</v>
      </c>
      <c r="C1167">
        <v>3</v>
      </c>
      <c r="D1167" t="s">
        <v>19</v>
      </c>
      <c r="E1167" t="s">
        <v>23</v>
      </c>
      <c r="F1167">
        <v>22</v>
      </c>
      <c r="G1167" t="s">
        <v>26</v>
      </c>
      <c r="I1167" t="s">
        <v>32</v>
      </c>
      <c r="J1167" s="1">
        <v>45741</v>
      </c>
      <c r="K1167" t="s">
        <v>34</v>
      </c>
      <c r="L1167" t="s">
        <v>37</v>
      </c>
      <c r="M1167" t="s">
        <v>38</v>
      </c>
      <c r="N1167">
        <v>4</v>
      </c>
      <c r="O1167">
        <v>0.8125</v>
      </c>
      <c r="P1167">
        <v>49.5</v>
      </c>
      <c r="Q1167" t="s">
        <v>39</v>
      </c>
      <c r="R1167" t="s">
        <v>39</v>
      </c>
      <c r="T1167" t="s">
        <v>40</v>
      </c>
      <c r="U1167" s="1">
        <v>45838</v>
      </c>
    </row>
    <row r="1168" spans="1:21" x14ac:dyDescent="0.3">
      <c r="A1168">
        <v>1162</v>
      </c>
      <c r="B1168">
        <v>388</v>
      </c>
      <c r="C1168">
        <v>1</v>
      </c>
      <c r="D1168" t="s">
        <v>19</v>
      </c>
      <c r="E1168" t="s">
        <v>23</v>
      </c>
      <c r="F1168">
        <v>23</v>
      </c>
      <c r="G1168" t="s">
        <v>27</v>
      </c>
      <c r="I1168" t="s">
        <v>30</v>
      </c>
      <c r="J1168" s="1">
        <v>45744</v>
      </c>
      <c r="K1168" t="s">
        <v>34</v>
      </c>
      <c r="L1168" t="s">
        <v>35</v>
      </c>
      <c r="M1168" t="s">
        <v>38</v>
      </c>
      <c r="N1168">
        <v>4</v>
      </c>
      <c r="O1168">
        <v>0.75</v>
      </c>
      <c r="P1168">
        <v>71.5</v>
      </c>
      <c r="Q1168" t="s">
        <v>39</v>
      </c>
      <c r="R1168" t="s">
        <v>39</v>
      </c>
      <c r="T1168" t="s">
        <v>40</v>
      </c>
      <c r="U1168" s="1">
        <v>45838</v>
      </c>
    </row>
    <row r="1169" spans="1:21" x14ac:dyDescent="0.3">
      <c r="A1169">
        <v>1163</v>
      </c>
      <c r="B1169">
        <v>388</v>
      </c>
      <c r="C1169">
        <v>2</v>
      </c>
      <c r="D1169" t="s">
        <v>20</v>
      </c>
      <c r="E1169" t="s">
        <v>23</v>
      </c>
      <c r="F1169">
        <v>23</v>
      </c>
      <c r="G1169" t="s">
        <v>27</v>
      </c>
      <c r="I1169" t="s">
        <v>30</v>
      </c>
      <c r="J1169" s="1">
        <v>45744</v>
      </c>
      <c r="K1169" t="s">
        <v>34</v>
      </c>
      <c r="L1169" t="s">
        <v>36</v>
      </c>
      <c r="M1169" t="s">
        <v>38</v>
      </c>
      <c r="N1169">
        <v>4</v>
      </c>
      <c r="O1169">
        <v>0.8125</v>
      </c>
      <c r="P1169">
        <v>60</v>
      </c>
      <c r="Q1169" t="s">
        <v>39</v>
      </c>
      <c r="R1169" t="s">
        <v>39</v>
      </c>
      <c r="T1169" t="s">
        <v>40</v>
      </c>
      <c r="U1169" s="1">
        <v>45838</v>
      </c>
    </row>
    <row r="1170" spans="1:21" x14ac:dyDescent="0.3">
      <c r="A1170">
        <v>1164</v>
      </c>
      <c r="B1170">
        <v>388</v>
      </c>
      <c r="C1170">
        <v>3</v>
      </c>
      <c r="D1170" t="s">
        <v>21</v>
      </c>
      <c r="E1170" t="s">
        <v>23</v>
      </c>
      <c r="F1170">
        <v>23</v>
      </c>
      <c r="G1170" t="s">
        <v>27</v>
      </c>
      <c r="I1170" t="s">
        <v>30</v>
      </c>
      <c r="J1170" s="1">
        <v>45744</v>
      </c>
      <c r="K1170" t="s">
        <v>34</v>
      </c>
      <c r="L1170" t="s">
        <v>37</v>
      </c>
      <c r="M1170" t="s">
        <v>38</v>
      </c>
      <c r="N1170">
        <v>4</v>
      </c>
      <c r="O1170">
        <v>0.875</v>
      </c>
      <c r="P1170">
        <v>62</v>
      </c>
      <c r="Q1170" t="s">
        <v>39</v>
      </c>
      <c r="R1170" t="s">
        <v>39</v>
      </c>
      <c r="T1170" t="s">
        <v>40</v>
      </c>
      <c r="U1170" s="1">
        <v>45838</v>
      </c>
    </row>
    <row r="1171" spans="1:21" x14ac:dyDescent="0.3">
      <c r="A1171">
        <v>1165</v>
      </c>
      <c r="B1171">
        <v>389</v>
      </c>
      <c r="C1171">
        <v>1</v>
      </c>
      <c r="D1171" t="s">
        <v>21</v>
      </c>
      <c r="E1171" t="s">
        <v>23</v>
      </c>
      <c r="F1171">
        <v>27</v>
      </c>
      <c r="G1171" t="s">
        <v>27</v>
      </c>
      <c r="I1171" t="s">
        <v>31</v>
      </c>
      <c r="J1171" s="1">
        <v>45752</v>
      </c>
      <c r="K1171" t="s">
        <v>34</v>
      </c>
      <c r="L1171" t="s">
        <v>35</v>
      </c>
      <c r="M1171" t="s">
        <v>38</v>
      </c>
      <c r="N1171">
        <v>4</v>
      </c>
      <c r="O1171">
        <v>0.83333333333333337</v>
      </c>
      <c r="P1171">
        <v>81</v>
      </c>
      <c r="Q1171" t="s">
        <v>39</v>
      </c>
      <c r="R1171" t="s">
        <v>40</v>
      </c>
      <c r="T1171" t="s">
        <v>40</v>
      </c>
      <c r="U1171" s="1">
        <v>45838</v>
      </c>
    </row>
    <row r="1172" spans="1:21" x14ac:dyDescent="0.3">
      <c r="A1172">
        <v>1166</v>
      </c>
      <c r="B1172">
        <v>389</v>
      </c>
      <c r="C1172">
        <v>2</v>
      </c>
      <c r="D1172" t="s">
        <v>21</v>
      </c>
      <c r="E1172" t="s">
        <v>23</v>
      </c>
      <c r="F1172">
        <v>27</v>
      </c>
      <c r="G1172" t="s">
        <v>27</v>
      </c>
      <c r="I1172" t="s">
        <v>31</v>
      </c>
      <c r="J1172" s="1">
        <v>45752</v>
      </c>
      <c r="K1172" t="s">
        <v>34</v>
      </c>
      <c r="L1172" t="s">
        <v>36</v>
      </c>
      <c r="M1172" t="s">
        <v>38</v>
      </c>
      <c r="N1172">
        <v>4</v>
      </c>
      <c r="O1172">
        <v>0.79166666666666663</v>
      </c>
      <c r="P1172">
        <v>58.5</v>
      </c>
      <c r="Q1172" t="s">
        <v>39</v>
      </c>
      <c r="R1172" t="s">
        <v>40</v>
      </c>
      <c r="T1172" t="s">
        <v>40</v>
      </c>
      <c r="U1172" s="1">
        <v>45838</v>
      </c>
    </row>
    <row r="1173" spans="1:21" x14ac:dyDescent="0.3">
      <c r="A1173">
        <v>1167</v>
      </c>
      <c r="B1173">
        <v>389</v>
      </c>
      <c r="C1173">
        <v>3</v>
      </c>
      <c r="D1173" t="s">
        <v>20</v>
      </c>
      <c r="E1173" t="s">
        <v>23</v>
      </c>
      <c r="F1173">
        <v>27</v>
      </c>
      <c r="G1173" t="s">
        <v>27</v>
      </c>
      <c r="I1173" t="s">
        <v>31</v>
      </c>
      <c r="J1173" s="1">
        <v>45752</v>
      </c>
      <c r="K1173" t="s">
        <v>34</v>
      </c>
      <c r="L1173" t="s">
        <v>37</v>
      </c>
      <c r="M1173" t="s">
        <v>38</v>
      </c>
      <c r="N1173">
        <v>4</v>
      </c>
      <c r="O1173">
        <v>0.8125</v>
      </c>
      <c r="P1173">
        <v>74.5</v>
      </c>
      <c r="Q1173" t="s">
        <v>39</v>
      </c>
      <c r="R1173" t="s">
        <v>40</v>
      </c>
      <c r="T1173" t="s">
        <v>40</v>
      </c>
      <c r="U1173" s="1">
        <v>45838</v>
      </c>
    </row>
    <row r="1174" spans="1:21" x14ac:dyDescent="0.3">
      <c r="A1174">
        <v>1168</v>
      </c>
      <c r="B1174">
        <v>390</v>
      </c>
      <c r="C1174">
        <v>1</v>
      </c>
      <c r="D1174" t="s">
        <v>19</v>
      </c>
      <c r="E1174" t="s">
        <v>23</v>
      </c>
      <c r="F1174">
        <v>21</v>
      </c>
      <c r="G1174" t="s">
        <v>27</v>
      </c>
      <c r="I1174" t="s">
        <v>30</v>
      </c>
      <c r="J1174" s="1">
        <v>45664</v>
      </c>
      <c r="K1174" t="s">
        <v>34</v>
      </c>
      <c r="L1174" t="s">
        <v>35</v>
      </c>
      <c r="M1174" t="s">
        <v>38</v>
      </c>
      <c r="N1174">
        <v>4</v>
      </c>
      <c r="O1174">
        <v>0.83333333333333337</v>
      </c>
      <c r="P1174">
        <v>74.5</v>
      </c>
      <c r="Q1174" t="s">
        <v>40</v>
      </c>
      <c r="R1174" t="s">
        <v>40</v>
      </c>
      <c r="T1174" t="s">
        <v>40</v>
      </c>
      <c r="U1174" s="1">
        <v>45838</v>
      </c>
    </row>
    <row r="1175" spans="1:21" x14ac:dyDescent="0.3">
      <c r="A1175">
        <v>1169</v>
      </c>
      <c r="B1175">
        <v>390</v>
      </c>
      <c r="C1175">
        <v>2</v>
      </c>
      <c r="D1175" t="s">
        <v>20</v>
      </c>
      <c r="E1175" t="s">
        <v>23</v>
      </c>
      <c r="F1175">
        <v>21</v>
      </c>
      <c r="G1175" t="s">
        <v>27</v>
      </c>
      <c r="I1175" t="s">
        <v>30</v>
      </c>
      <c r="J1175" s="1">
        <v>45664</v>
      </c>
      <c r="K1175" t="s">
        <v>34</v>
      </c>
      <c r="L1175" t="s">
        <v>36</v>
      </c>
      <c r="M1175" t="s">
        <v>38</v>
      </c>
      <c r="N1175">
        <v>4</v>
      </c>
      <c r="O1175">
        <v>0.875</v>
      </c>
      <c r="P1175">
        <v>61.5</v>
      </c>
      <c r="Q1175" t="s">
        <v>40</v>
      </c>
      <c r="R1175" t="s">
        <v>40</v>
      </c>
      <c r="T1175" t="s">
        <v>40</v>
      </c>
      <c r="U1175" s="1">
        <v>45838</v>
      </c>
    </row>
    <row r="1176" spans="1:21" x14ac:dyDescent="0.3">
      <c r="A1176">
        <v>1170</v>
      </c>
      <c r="B1176">
        <v>390</v>
      </c>
      <c r="C1176">
        <v>3</v>
      </c>
      <c r="D1176" t="s">
        <v>19</v>
      </c>
      <c r="E1176" t="s">
        <v>23</v>
      </c>
      <c r="F1176">
        <v>21</v>
      </c>
      <c r="G1176" t="s">
        <v>27</v>
      </c>
      <c r="I1176" t="s">
        <v>30</v>
      </c>
      <c r="J1176" s="1">
        <v>45664</v>
      </c>
      <c r="K1176" t="s">
        <v>34</v>
      </c>
      <c r="L1176" t="s">
        <v>37</v>
      </c>
      <c r="M1176" t="s">
        <v>38</v>
      </c>
      <c r="N1176">
        <v>4</v>
      </c>
      <c r="O1176">
        <v>0.79166666666666663</v>
      </c>
      <c r="P1176">
        <v>89</v>
      </c>
      <c r="Q1176" t="s">
        <v>40</v>
      </c>
      <c r="R1176" t="s">
        <v>40</v>
      </c>
      <c r="T1176" t="s">
        <v>40</v>
      </c>
      <c r="U1176" s="1">
        <v>45838</v>
      </c>
    </row>
    <row r="1177" spans="1:21" x14ac:dyDescent="0.3">
      <c r="A1177">
        <v>1171</v>
      </c>
      <c r="B1177">
        <v>391</v>
      </c>
      <c r="C1177">
        <v>1</v>
      </c>
      <c r="D1177" t="s">
        <v>19</v>
      </c>
      <c r="E1177" t="s">
        <v>23</v>
      </c>
      <c r="F1177">
        <v>26</v>
      </c>
      <c r="G1177" t="s">
        <v>24</v>
      </c>
      <c r="I1177" t="s">
        <v>32</v>
      </c>
      <c r="J1177" s="1">
        <v>45671</v>
      </c>
      <c r="K1177" t="s">
        <v>34</v>
      </c>
      <c r="L1177" t="s">
        <v>35</v>
      </c>
      <c r="M1177" t="s">
        <v>38</v>
      </c>
      <c r="N1177">
        <v>4</v>
      </c>
      <c r="O1177">
        <v>0.83333333333333337</v>
      </c>
      <c r="P1177">
        <v>81.5</v>
      </c>
      <c r="Q1177" t="s">
        <v>39</v>
      </c>
      <c r="R1177" t="s">
        <v>39</v>
      </c>
      <c r="T1177" t="s">
        <v>39</v>
      </c>
      <c r="U1177" s="1">
        <v>45838</v>
      </c>
    </row>
    <row r="1178" spans="1:21" x14ac:dyDescent="0.3">
      <c r="A1178">
        <v>1172</v>
      </c>
      <c r="B1178">
        <v>391</v>
      </c>
      <c r="C1178">
        <v>2</v>
      </c>
      <c r="D1178" t="s">
        <v>19</v>
      </c>
      <c r="E1178" t="s">
        <v>23</v>
      </c>
      <c r="F1178">
        <v>26</v>
      </c>
      <c r="G1178" t="s">
        <v>24</v>
      </c>
      <c r="I1178" t="s">
        <v>32</v>
      </c>
      <c r="J1178" s="1">
        <v>45671</v>
      </c>
      <c r="K1178" t="s">
        <v>34</v>
      </c>
      <c r="L1178" t="s">
        <v>36</v>
      </c>
      <c r="M1178" t="s">
        <v>38</v>
      </c>
      <c r="N1178">
        <v>4</v>
      </c>
      <c r="O1178">
        <v>0.75</v>
      </c>
      <c r="P1178">
        <v>71.5</v>
      </c>
      <c r="Q1178" t="s">
        <v>39</v>
      </c>
      <c r="R1178" t="s">
        <v>39</v>
      </c>
      <c r="T1178" t="s">
        <v>39</v>
      </c>
      <c r="U1178" s="1">
        <v>45838</v>
      </c>
    </row>
    <row r="1179" spans="1:21" x14ac:dyDescent="0.3">
      <c r="A1179">
        <v>1173</v>
      </c>
      <c r="B1179">
        <v>391</v>
      </c>
      <c r="C1179">
        <v>3</v>
      </c>
      <c r="D1179" t="s">
        <v>19</v>
      </c>
      <c r="E1179" t="s">
        <v>23</v>
      </c>
      <c r="F1179">
        <v>26</v>
      </c>
      <c r="G1179" t="s">
        <v>24</v>
      </c>
      <c r="I1179" t="s">
        <v>32</v>
      </c>
      <c r="J1179" s="1">
        <v>45671</v>
      </c>
      <c r="K1179" t="s">
        <v>34</v>
      </c>
      <c r="L1179" t="s">
        <v>37</v>
      </c>
      <c r="M1179" t="s">
        <v>38</v>
      </c>
      <c r="N1179">
        <v>4</v>
      </c>
      <c r="O1179">
        <v>0.89583333333333337</v>
      </c>
      <c r="P1179">
        <v>80.5</v>
      </c>
      <c r="Q1179" t="s">
        <v>39</v>
      </c>
      <c r="R1179" t="s">
        <v>39</v>
      </c>
      <c r="T1179" t="s">
        <v>39</v>
      </c>
      <c r="U1179" s="1">
        <v>45838</v>
      </c>
    </row>
    <row r="1180" spans="1:21" x14ac:dyDescent="0.3">
      <c r="A1180">
        <v>1174</v>
      </c>
      <c r="B1180">
        <v>392</v>
      </c>
      <c r="C1180">
        <v>1</v>
      </c>
      <c r="D1180" t="s">
        <v>19</v>
      </c>
      <c r="E1180" t="s">
        <v>23</v>
      </c>
      <c r="F1180">
        <v>23</v>
      </c>
      <c r="G1180" t="s">
        <v>26</v>
      </c>
      <c r="I1180" t="s">
        <v>33</v>
      </c>
      <c r="J1180" s="1">
        <v>45695</v>
      </c>
      <c r="K1180" t="s">
        <v>34</v>
      </c>
      <c r="L1180" t="s">
        <v>35</v>
      </c>
      <c r="M1180" t="s">
        <v>38</v>
      </c>
      <c r="N1180">
        <v>4</v>
      </c>
      <c r="O1180">
        <v>0.89583333333333337</v>
      </c>
      <c r="P1180">
        <v>54.5</v>
      </c>
      <c r="Q1180" t="s">
        <v>39</v>
      </c>
      <c r="R1180" t="s">
        <v>40</v>
      </c>
      <c r="T1180" t="s">
        <v>40</v>
      </c>
      <c r="U1180" s="1">
        <v>45838</v>
      </c>
    </row>
    <row r="1181" spans="1:21" x14ac:dyDescent="0.3">
      <c r="A1181">
        <v>1175</v>
      </c>
      <c r="B1181">
        <v>392</v>
      </c>
      <c r="C1181">
        <v>2</v>
      </c>
      <c r="D1181" t="s">
        <v>20</v>
      </c>
      <c r="E1181" t="s">
        <v>23</v>
      </c>
      <c r="F1181">
        <v>23</v>
      </c>
      <c r="G1181" t="s">
        <v>26</v>
      </c>
      <c r="I1181" t="s">
        <v>33</v>
      </c>
      <c r="J1181" s="1">
        <v>45695</v>
      </c>
      <c r="K1181" t="s">
        <v>34</v>
      </c>
      <c r="L1181" t="s">
        <v>36</v>
      </c>
      <c r="M1181" t="s">
        <v>38</v>
      </c>
      <c r="N1181">
        <v>4</v>
      </c>
      <c r="O1181">
        <v>0.77083333333333337</v>
      </c>
      <c r="P1181">
        <v>74</v>
      </c>
      <c r="Q1181" t="s">
        <v>39</v>
      </c>
      <c r="R1181" t="s">
        <v>40</v>
      </c>
      <c r="T1181" t="s">
        <v>40</v>
      </c>
      <c r="U1181" s="1">
        <v>45838</v>
      </c>
    </row>
    <row r="1182" spans="1:21" x14ac:dyDescent="0.3">
      <c r="A1182">
        <v>1176</v>
      </c>
      <c r="B1182">
        <v>392</v>
      </c>
      <c r="C1182">
        <v>3</v>
      </c>
      <c r="D1182" t="s">
        <v>21</v>
      </c>
      <c r="E1182" t="s">
        <v>23</v>
      </c>
      <c r="F1182">
        <v>23</v>
      </c>
      <c r="G1182" t="s">
        <v>26</v>
      </c>
      <c r="I1182" t="s">
        <v>33</v>
      </c>
      <c r="J1182" s="1">
        <v>45695</v>
      </c>
      <c r="K1182" t="s">
        <v>34</v>
      </c>
      <c r="L1182" t="s">
        <v>37</v>
      </c>
      <c r="M1182" t="s">
        <v>38</v>
      </c>
      <c r="N1182">
        <v>4</v>
      </c>
      <c r="O1182">
        <v>0.8125</v>
      </c>
      <c r="P1182">
        <v>64</v>
      </c>
      <c r="Q1182" t="s">
        <v>39</v>
      </c>
      <c r="R1182" t="s">
        <v>40</v>
      </c>
      <c r="T1182" t="s">
        <v>40</v>
      </c>
      <c r="U1182" s="1">
        <v>45838</v>
      </c>
    </row>
    <row r="1183" spans="1:21" x14ac:dyDescent="0.3">
      <c r="A1183">
        <v>1177</v>
      </c>
      <c r="B1183">
        <v>393</v>
      </c>
      <c r="C1183">
        <v>1</v>
      </c>
      <c r="D1183" t="s">
        <v>20</v>
      </c>
      <c r="E1183" t="s">
        <v>22</v>
      </c>
      <c r="F1183">
        <v>19</v>
      </c>
      <c r="G1183" t="s">
        <v>26</v>
      </c>
      <c r="I1183" t="s">
        <v>31</v>
      </c>
      <c r="J1183" s="1">
        <v>45706</v>
      </c>
      <c r="K1183" t="s">
        <v>34</v>
      </c>
      <c r="L1183" t="s">
        <v>35</v>
      </c>
      <c r="M1183" t="s">
        <v>38</v>
      </c>
      <c r="N1183">
        <v>4</v>
      </c>
      <c r="O1183">
        <v>0.89583333333333337</v>
      </c>
      <c r="P1183">
        <v>72.5</v>
      </c>
      <c r="Q1183" t="s">
        <v>39</v>
      </c>
      <c r="R1183" t="s">
        <v>39</v>
      </c>
      <c r="T1183" t="s">
        <v>40</v>
      </c>
      <c r="U1183" s="1">
        <v>45838</v>
      </c>
    </row>
    <row r="1184" spans="1:21" x14ac:dyDescent="0.3">
      <c r="A1184">
        <v>1178</v>
      </c>
      <c r="B1184">
        <v>393</v>
      </c>
      <c r="C1184">
        <v>2</v>
      </c>
      <c r="D1184" t="s">
        <v>19</v>
      </c>
      <c r="E1184" t="s">
        <v>22</v>
      </c>
      <c r="F1184">
        <v>19</v>
      </c>
      <c r="G1184" t="s">
        <v>26</v>
      </c>
      <c r="I1184" t="s">
        <v>31</v>
      </c>
      <c r="J1184" s="1">
        <v>45706</v>
      </c>
      <c r="K1184" t="s">
        <v>34</v>
      </c>
      <c r="L1184" t="s">
        <v>36</v>
      </c>
      <c r="M1184" t="s">
        <v>38</v>
      </c>
      <c r="N1184">
        <v>4</v>
      </c>
      <c r="O1184">
        <v>0.83333333333333337</v>
      </c>
      <c r="P1184">
        <v>93.5</v>
      </c>
      <c r="Q1184" t="s">
        <v>39</v>
      </c>
      <c r="R1184" t="s">
        <v>39</v>
      </c>
      <c r="T1184" t="s">
        <v>40</v>
      </c>
      <c r="U1184" s="1">
        <v>45838</v>
      </c>
    </row>
    <row r="1185" spans="1:21" x14ac:dyDescent="0.3">
      <c r="A1185">
        <v>1179</v>
      </c>
      <c r="B1185">
        <v>393</v>
      </c>
      <c r="C1185">
        <v>3</v>
      </c>
      <c r="D1185" t="s">
        <v>19</v>
      </c>
      <c r="E1185" t="s">
        <v>22</v>
      </c>
      <c r="F1185">
        <v>19</v>
      </c>
      <c r="G1185" t="s">
        <v>26</v>
      </c>
      <c r="I1185" t="s">
        <v>31</v>
      </c>
      <c r="J1185" s="1">
        <v>45706</v>
      </c>
      <c r="K1185" t="s">
        <v>34</v>
      </c>
      <c r="L1185" t="s">
        <v>37</v>
      </c>
      <c r="M1185" t="s">
        <v>38</v>
      </c>
      <c r="N1185">
        <v>4</v>
      </c>
      <c r="O1185">
        <v>0.77083333333333337</v>
      </c>
      <c r="P1185">
        <v>73</v>
      </c>
      <c r="Q1185" t="s">
        <v>39</v>
      </c>
      <c r="R1185" t="s">
        <v>39</v>
      </c>
      <c r="T1185" t="s">
        <v>40</v>
      </c>
      <c r="U1185" s="1">
        <v>45838</v>
      </c>
    </row>
    <row r="1186" spans="1:21" x14ac:dyDescent="0.3">
      <c r="A1186">
        <v>1180</v>
      </c>
      <c r="B1186">
        <v>394</v>
      </c>
      <c r="C1186">
        <v>1</v>
      </c>
      <c r="D1186" t="s">
        <v>20</v>
      </c>
      <c r="E1186" t="s">
        <v>22</v>
      </c>
      <c r="F1186">
        <v>32</v>
      </c>
      <c r="G1186" t="s">
        <v>29</v>
      </c>
      <c r="I1186" t="s">
        <v>33</v>
      </c>
      <c r="J1186" s="1">
        <v>45696</v>
      </c>
      <c r="K1186" t="s">
        <v>34</v>
      </c>
      <c r="L1186" t="s">
        <v>35</v>
      </c>
      <c r="M1186" t="s">
        <v>38</v>
      </c>
      <c r="N1186">
        <v>4</v>
      </c>
      <c r="O1186">
        <v>0.75</v>
      </c>
      <c r="P1186">
        <v>63</v>
      </c>
      <c r="Q1186" t="s">
        <v>40</v>
      </c>
      <c r="R1186" t="s">
        <v>40</v>
      </c>
      <c r="T1186" t="s">
        <v>40</v>
      </c>
      <c r="U1186" s="1">
        <v>45838</v>
      </c>
    </row>
    <row r="1187" spans="1:21" x14ac:dyDescent="0.3">
      <c r="A1187">
        <v>1181</v>
      </c>
      <c r="B1187">
        <v>394</v>
      </c>
      <c r="C1187">
        <v>2</v>
      </c>
      <c r="D1187" t="s">
        <v>21</v>
      </c>
      <c r="E1187" t="s">
        <v>22</v>
      </c>
      <c r="F1187">
        <v>32</v>
      </c>
      <c r="G1187" t="s">
        <v>29</v>
      </c>
      <c r="I1187" t="s">
        <v>33</v>
      </c>
      <c r="J1187" s="1">
        <v>45696</v>
      </c>
      <c r="K1187" t="s">
        <v>34</v>
      </c>
      <c r="L1187" t="s">
        <v>36</v>
      </c>
      <c r="M1187" t="s">
        <v>38</v>
      </c>
      <c r="N1187">
        <v>4</v>
      </c>
      <c r="O1187">
        <v>0.85416666666666663</v>
      </c>
      <c r="P1187">
        <v>59</v>
      </c>
      <c r="Q1187" t="s">
        <v>40</v>
      </c>
      <c r="R1187" t="s">
        <v>40</v>
      </c>
      <c r="T1187" t="s">
        <v>40</v>
      </c>
      <c r="U1187" s="1">
        <v>45838</v>
      </c>
    </row>
    <row r="1188" spans="1:21" x14ac:dyDescent="0.3">
      <c r="A1188">
        <v>1182</v>
      </c>
      <c r="B1188">
        <v>394</v>
      </c>
      <c r="C1188">
        <v>3</v>
      </c>
      <c r="D1188" t="s">
        <v>20</v>
      </c>
      <c r="E1188" t="s">
        <v>22</v>
      </c>
      <c r="F1188">
        <v>32</v>
      </c>
      <c r="G1188" t="s">
        <v>29</v>
      </c>
      <c r="I1188" t="s">
        <v>33</v>
      </c>
      <c r="J1188" s="1">
        <v>45696</v>
      </c>
      <c r="K1188" t="s">
        <v>34</v>
      </c>
      <c r="L1188" t="s">
        <v>37</v>
      </c>
      <c r="M1188" t="s">
        <v>38</v>
      </c>
      <c r="N1188">
        <v>4</v>
      </c>
      <c r="O1188">
        <v>0.875</v>
      </c>
      <c r="P1188">
        <v>69.5</v>
      </c>
      <c r="Q1188" t="s">
        <v>40</v>
      </c>
      <c r="R1188" t="s">
        <v>40</v>
      </c>
      <c r="T1188" t="s">
        <v>40</v>
      </c>
      <c r="U1188" s="1">
        <v>45838</v>
      </c>
    </row>
    <row r="1189" spans="1:21" x14ac:dyDescent="0.3">
      <c r="A1189">
        <v>1183</v>
      </c>
      <c r="B1189">
        <v>395</v>
      </c>
      <c r="C1189">
        <v>1</v>
      </c>
      <c r="D1189" t="s">
        <v>21</v>
      </c>
      <c r="E1189" t="s">
        <v>23</v>
      </c>
      <c r="F1189">
        <v>24</v>
      </c>
      <c r="G1189" t="s">
        <v>27</v>
      </c>
      <c r="I1189" t="s">
        <v>33</v>
      </c>
      <c r="J1189" s="1">
        <v>45673</v>
      </c>
      <c r="K1189" t="s">
        <v>34</v>
      </c>
      <c r="L1189" t="s">
        <v>35</v>
      </c>
      <c r="M1189" t="s">
        <v>38</v>
      </c>
      <c r="N1189">
        <v>4</v>
      </c>
      <c r="O1189">
        <v>0.89583333333333337</v>
      </c>
      <c r="P1189">
        <v>62.5</v>
      </c>
      <c r="Q1189" t="s">
        <v>39</v>
      </c>
      <c r="R1189" t="s">
        <v>40</v>
      </c>
      <c r="T1189" t="s">
        <v>40</v>
      </c>
      <c r="U1189" s="1">
        <v>45838</v>
      </c>
    </row>
    <row r="1190" spans="1:21" x14ac:dyDescent="0.3">
      <c r="A1190">
        <v>1184</v>
      </c>
      <c r="B1190">
        <v>395</v>
      </c>
      <c r="C1190">
        <v>2</v>
      </c>
      <c r="D1190" t="s">
        <v>19</v>
      </c>
      <c r="E1190" t="s">
        <v>23</v>
      </c>
      <c r="F1190">
        <v>24</v>
      </c>
      <c r="G1190" t="s">
        <v>27</v>
      </c>
      <c r="I1190" t="s">
        <v>33</v>
      </c>
      <c r="J1190" s="1">
        <v>45673</v>
      </c>
      <c r="K1190" t="s">
        <v>34</v>
      </c>
      <c r="L1190" t="s">
        <v>36</v>
      </c>
      <c r="M1190" t="s">
        <v>38</v>
      </c>
      <c r="N1190">
        <v>4</v>
      </c>
      <c r="O1190">
        <v>0.79166666666666663</v>
      </c>
      <c r="P1190">
        <v>69.5</v>
      </c>
      <c r="Q1190" t="s">
        <v>39</v>
      </c>
      <c r="R1190" t="s">
        <v>40</v>
      </c>
      <c r="T1190" t="s">
        <v>40</v>
      </c>
      <c r="U1190" s="1">
        <v>45838</v>
      </c>
    </row>
    <row r="1191" spans="1:21" x14ac:dyDescent="0.3">
      <c r="A1191">
        <v>1185</v>
      </c>
      <c r="B1191">
        <v>395</v>
      </c>
      <c r="C1191">
        <v>3</v>
      </c>
      <c r="D1191" t="s">
        <v>19</v>
      </c>
      <c r="E1191" t="s">
        <v>23</v>
      </c>
      <c r="F1191">
        <v>24</v>
      </c>
      <c r="G1191" t="s">
        <v>27</v>
      </c>
      <c r="I1191" t="s">
        <v>33</v>
      </c>
      <c r="J1191" s="1">
        <v>45673</v>
      </c>
      <c r="K1191" t="s">
        <v>34</v>
      </c>
      <c r="L1191" t="s">
        <v>37</v>
      </c>
      <c r="M1191" t="s">
        <v>38</v>
      </c>
      <c r="N1191">
        <v>4</v>
      </c>
      <c r="O1191">
        <v>0.875</v>
      </c>
      <c r="P1191">
        <v>69</v>
      </c>
      <c r="Q1191" t="s">
        <v>39</v>
      </c>
      <c r="R1191" t="s">
        <v>40</v>
      </c>
      <c r="T1191" t="s">
        <v>40</v>
      </c>
      <c r="U1191" s="1">
        <v>45838</v>
      </c>
    </row>
    <row r="1192" spans="1:21" x14ac:dyDescent="0.3">
      <c r="A1192">
        <v>1186</v>
      </c>
      <c r="B1192">
        <v>396</v>
      </c>
      <c r="C1192">
        <v>1</v>
      </c>
      <c r="D1192" t="s">
        <v>19</v>
      </c>
      <c r="E1192" t="s">
        <v>22</v>
      </c>
      <c r="F1192">
        <v>34</v>
      </c>
      <c r="G1192" t="s">
        <v>28</v>
      </c>
      <c r="I1192" t="s">
        <v>30</v>
      </c>
      <c r="J1192" s="1">
        <v>45780</v>
      </c>
      <c r="K1192" t="s">
        <v>34</v>
      </c>
      <c r="L1192" t="s">
        <v>35</v>
      </c>
      <c r="M1192" t="s">
        <v>38</v>
      </c>
      <c r="N1192">
        <v>4</v>
      </c>
      <c r="O1192">
        <v>0.875</v>
      </c>
      <c r="P1192">
        <v>66.5</v>
      </c>
      <c r="Q1192" t="s">
        <v>39</v>
      </c>
      <c r="R1192" t="s">
        <v>39</v>
      </c>
      <c r="T1192" t="s">
        <v>40</v>
      </c>
      <c r="U1192" s="1">
        <v>45838</v>
      </c>
    </row>
    <row r="1193" spans="1:21" x14ac:dyDescent="0.3">
      <c r="A1193">
        <v>1187</v>
      </c>
      <c r="B1193">
        <v>396</v>
      </c>
      <c r="C1193">
        <v>2</v>
      </c>
      <c r="D1193" t="s">
        <v>19</v>
      </c>
      <c r="E1193" t="s">
        <v>22</v>
      </c>
      <c r="F1193">
        <v>34</v>
      </c>
      <c r="G1193" t="s">
        <v>28</v>
      </c>
      <c r="I1193" t="s">
        <v>30</v>
      </c>
      <c r="J1193" s="1">
        <v>45780</v>
      </c>
      <c r="K1193" t="s">
        <v>34</v>
      </c>
      <c r="L1193" t="s">
        <v>36</v>
      </c>
      <c r="M1193" t="s">
        <v>38</v>
      </c>
      <c r="N1193">
        <v>4</v>
      </c>
      <c r="O1193">
        <v>0.79166666666666663</v>
      </c>
      <c r="P1193">
        <v>53.5</v>
      </c>
      <c r="Q1193" t="s">
        <v>39</v>
      </c>
      <c r="R1193" t="s">
        <v>39</v>
      </c>
      <c r="T1193" t="s">
        <v>40</v>
      </c>
      <c r="U1193" s="1">
        <v>45838</v>
      </c>
    </row>
    <row r="1194" spans="1:21" x14ac:dyDescent="0.3">
      <c r="A1194">
        <v>1188</v>
      </c>
      <c r="B1194">
        <v>396</v>
      </c>
      <c r="C1194">
        <v>3</v>
      </c>
      <c r="D1194" t="s">
        <v>21</v>
      </c>
      <c r="E1194" t="s">
        <v>22</v>
      </c>
      <c r="F1194">
        <v>34</v>
      </c>
      <c r="G1194" t="s">
        <v>28</v>
      </c>
      <c r="I1194" t="s">
        <v>30</v>
      </c>
      <c r="J1194" s="1">
        <v>45780</v>
      </c>
      <c r="K1194" t="s">
        <v>34</v>
      </c>
      <c r="L1194" t="s">
        <v>37</v>
      </c>
      <c r="M1194" t="s">
        <v>38</v>
      </c>
      <c r="N1194">
        <v>4</v>
      </c>
      <c r="O1194">
        <v>0.72916666666666663</v>
      </c>
      <c r="P1194">
        <v>79.5</v>
      </c>
      <c r="Q1194" t="s">
        <v>39</v>
      </c>
      <c r="R1194" t="s">
        <v>39</v>
      </c>
      <c r="T1194" t="s">
        <v>40</v>
      </c>
      <c r="U1194" s="1">
        <v>45838</v>
      </c>
    </row>
    <row r="1195" spans="1:21" x14ac:dyDescent="0.3">
      <c r="A1195">
        <v>1189</v>
      </c>
      <c r="B1195">
        <v>397</v>
      </c>
      <c r="C1195">
        <v>1</v>
      </c>
      <c r="D1195" t="s">
        <v>19</v>
      </c>
      <c r="E1195" t="s">
        <v>23</v>
      </c>
      <c r="F1195">
        <v>28</v>
      </c>
      <c r="G1195" t="s">
        <v>28</v>
      </c>
      <c r="I1195" t="s">
        <v>33</v>
      </c>
      <c r="J1195" s="1">
        <v>45794</v>
      </c>
      <c r="K1195" t="s">
        <v>34</v>
      </c>
      <c r="L1195" t="s">
        <v>35</v>
      </c>
      <c r="M1195" t="s">
        <v>38</v>
      </c>
      <c r="N1195">
        <v>4</v>
      </c>
      <c r="O1195">
        <v>0.75</v>
      </c>
      <c r="P1195">
        <v>63</v>
      </c>
      <c r="Q1195" t="s">
        <v>39</v>
      </c>
      <c r="R1195" t="s">
        <v>40</v>
      </c>
      <c r="T1195" t="s">
        <v>39</v>
      </c>
      <c r="U1195" s="1">
        <v>45838</v>
      </c>
    </row>
    <row r="1196" spans="1:21" x14ac:dyDescent="0.3">
      <c r="A1196">
        <v>1190</v>
      </c>
      <c r="B1196">
        <v>397</v>
      </c>
      <c r="C1196">
        <v>2</v>
      </c>
      <c r="D1196" t="s">
        <v>21</v>
      </c>
      <c r="E1196" t="s">
        <v>23</v>
      </c>
      <c r="F1196">
        <v>28</v>
      </c>
      <c r="G1196" t="s">
        <v>28</v>
      </c>
      <c r="I1196" t="s">
        <v>33</v>
      </c>
      <c r="J1196" s="1">
        <v>45794</v>
      </c>
      <c r="K1196" t="s">
        <v>34</v>
      </c>
      <c r="L1196" t="s">
        <v>36</v>
      </c>
      <c r="M1196" t="s">
        <v>38</v>
      </c>
      <c r="N1196">
        <v>4</v>
      </c>
      <c r="O1196">
        <v>0.72916666666666663</v>
      </c>
      <c r="P1196">
        <v>77</v>
      </c>
      <c r="Q1196" t="s">
        <v>39</v>
      </c>
      <c r="R1196" t="s">
        <v>40</v>
      </c>
      <c r="T1196" t="s">
        <v>39</v>
      </c>
      <c r="U1196" s="1">
        <v>45838</v>
      </c>
    </row>
    <row r="1197" spans="1:21" x14ac:dyDescent="0.3">
      <c r="A1197">
        <v>1191</v>
      </c>
      <c r="B1197">
        <v>397</v>
      </c>
      <c r="C1197">
        <v>3</v>
      </c>
      <c r="D1197" t="s">
        <v>20</v>
      </c>
      <c r="E1197" t="s">
        <v>23</v>
      </c>
      <c r="F1197">
        <v>28</v>
      </c>
      <c r="G1197" t="s">
        <v>28</v>
      </c>
      <c r="I1197" t="s">
        <v>33</v>
      </c>
      <c r="J1197" s="1">
        <v>45794</v>
      </c>
      <c r="K1197" t="s">
        <v>34</v>
      </c>
      <c r="L1197" t="s">
        <v>37</v>
      </c>
      <c r="M1197" t="s">
        <v>38</v>
      </c>
      <c r="N1197">
        <v>4</v>
      </c>
      <c r="O1197">
        <v>0.77083333333333337</v>
      </c>
      <c r="P1197">
        <v>53</v>
      </c>
      <c r="Q1197" t="s">
        <v>39</v>
      </c>
      <c r="R1197" t="s">
        <v>40</v>
      </c>
      <c r="T1197" t="s">
        <v>39</v>
      </c>
      <c r="U1197" s="1">
        <v>45838</v>
      </c>
    </row>
    <row r="1198" spans="1:21" x14ac:dyDescent="0.3">
      <c r="A1198">
        <v>1192</v>
      </c>
      <c r="B1198">
        <v>398</v>
      </c>
      <c r="C1198">
        <v>1</v>
      </c>
      <c r="D1198" t="s">
        <v>20</v>
      </c>
      <c r="E1198" t="s">
        <v>23</v>
      </c>
      <c r="F1198">
        <v>35</v>
      </c>
      <c r="G1198" t="s">
        <v>29</v>
      </c>
      <c r="I1198" t="s">
        <v>30</v>
      </c>
      <c r="J1198" s="1">
        <v>45781</v>
      </c>
      <c r="K1198" t="s">
        <v>34</v>
      </c>
      <c r="L1198" t="s">
        <v>35</v>
      </c>
      <c r="M1198" t="s">
        <v>38</v>
      </c>
      <c r="N1198">
        <v>4</v>
      </c>
      <c r="O1198">
        <v>0.85416666666666663</v>
      </c>
      <c r="P1198">
        <v>64.5</v>
      </c>
      <c r="Q1198" t="s">
        <v>39</v>
      </c>
      <c r="R1198" t="s">
        <v>39</v>
      </c>
      <c r="T1198" t="s">
        <v>40</v>
      </c>
      <c r="U1198" s="1">
        <v>45838</v>
      </c>
    </row>
    <row r="1199" spans="1:21" x14ac:dyDescent="0.3">
      <c r="A1199">
        <v>1193</v>
      </c>
      <c r="B1199">
        <v>398</v>
      </c>
      <c r="C1199">
        <v>2</v>
      </c>
      <c r="D1199" t="s">
        <v>19</v>
      </c>
      <c r="E1199" t="s">
        <v>23</v>
      </c>
      <c r="F1199">
        <v>35</v>
      </c>
      <c r="G1199" t="s">
        <v>29</v>
      </c>
      <c r="I1199" t="s">
        <v>30</v>
      </c>
      <c r="J1199" s="1">
        <v>45781</v>
      </c>
      <c r="K1199" t="s">
        <v>34</v>
      </c>
      <c r="L1199" t="s">
        <v>36</v>
      </c>
      <c r="M1199" t="s">
        <v>38</v>
      </c>
      <c r="N1199">
        <v>4</v>
      </c>
      <c r="O1199">
        <v>0.85416666666666663</v>
      </c>
      <c r="P1199">
        <v>81</v>
      </c>
      <c r="Q1199" t="s">
        <v>39</v>
      </c>
      <c r="R1199" t="s">
        <v>39</v>
      </c>
      <c r="T1199" t="s">
        <v>40</v>
      </c>
      <c r="U1199" s="1">
        <v>45838</v>
      </c>
    </row>
    <row r="1200" spans="1:21" x14ac:dyDescent="0.3">
      <c r="A1200">
        <v>1194</v>
      </c>
      <c r="B1200">
        <v>398</v>
      </c>
      <c r="C1200">
        <v>3</v>
      </c>
      <c r="D1200" t="s">
        <v>20</v>
      </c>
      <c r="E1200" t="s">
        <v>23</v>
      </c>
      <c r="F1200">
        <v>35</v>
      </c>
      <c r="G1200" t="s">
        <v>29</v>
      </c>
      <c r="I1200" t="s">
        <v>30</v>
      </c>
      <c r="J1200" s="1">
        <v>45781</v>
      </c>
      <c r="K1200" t="s">
        <v>34</v>
      </c>
      <c r="L1200" t="s">
        <v>37</v>
      </c>
      <c r="M1200" t="s">
        <v>38</v>
      </c>
      <c r="N1200">
        <v>4</v>
      </c>
      <c r="O1200">
        <v>0.83333333333333337</v>
      </c>
      <c r="P1200">
        <v>72.5</v>
      </c>
      <c r="Q1200" t="s">
        <v>39</v>
      </c>
      <c r="R1200" t="s">
        <v>39</v>
      </c>
      <c r="T1200" t="s">
        <v>40</v>
      </c>
      <c r="U1200" s="1">
        <v>45838</v>
      </c>
    </row>
    <row r="1201" spans="1:21" x14ac:dyDescent="0.3">
      <c r="A1201">
        <v>1195</v>
      </c>
      <c r="B1201">
        <v>399</v>
      </c>
      <c r="C1201">
        <v>1</v>
      </c>
      <c r="D1201" t="s">
        <v>20</v>
      </c>
      <c r="E1201" t="s">
        <v>22</v>
      </c>
      <c r="F1201">
        <v>25</v>
      </c>
      <c r="G1201" t="s">
        <v>29</v>
      </c>
      <c r="I1201" t="s">
        <v>30</v>
      </c>
      <c r="J1201" s="1">
        <v>45715</v>
      </c>
      <c r="K1201" t="s">
        <v>34</v>
      </c>
      <c r="L1201" t="s">
        <v>35</v>
      </c>
      <c r="M1201" t="s">
        <v>38</v>
      </c>
      <c r="N1201">
        <v>4</v>
      </c>
      <c r="O1201">
        <v>0.875</v>
      </c>
      <c r="P1201">
        <v>79</v>
      </c>
      <c r="Q1201" t="s">
        <v>40</v>
      </c>
      <c r="R1201" t="s">
        <v>40</v>
      </c>
      <c r="T1201" t="s">
        <v>40</v>
      </c>
      <c r="U1201" s="1">
        <v>45838</v>
      </c>
    </row>
    <row r="1202" spans="1:21" x14ac:dyDescent="0.3">
      <c r="A1202">
        <v>1196</v>
      </c>
      <c r="B1202">
        <v>399</v>
      </c>
      <c r="C1202">
        <v>2</v>
      </c>
      <c r="D1202" t="s">
        <v>19</v>
      </c>
      <c r="E1202" t="s">
        <v>22</v>
      </c>
      <c r="F1202">
        <v>25</v>
      </c>
      <c r="G1202" t="s">
        <v>29</v>
      </c>
      <c r="I1202" t="s">
        <v>30</v>
      </c>
      <c r="J1202" s="1">
        <v>45715</v>
      </c>
      <c r="K1202" t="s">
        <v>34</v>
      </c>
      <c r="L1202" t="s">
        <v>36</v>
      </c>
      <c r="M1202" t="s">
        <v>38</v>
      </c>
      <c r="N1202">
        <v>4</v>
      </c>
      <c r="O1202">
        <v>0.89583333333333337</v>
      </c>
      <c r="P1202">
        <v>77.5</v>
      </c>
      <c r="Q1202" t="s">
        <v>40</v>
      </c>
      <c r="R1202" t="s">
        <v>40</v>
      </c>
      <c r="T1202" t="s">
        <v>40</v>
      </c>
      <c r="U1202" s="1">
        <v>45838</v>
      </c>
    </row>
    <row r="1203" spans="1:21" x14ac:dyDescent="0.3">
      <c r="A1203">
        <v>1197</v>
      </c>
      <c r="B1203">
        <v>399</v>
      </c>
      <c r="C1203">
        <v>3</v>
      </c>
      <c r="D1203" t="s">
        <v>19</v>
      </c>
      <c r="E1203" t="s">
        <v>22</v>
      </c>
      <c r="F1203">
        <v>25</v>
      </c>
      <c r="G1203" t="s">
        <v>29</v>
      </c>
      <c r="I1203" t="s">
        <v>30</v>
      </c>
      <c r="J1203" s="1">
        <v>45715</v>
      </c>
      <c r="K1203" t="s">
        <v>34</v>
      </c>
      <c r="L1203" t="s">
        <v>37</v>
      </c>
      <c r="M1203" t="s">
        <v>38</v>
      </c>
      <c r="N1203">
        <v>4</v>
      </c>
      <c r="O1203">
        <v>0.85416666666666663</v>
      </c>
      <c r="P1203">
        <v>65</v>
      </c>
      <c r="Q1203" t="s">
        <v>40</v>
      </c>
      <c r="R1203" t="s">
        <v>40</v>
      </c>
      <c r="T1203" t="s">
        <v>40</v>
      </c>
      <c r="U1203" s="1">
        <v>45838</v>
      </c>
    </row>
    <row r="1204" spans="1:21" x14ac:dyDescent="0.3">
      <c r="A1204">
        <v>1198</v>
      </c>
      <c r="B1204">
        <v>400</v>
      </c>
      <c r="C1204">
        <v>1</v>
      </c>
      <c r="D1204" t="s">
        <v>20</v>
      </c>
      <c r="E1204" t="s">
        <v>23</v>
      </c>
      <c r="F1204">
        <v>27</v>
      </c>
      <c r="G1204" t="s">
        <v>24</v>
      </c>
      <c r="I1204" t="s">
        <v>32</v>
      </c>
      <c r="J1204" s="1">
        <v>45783</v>
      </c>
      <c r="K1204" t="s">
        <v>34</v>
      </c>
      <c r="L1204" t="s">
        <v>35</v>
      </c>
      <c r="M1204" t="s">
        <v>38</v>
      </c>
      <c r="N1204">
        <v>4</v>
      </c>
      <c r="O1204">
        <v>0.8125</v>
      </c>
      <c r="P1204">
        <v>89</v>
      </c>
      <c r="Q1204" t="s">
        <v>39</v>
      </c>
      <c r="R1204" t="s">
        <v>39</v>
      </c>
      <c r="T1204" t="s">
        <v>40</v>
      </c>
      <c r="U1204" s="1">
        <v>45838</v>
      </c>
    </row>
    <row r="1205" spans="1:21" x14ac:dyDescent="0.3">
      <c r="A1205">
        <v>1199</v>
      </c>
      <c r="B1205">
        <v>400</v>
      </c>
      <c r="C1205">
        <v>2</v>
      </c>
      <c r="D1205" t="s">
        <v>20</v>
      </c>
      <c r="E1205" t="s">
        <v>23</v>
      </c>
      <c r="F1205">
        <v>27</v>
      </c>
      <c r="G1205" t="s">
        <v>24</v>
      </c>
      <c r="I1205" t="s">
        <v>32</v>
      </c>
      <c r="J1205" s="1">
        <v>45783</v>
      </c>
      <c r="K1205" t="s">
        <v>34</v>
      </c>
      <c r="L1205" t="s">
        <v>36</v>
      </c>
      <c r="M1205" t="s">
        <v>38</v>
      </c>
      <c r="N1205">
        <v>4</v>
      </c>
      <c r="O1205">
        <v>0.8125</v>
      </c>
      <c r="P1205">
        <v>94.5</v>
      </c>
      <c r="Q1205" t="s">
        <v>39</v>
      </c>
      <c r="R1205" t="s">
        <v>39</v>
      </c>
      <c r="T1205" t="s">
        <v>40</v>
      </c>
      <c r="U1205" s="1">
        <v>45838</v>
      </c>
    </row>
    <row r="1206" spans="1:21" x14ac:dyDescent="0.3">
      <c r="A1206">
        <v>1200</v>
      </c>
      <c r="B1206">
        <v>400</v>
      </c>
      <c r="C1206">
        <v>3</v>
      </c>
      <c r="D1206" t="s">
        <v>19</v>
      </c>
      <c r="E1206" t="s">
        <v>23</v>
      </c>
      <c r="F1206">
        <v>27</v>
      </c>
      <c r="G1206" t="s">
        <v>24</v>
      </c>
      <c r="I1206" t="s">
        <v>32</v>
      </c>
      <c r="J1206" s="1">
        <v>45783</v>
      </c>
      <c r="K1206" t="s">
        <v>34</v>
      </c>
      <c r="L1206" t="s">
        <v>37</v>
      </c>
      <c r="M1206" t="s">
        <v>38</v>
      </c>
      <c r="N1206">
        <v>4</v>
      </c>
      <c r="O1206">
        <v>0.83333333333333337</v>
      </c>
      <c r="P1206">
        <v>53.5</v>
      </c>
      <c r="Q1206" t="s">
        <v>39</v>
      </c>
      <c r="R1206" t="s">
        <v>39</v>
      </c>
      <c r="T1206" t="s">
        <v>40</v>
      </c>
      <c r="U1206" s="1">
        <v>45838</v>
      </c>
    </row>
  </sheetData>
  <autoFilter ref="A1:U1"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 Data</vt:lpstr>
      <vt:lpstr>Pivot Analysis</vt:lpstr>
      <vt:lpstr>Analysis</vt: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Olayinka Adamu</cp:lastModifiedBy>
  <dcterms:created xsi:type="dcterms:W3CDTF">2026-01-01T02:59:20Z</dcterms:created>
  <dcterms:modified xsi:type="dcterms:W3CDTF">2026-02-12T23:53:38Z</dcterms:modified>
</cp:coreProperties>
</file>